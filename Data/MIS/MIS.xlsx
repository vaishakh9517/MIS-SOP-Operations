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MIS-SOP-Operations\Data\MIS\"/>
    </mc:Choice>
  </mc:AlternateContent>
  <xr:revisionPtr revIDLastSave="0" documentId="13_ncr:1_{31DF936C-FA7D-4677-A201-D230180808A5}" xr6:coauthVersionLast="47" xr6:coauthVersionMax="47" xr10:uidLastSave="{00000000-0000-0000-0000-000000000000}"/>
  <bookViews>
    <workbookView xWindow="-108" yWindow="-108" windowWidth="23256" windowHeight="12456" activeTab="1" xr2:uid="{03E8E515-ED56-420D-9107-3041D92A0BE0}"/>
  </bookViews>
  <sheets>
    <sheet name="MIS Pivot" sheetId="4" r:id="rId1"/>
    <sheet name="MIS Calculation" sheetId="2" r:id="rId2"/>
    <sheet name="Ops Tracker Data" sheetId="5" r:id="rId3"/>
    <sheet name="Process Gap Pivot" sheetId="6" r:id="rId4"/>
  </sheets>
  <definedNames>
    <definedName name="ExternalData_1" localSheetId="1" hidden="1">'MIS Calculation'!$A$10:$O$3010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" l="1"/>
  <c r="C4" i="2"/>
  <c r="C3" i="2"/>
  <c r="C2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M11" i="2"/>
  <c r="C6" i="2" s="1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D3FA27-8653-48F8-A366-5FA2BC378F5A}" keepAlive="1" name="Query - Revv_bike_sales_data" description="Connection to the 'Revv_bike_sales_data' query in the workbook." type="5" refreshedVersion="8" background="1" saveData="1">
    <dbPr connection="Provider=Microsoft.Mashup.OleDb.1;Data Source=$Workbook$;Location=Revv_bike_sales_data;Extended Properties=&quot;&quot;" command="SELECT * FROM [Revv_bike_sales_data]"/>
  </connection>
</connections>
</file>

<file path=xl/sharedStrings.xml><?xml version="1.0" encoding="utf-8"?>
<sst xmlns="http://schemas.openxmlformats.org/spreadsheetml/2006/main" count="12058" uniqueCount="52">
  <si>
    <t>sale_id</t>
  </si>
  <si>
    <t>sale_date</t>
  </si>
  <si>
    <t>vehicle_type</t>
  </si>
  <si>
    <t>brand</t>
  </si>
  <si>
    <t>fuel_type</t>
  </si>
  <si>
    <t>city</t>
  </si>
  <si>
    <t>km_driven</t>
  </si>
  <si>
    <t>vehicle_age_years</t>
  </si>
  <si>
    <t>selling_price</t>
  </si>
  <si>
    <t>procurement_cost</t>
  </si>
  <si>
    <t>delivery_days</t>
  </si>
  <si>
    <t>inspection_status</t>
  </si>
  <si>
    <t>profit</t>
  </si>
  <si>
    <t>Bajaj</t>
  </si>
  <si>
    <t>Petrol</t>
  </si>
  <si>
    <t>Coimbatore</t>
  </si>
  <si>
    <t>Pass</t>
  </si>
  <si>
    <t>Yamaha</t>
  </si>
  <si>
    <t>TVS</t>
  </si>
  <si>
    <t>Bangalore</t>
  </si>
  <si>
    <t>Hyderabad</t>
  </si>
  <si>
    <t>Chennai</t>
  </si>
  <si>
    <t>Hero</t>
  </si>
  <si>
    <t>Electric</t>
  </si>
  <si>
    <t>Fail</t>
  </si>
  <si>
    <t>Honda</t>
  </si>
  <si>
    <t>month</t>
  </si>
  <si>
    <t>week</t>
  </si>
  <si>
    <t>on-time</t>
  </si>
  <si>
    <t xml:space="preserve">Total Vehicles Sold </t>
  </si>
  <si>
    <t xml:space="preserve">Total Profit </t>
  </si>
  <si>
    <t>Average Delivery Days</t>
  </si>
  <si>
    <t>Inspection Fail %</t>
  </si>
  <si>
    <t>On-Time %</t>
  </si>
  <si>
    <t>Grand Total</t>
  </si>
  <si>
    <t>(All)</t>
  </si>
  <si>
    <t>City</t>
  </si>
  <si>
    <t>Total Sales</t>
  </si>
  <si>
    <t>Average Profit</t>
  </si>
  <si>
    <t xml:space="preserve">Task </t>
  </si>
  <si>
    <t>Owner</t>
  </si>
  <si>
    <t>Status</t>
  </si>
  <si>
    <t>Risk</t>
  </si>
  <si>
    <t>Comments</t>
  </si>
  <si>
    <t>Completed</t>
  </si>
  <si>
    <t>Low</t>
  </si>
  <si>
    <t>Medium</t>
  </si>
  <si>
    <t>High</t>
  </si>
  <si>
    <t>Due Date</t>
  </si>
  <si>
    <t>% of Inspection_Status</t>
  </si>
  <si>
    <t>Average of Delivery Days</t>
  </si>
  <si>
    <t>% of Inspection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</si>
</sst>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EC234"/>
        </patternFill>
      </fill>
    </dxf>
    <dxf>
      <fill>
        <patternFill>
          <bgColor rgb="FFBCE200"/>
        </patternFill>
      </fill>
    </dxf>
    <dxf>
      <fill>
        <patternFill>
          <bgColor rgb="FFFE6E6E"/>
        </patternFill>
      </fill>
    </dxf>
    <dxf>
      <fill>
        <patternFill>
          <bgColor rgb="FFFF5B5B"/>
        </patternFill>
      </fill>
    </dxf>
    <dxf>
      <numFmt numFmtId="1" formatCode="0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27" formatCode="dd/mm/yyyy\ hh:mm"/>
    </dxf>
    <dxf>
      <numFmt numFmtId="27" formatCode="dd/mm/yyyy\ hh:mm"/>
    </dxf>
    <dxf>
      <numFmt numFmtId="1" formatCode="0"/>
    </dxf>
  </dxfs>
  <tableStyles count="0" defaultTableStyle="TableStyleMedium2" defaultPivotStyle="PivotStyleLight16"/>
  <colors>
    <mruColors>
      <color rgb="FFFE6E6E"/>
      <color rgb="FFBCE200"/>
      <color rgb="FFCDF600"/>
      <color rgb="FF7EC234"/>
      <color rgb="FFFF5B5B"/>
      <color rgb="FFF76363"/>
      <color rgb="FFFF6600"/>
      <color rgb="FFF672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960120</xdr:colOff>
      <xdr:row>13</xdr:row>
      <xdr:rowOff>76200</xdr:rowOff>
    </xdr:from>
    <xdr:ext cx="230886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62FD91-9A6C-4066-B07C-B48C33C990D9}"/>
            </a:ext>
          </a:extLst>
        </xdr:cNvPr>
        <xdr:cNvSpPr txBox="1"/>
      </xdr:nvSpPr>
      <xdr:spPr>
        <a:xfrm>
          <a:off x="3832860" y="2453640"/>
          <a:ext cx="23088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</xdr:col>
      <xdr:colOff>7620</xdr:colOff>
      <xdr:row>10</xdr:row>
      <xdr:rowOff>22860</xdr:rowOff>
    </xdr:from>
    <xdr:to>
      <xdr:col>8</xdr:col>
      <xdr:colOff>83820</xdr:colOff>
      <xdr:row>13</xdr:row>
      <xdr:rowOff>91440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A7D49BD-32E1-30F4-6BEF-18979BC930B4}"/>
            </a:ext>
          </a:extLst>
        </xdr:cNvPr>
        <xdr:cNvSpPr txBox="1"/>
      </xdr:nvSpPr>
      <xdr:spPr>
        <a:xfrm>
          <a:off x="1363980" y="1851660"/>
          <a:ext cx="6050280" cy="617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Remarks : </a:t>
          </a:r>
        </a:p>
        <a:p>
          <a:r>
            <a:rPr lang="en-IN" sz="1100"/>
            <a:t>1. Coimbatore has highest delivery delys, with average of number of delivery days as 8.</a:t>
          </a:r>
        </a:p>
        <a:p>
          <a:r>
            <a:rPr lang="en-IN" sz="1100"/>
            <a:t>2. Increase inspection capacity in Chennai,</a:t>
          </a:r>
          <a:r>
            <a:rPr lang="en-IN" sz="1100" baseline="0"/>
            <a:t> whose failure of inspection stands at highest at 27%.</a:t>
          </a:r>
          <a:endParaRPr lang="en-IN" sz="1100"/>
        </a:p>
        <a:p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akh K" refreshedDate="46020.120107060182" createdVersion="8" refreshedVersion="8" minRefreshableVersion="3" recordCount="3000" xr:uid="{21162217-84D4-47D2-8CAA-29F2C51E7537}">
  <cacheSource type="worksheet">
    <worksheetSource name="Revv_bike_sales_data"/>
  </cacheSource>
  <cacheFields count="16">
    <cacheField name="sale_id" numFmtId="0">
      <sharedItems containsSemiMixedTypes="0" containsString="0" containsNumber="1" containsInteger="1" minValue="1" maxValue="3000"/>
    </cacheField>
    <cacheField name="sale_date" numFmtId="22">
      <sharedItems containsSemiMixedTypes="0" containsNonDate="0" containsDate="1" containsString="0" minDate="2023-01-01T00:00:00" maxDate="2023-05-06T00:00:00"/>
    </cacheField>
    <cacheField name="month" numFmtId="22">
      <sharedItems count="5">
        <s v="01-2023"/>
        <s v="02-2023"/>
        <s v="03-2023"/>
        <s v="04-2023"/>
        <s v="05-2023"/>
      </sharedItems>
    </cacheField>
    <cacheField name="week" numFmtId="1">
      <sharedItems containsSemiMixedTypes="0" containsString="0" containsNumber="1" containsInteger="1" minValue="1" maxValue="18"/>
    </cacheField>
    <cacheField name="vehicle_type" numFmtId="0">
      <sharedItems count="1">
        <s v="Bike"/>
      </sharedItems>
    </cacheField>
    <cacheField name="brand" numFmtId="0">
      <sharedItems/>
    </cacheField>
    <cacheField name="fuel_type" numFmtId="0">
      <sharedItems count="2">
        <s v="Petrol"/>
        <s v="Electric"/>
      </sharedItems>
    </cacheField>
    <cacheField name="city" numFmtId="0">
      <sharedItems count="4">
        <s v="Coimbatore"/>
        <s v="Bangalore"/>
        <s v="Hyderabad"/>
        <s v="Chennai"/>
      </sharedItems>
    </cacheField>
    <cacheField name="km_driven" numFmtId="0">
      <sharedItems containsSemiMixedTypes="0" containsString="0" containsNumber="1" containsInteger="1" minValue="502" maxValue="99904"/>
    </cacheField>
    <cacheField name="vehicle_age_years" numFmtId="0">
      <sharedItems containsSemiMixedTypes="0" containsString="0" containsNumber="1" containsInteger="1" minValue="0" maxValue="9"/>
    </cacheField>
    <cacheField name="selling_price" numFmtId="0">
      <sharedItems containsSemiMixedTypes="0" containsString="0" containsNumber="1" containsInteger="1" minValue="25037" maxValue="179986"/>
    </cacheField>
    <cacheField name="procurement_cost" numFmtId="0">
      <sharedItems containsSemiMixedTypes="0" containsString="0" containsNumber="1" containsInteger="1" minValue="15018" maxValue="139958"/>
    </cacheField>
    <cacheField name="delivery_days" numFmtId="0">
      <sharedItems containsSemiMixedTypes="0" containsString="0" containsNumber="1" containsInteger="1" minValue="1" maxValue="14"/>
    </cacheField>
    <cacheField name="on-time" numFmtId="0">
      <sharedItems/>
    </cacheField>
    <cacheField name="inspection_status" numFmtId="0">
      <sharedItems count="2">
        <s v="Pass"/>
        <s v="Fail"/>
      </sharedItems>
    </cacheField>
    <cacheField name="profit" numFmtId="0">
      <sharedItems containsSemiMixedTypes="0" containsString="0" containsNumber="1" containsInteger="1" minValue="-111907" maxValue="1605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1"/>
    <d v="2023-01-01T00:00:00"/>
    <x v="0"/>
    <n v="1"/>
    <x v="0"/>
    <s v="Bajaj"/>
    <x v="0"/>
    <x v="0"/>
    <n v="5422"/>
    <n v="7"/>
    <n v="81630"/>
    <n v="104199"/>
    <n v="6"/>
    <s v="Yes"/>
    <x v="0"/>
    <n v="-22569"/>
  </r>
  <r>
    <n v="2"/>
    <d v="2023-01-01T01:00:00"/>
    <x v="0"/>
    <n v="1"/>
    <x v="0"/>
    <s v="Yamaha"/>
    <x v="0"/>
    <x v="0"/>
    <n v="70428"/>
    <n v="6"/>
    <n v="46658"/>
    <n v="111782"/>
    <n v="1"/>
    <s v="Yes"/>
    <x v="0"/>
    <n v="-65124"/>
  </r>
  <r>
    <n v="3"/>
    <d v="2023-01-01T02:00:00"/>
    <x v="0"/>
    <n v="1"/>
    <x v="0"/>
    <s v="TVS"/>
    <x v="0"/>
    <x v="1"/>
    <n v="52835"/>
    <n v="4"/>
    <n v="40797"/>
    <n v="134195"/>
    <n v="12"/>
    <s v="No"/>
    <x v="0"/>
    <n v="-93398"/>
  </r>
  <r>
    <n v="4"/>
    <d v="2023-01-01T03:00:00"/>
    <x v="0"/>
    <n v="1"/>
    <x v="0"/>
    <s v="Yamaha"/>
    <x v="0"/>
    <x v="2"/>
    <n v="14041"/>
    <n v="2"/>
    <n v="83799"/>
    <n v="127908"/>
    <n v="7"/>
    <s v="Yes"/>
    <x v="0"/>
    <n v="-44109"/>
  </r>
  <r>
    <n v="5"/>
    <d v="2023-01-01T04:00:00"/>
    <x v="0"/>
    <n v="1"/>
    <x v="0"/>
    <s v="Yamaha"/>
    <x v="0"/>
    <x v="3"/>
    <n v="20051"/>
    <n v="8"/>
    <n v="143301"/>
    <n v="52489"/>
    <n v="7"/>
    <s v="Yes"/>
    <x v="0"/>
    <n v="90812"/>
  </r>
  <r>
    <n v="6"/>
    <d v="2023-01-01T05:00:00"/>
    <x v="0"/>
    <n v="1"/>
    <x v="0"/>
    <s v="Hero"/>
    <x v="0"/>
    <x v="2"/>
    <n v="19881"/>
    <n v="6"/>
    <n v="77236"/>
    <n v="135059"/>
    <n v="10"/>
    <s v="No"/>
    <x v="0"/>
    <n v="-57823"/>
  </r>
  <r>
    <n v="7"/>
    <d v="2023-01-01T06:00:00"/>
    <x v="0"/>
    <n v="1"/>
    <x v="0"/>
    <s v="TVS"/>
    <x v="0"/>
    <x v="2"/>
    <n v="56173"/>
    <n v="9"/>
    <n v="31265"/>
    <n v="122507"/>
    <n v="9"/>
    <s v="No"/>
    <x v="0"/>
    <n v="-91242"/>
  </r>
  <r>
    <n v="8"/>
    <d v="2023-01-01T07:00:00"/>
    <x v="0"/>
    <n v="1"/>
    <x v="0"/>
    <s v="TVS"/>
    <x v="1"/>
    <x v="1"/>
    <n v="23448"/>
    <n v="9"/>
    <n v="150611"/>
    <n v="55309"/>
    <n v="14"/>
    <s v="No"/>
    <x v="0"/>
    <n v="95302"/>
  </r>
  <r>
    <n v="9"/>
    <d v="2023-01-01T08:00:00"/>
    <x v="0"/>
    <n v="1"/>
    <x v="0"/>
    <s v="TVS"/>
    <x v="1"/>
    <x v="0"/>
    <n v="92764"/>
    <n v="7"/>
    <n v="146754"/>
    <n v="123173"/>
    <n v="12"/>
    <s v="No"/>
    <x v="1"/>
    <n v="23581"/>
  </r>
  <r>
    <n v="10"/>
    <d v="2023-01-01T09:00:00"/>
    <x v="0"/>
    <n v="1"/>
    <x v="0"/>
    <s v="Yamaha"/>
    <x v="0"/>
    <x v="0"/>
    <n v="59572"/>
    <n v="5"/>
    <n v="116426"/>
    <n v="43273"/>
    <n v="7"/>
    <s v="Yes"/>
    <x v="0"/>
    <n v="73153"/>
  </r>
  <r>
    <n v="11"/>
    <d v="2023-01-01T10:00:00"/>
    <x v="0"/>
    <n v="1"/>
    <x v="0"/>
    <s v="Bajaj"/>
    <x v="0"/>
    <x v="1"/>
    <n v="68060"/>
    <n v="4"/>
    <n v="170378"/>
    <n v="62553"/>
    <n v="8"/>
    <s v="No"/>
    <x v="0"/>
    <n v="107825"/>
  </r>
  <r>
    <n v="12"/>
    <d v="2023-01-01T11:00:00"/>
    <x v="0"/>
    <n v="1"/>
    <x v="0"/>
    <s v="TVS"/>
    <x v="0"/>
    <x v="1"/>
    <n v="82749"/>
    <n v="7"/>
    <n v="167957"/>
    <n v="44473"/>
    <n v="4"/>
    <s v="Yes"/>
    <x v="0"/>
    <n v="123484"/>
  </r>
  <r>
    <n v="13"/>
    <d v="2023-01-01T12:00:00"/>
    <x v="0"/>
    <n v="1"/>
    <x v="0"/>
    <s v="Yamaha"/>
    <x v="0"/>
    <x v="1"/>
    <n v="2986"/>
    <n v="2"/>
    <n v="134681"/>
    <n v="76410"/>
    <n v="9"/>
    <s v="No"/>
    <x v="0"/>
    <n v="58271"/>
  </r>
  <r>
    <n v="14"/>
    <d v="2023-01-01T13:00:00"/>
    <x v="0"/>
    <n v="1"/>
    <x v="0"/>
    <s v="Hero"/>
    <x v="0"/>
    <x v="1"/>
    <n v="67191"/>
    <n v="6"/>
    <n v="68826"/>
    <n v="139772"/>
    <n v="14"/>
    <s v="No"/>
    <x v="0"/>
    <n v="-70946"/>
  </r>
  <r>
    <n v="15"/>
    <d v="2023-01-01T14:00:00"/>
    <x v="0"/>
    <n v="1"/>
    <x v="0"/>
    <s v="Bajaj"/>
    <x v="0"/>
    <x v="1"/>
    <n v="10582"/>
    <n v="1"/>
    <n v="80597"/>
    <n v="28679"/>
    <n v="1"/>
    <s v="Yes"/>
    <x v="0"/>
    <n v="51918"/>
  </r>
  <r>
    <n v="16"/>
    <d v="2023-01-01T15:00:00"/>
    <x v="0"/>
    <n v="1"/>
    <x v="0"/>
    <s v="Hero"/>
    <x v="0"/>
    <x v="3"/>
    <n v="84605"/>
    <n v="2"/>
    <n v="163515"/>
    <n v="107981"/>
    <n v="8"/>
    <s v="No"/>
    <x v="0"/>
    <n v="55534"/>
  </r>
  <r>
    <n v="17"/>
    <d v="2023-01-01T16:00:00"/>
    <x v="0"/>
    <n v="1"/>
    <x v="0"/>
    <s v="Bajaj"/>
    <x v="0"/>
    <x v="2"/>
    <n v="7586"/>
    <n v="1"/>
    <n v="122375"/>
    <n v="60310"/>
    <n v="3"/>
    <s v="Yes"/>
    <x v="0"/>
    <n v="62065"/>
  </r>
  <r>
    <n v="18"/>
    <d v="2023-01-01T17:00:00"/>
    <x v="0"/>
    <n v="1"/>
    <x v="0"/>
    <s v="Yamaha"/>
    <x v="0"/>
    <x v="2"/>
    <n v="68353"/>
    <n v="4"/>
    <n v="42084"/>
    <n v="98406"/>
    <n v="14"/>
    <s v="No"/>
    <x v="1"/>
    <n v="-56322"/>
  </r>
  <r>
    <n v="19"/>
    <d v="2023-01-01T18:00:00"/>
    <x v="0"/>
    <n v="1"/>
    <x v="0"/>
    <s v="Honda"/>
    <x v="0"/>
    <x v="2"/>
    <n v="70527"/>
    <n v="6"/>
    <n v="114447"/>
    <n v="75683"/>
    <n v="1"/>
    <s v="Yes"/>
    <x v="0"/>
    <n v="38764"/>
  </r>
  <r>
    <n v="20"/>
    <d v="2023-01-01T19:00:00"/>
    <x v="0"/>
    <n v="1"/>
    <x v="0"/>
    <s v="Bajaj"/>
    <x v="0"/>
    <x v="0"/>
    <n v="16416"/>
    <n v="9"/>
    <n v="29383"/>
    <n v="127765"/>
    <n v="2"/>
    <s v="Yes"/>
    <x v="0"/>
    <n v="-98382"/>
  </r>
  <r>
    <n v="21"/>
    <d v="2023-01-01T20:00:00"/>
    <x v="0"/>
    <n v="1"/>
    <x v="0"/>
    <s v="Hero"/>
    <x v="1"/>
    <x v="3"/>
    <n v="15748"/>
    <n v="9"/>
    <n v="117313"/>
    <n v="40992"/>
    <n v="6"/>
    <s v="Yes"/>
    <x v="0"/>
    <n v="76321"/>
  </r>
  <r>
    <n v="22"/>
    <d v="2023-01-01T21:00:00"/>
    <x v="0"/>
    <n v="1"/>
    <x v="0"/>
    <s v="Yamaha"/>
    <x v="0"/>
    <x v="2"/>
    <n v="68547"/>
    <n v="0"/>
    <n v="59361"/>
    <n v="44433"/>
    <n v="5"/>
    <s v="Yes"/>
    <x v="0"/>
    <n v="14928"/>
  </r>
  <r>
    <n v="23"/>
    <d v="2023-01-01T22:00:00"/>
    <x v="0"/>
    <n v="1"/>
    <x v="0"/>
    <s v="Bajaj"/>
    <x v="0"/>
    <x v="0"/>
    <n v="24726"/>
    <n v="9"/>
    <n v="105294"/>
    <n v="91574"/>
    <n v="14"/>
    <s v="No"/>
    <x v="0"/>
    <n v="13720"/>
  </r>
  <r>
    <n v="24"/>
    <d v="2023-01-01T23:00:00"/>
    <x v="0"/>
    <n v="1"/>
    <x v="0"/>
    <s v="Honda"/>
    <x v="0"/>
    <x v="3"/>
    <n v="25525"/>
    <n v="8"/>
    <n v="86331"/>
    <n v="40933"/>
    <n v="3"/>
    <s v="Yes"/>
    <x v="0"/>
    <n v="45398"/>
  </r>
  <r>
    <n v="25"/>
    <d v="2023-01-02T00:00:00"/>
    <x v="0"/>
    <n v="1"/>
    <x v="0"/>
    <s v="Honda"/>
    <x v="0"/>
    <x v="3"/>
    <n v="48880"/>
    <n v="0"/>
    <n v="120057"/>
    <n v="60020"/>
    <n v="9"/>
    <s v="No"/>
    <x v="0"/>
    <n v="60037"/>
  </r>
  <r>
    <n v="26"/>
    <d v="2023-01-02T01:00:00"/>
    <x v="0"/>
    <n v="1"/>
    <x v="0"/>
    <s v="TVS"/>
    <x v="0"/>
    <x v="0"/>
    <n v="8348"/>
    <n v="0"/>
    <n v="176601"/>
    <n v="44236"/>
    <n v="8"/>
    <s v="No"/>
    <x v="0"/>
    <n v="132365"/>
  </r>
  <r>
    <n v="27"/>
    <d v="2023-01-02T02:00:00"/>
    <x v="0"/>
    <n v="1"/>
    <x v="0"/>
    <s v="TVS"/>
    <x v="0"/>
    <x v="3"/>
    <n v="14774"/>
    <n v="9"/>
    <n v="146685"/>
    <n v="73735"/>
    <n v="13"/>
    <s v="No"/>
    <x v="0"/>
    <n v="72950"/>
  </r>
  <r>
    <n v="28"/>
    <d v="2023-01-02T03:00:00"/>
    <x v="0"/>
    <n v="1"/>
    <x v="0"/>
    <s v="Hero"/>
    <x v="0"/>
    <x v="0"/>
    <n v="55045"/>
    <n v="7"/>
    <n v="121917"/>
    <n v="24770"/>
    <n v="3"/>
    <s v="Yes"/>
    <x v="0"/>
    <n v="97147"/>
  </r>
  <r>
    <n v="29"/>
    <d v="2023-01-02T04:00:00"/>
    <x v="0"/>
    <n v="1"/>
    <x v="0"/>
    <s v="Bajaj"/>
    <x v="0"/>
    <x v="2"/>
    <n v="96994"/>
    <n v="5"/>
    <n v="55932"/>
    <n v="84285"/>
    <n v="2"/>
    <s v="Yes"/>
    <x v="0"/>
    <n v="-28353"/>
  </r>
  <r>
    <n v="30"/>
    <d v="2023-01-02T05:00:00"/>
    <x v="0"/>
    <n v="1"/>
    <x v="0"/>
    <s v="Bajaj"/>
    <x v="0"/>
    <x v="0"/>
    <n v="35733"/>
    <n v="5"/>
    <n v="26908"/>
    <n v="125121"/>
    <n v="8"/>
    <s v="No"/>
    <x v="0"/>
    <n v="-98213"/>
  </r>
  <r>
    <n v="31"/>
    <d v="2023-01-02T06:00:00"/>
    <x v="0"/>
    <n v="1"/>
    <x v="0"/>
    <s v="TVS"/>
    <x v="0"/>
    <x v="3"/>
    <n v="16804"/>
    <n v="8"/>
    <n v="55412"/>
    <n v="137747"/>
    <n v="14"/>
    <s v="No"/>
    <x v="0"/>
    <n v="-82335"/>
  </r>
  <r>
    <n v="32"/>
    <d v="2023-01-02T07:00:00"/>
    <x v="0"/>
    <n v="1"/>
    <x v="0"/>
    <s v="Bajaj"/>
    <x v="0"/>
    <x v="2"/>
    <n v="11794"/>
    <n v="3"/>
    <n v="153319"/>
    <n v="50271"/>
    <n v="5"/>
    <s v="Yes"/>
    <x v="0"/>
    <n v="103048"/>
  </r>
  <r>
    <n v="33"/>
    <d v="2023-01-02T08:00:00"/>
    <x v="0"/>
    <n v="1"/>
    <x v="0"/>
    <s v="Bajaj"/>
    <x v="0"/>
    <x v="2"/>
    <n v="26925"/>
    <n v="7"/>
    <n v="108710"/>
    <n v="88391"/>
    <n v="9"/>
    <s v="No"/>
    <x v="0"/>
    <n v="20319"/>
  </r>
  <r>
    <n v="34"/>
    <d v="2023-01-02T09:00:00"/>
    <x v="0"/>
    <n v="1"/>
    <x v="0"/>
    <s v="Honda"/>
    <x v="0"/>
    <x v="1"/>
    <n v="69211"/>
    <n v="3"/>
    <n v="27928"/>
    <n v="126682"/>
    <n v="1"/>
    <s v="Yes"/>
    <x v="0"/>
    <n v="-98754"/>
  </r>
  <r>
    <n v="35"/>
    <d v="2023-01-02T10:00:00"/>
    <x v="0"/>
    <n v="1"/>
    <x v="0"/>
    <s v="TVS"/>
    <x v="1"/>
    <x v="1"/>
    <n v="93811"/>
    <n v="1"/>
    <n v="90158"/>
    <n v="124633"/>
    <n v="10"/>
    <s v="No"/>
    <x v="0"/>
    <n v="-34475"/>
  </r>
  <r>
    <n v="36"/>
    <d v="2023-01-02T11:00:00"/>
    <x v="0"/>
    <n v="1"/>
    <x v="0"/>
    <s v="Yamaha"/>
    <x v="0"/>
    <x v="3"/>
    <n v="9925"/>
    <n v="7"/>
    <n v="57309"/>
    <n v="38439"/>
    <n v="3"/>
    <s v="Yes"/>
    <x v="0"/>
    <n v="18870"/>
  </r>
  <r>
    <n v="37"/>
    <d v="2023-01-02T12:00:00"/>
    <x v="0"/>
    <n v="1"/>
    <x v="0"/>
    <s v="TVS"/>
    <x v="0"/>
    <x v="0"/>
    <n v="92049"/>
    <n v="6"/>
    <n v="34280"/>
    <n v="110826"/>
    <n v="5"/>
    <s v="Yes"/>
    <x v="0"/>
    <n v="-76546"/>
  </r>
  <r>
    <n v="38"/>
    <d v="2023-01-02T13:00:00"/>
    <x v="0"/>
    <n v="1"/>
    <x v="0"/>
    <s v="Yamaha"/>
    <x v="0"/>
    <x v="0"/>
    <n v="93964"/>
    <n v="3"/>
    <n v="65449"/>
    <n v="26101"/>
    <n v="2"/>
    <s v="Yes"/>
    <x v="0"/>
    <n v="39348"/>
  </r>
  <r>
    <n v="39"/>
    <d v="2023-01-02T14:00:00"/>
    <x v="0"/>
    <n v="1"/>
    <x v="0"/>
    <s v="Honda"/>
    <x v="0"/>
    <x v="3"/>
    <n v="45490"/>
    <n v="8"/>
    <n v="51957"/>
    <n v="107776"/>
    <n v="3"/>
    <s v="Yes"/>
    <x v="0"/>
    <n v="-55819"/>
  </r>
  <r>
    <n v="40"/>
    <d v="2023-01-02T15:00:00"/>
    <x v="0"/>
    <n v="1"/>
    <x v="0"/>
    <s v="Hero"/>
    <x v="0"/>
    <x v="2"/>
    <n v="74246"/>
    <n v="8"/>
    <n v="95499"/>
    <n v="97319"/>
    <n v="4"/>
    <s v="Yes"/>
    <x v="0"/>
    <n v="-1820"/>
  </r>
  <r>
    <n v="41"/>
    <d v="2023-01-02T16:00:00"/>
    <x v="0"/>
    <n v="1"/>
    <x v="0"/>
    <s v="Bajaj"/>
    <x v="0"/>
    <x v="3"/>
    <n v="68795"/>
    <n v="7"/>
    <n v="118057"/>
    <n v="134070"/>
    <n v="4"/>
    <s v="Yes"/>
    <x v="0"/>
    <n v="-16013"/>
  </r>
  <r>
    <n v="42"/>
    <d v="2023-01-02T17:00:00"/>
    <x v="0"/>
    <n v="1"/>
    <x v="0"/>
    <s v="Honda"/>
    <x v="1"/>
    <x v="3"/>
    <n v="16591"/>
    <n v="0"/>
    <n v="135065"/>
    <n v="59917"/>
    <n v="11"/>
    <s v="No"/>
    <x v="0"/>
    <n v="75148"/>
  </r>
  <r>
    <n v="43"/>
    <d v="2023-01-02T18:00:00"/>
    <x v="0"/>
    <n v="1"/>
    <x v="0"/>
    <s v="Bajaj"/>
    <x v="0"/>
    <x v="2"/>
    <n v="502"/>
    <n v="6"/>
    <n v="177767"/>
    <n v="107345"/>
    <n v="9"/>
    <s v="No"/>
    <x v="0"/>
    <n v="70422"/>
  </r>
  <r>
    <n v="44"/>
    <d v="2023-01-02T19:00:00"/>
    <x v="0"/>
    <n v="1"/>
    <x v="0"/>
    <s v="Hero"/>
    <x v="0"/>
    <x v="0"/>
    <n v="50911"/>
    <n v="4"/>
    <n v="99893"/>
    <n v="127923"/>
    <n v="1"/>
    <s v="Yes"/>
    <x v="0"/>
    <n v="-28030"/>
  </r>
  <r>
    <n v="45"/>
    <d v="2023-01-02T20:00:00"/>
    <x v="0"/>
    <n v="1"/>
    <x v="0"/>
    <s v="Hero"/>
    <x v="0"/>
    <x v="3"/>
    <n v="41458"/>
    <n v="6"/>
    <n v="50176"/>
    <n v="98459"/>
    <n v="12"/>
    <s v="No"/>
    <x v="0"/>
    <n v="-48283"/>
  </r>
  <r>
    <n v="46"/>
    <d v="2023-01-02T21:00:00"/>
    <x v="0"/>
    <n v="1"/>
    <x v="0"/>
    <s v="Honda"/>
    <x v="0"/>
    <x v="0"/>
    <n v="96196"/>
    <n v="8"/>
    <n v="174481"/>
    <n v="128289"/>
    <n v="9"/>
    <s v="No"/>
    <x v="0"/>
    <n v="46192"/>
  </r>
  <r>
    <n v="47"/>
    <d v="2023-01-02T22:00:00"/>
    <x v="0"/>
    <n v="1"/>
    <x v="0"/>
    <s v="Hero"/>
    <x v="0"/>
    <x v="3"/>
    <n v="21207"/>
    <n v="1"/>
    <n v="81967"/>
    <n v="95562"/>
    <n v="9"/>
    <s v="No"/>
    <x v="0"/>
    <n v="-13595"/>
  </r>
  <r>
    <n v="48"/>
    <d v="2023-01-02T23:00:00"/>
    <x v="0"/>
    <n v="1"/>
    <x v="0"/>
    <s v="Yamaha"/>
    <x v="0"/>
    <x v="2"/>
    <n v="15748"/>
    <n v="3"/>
    <n v="25987"/>
    <n v="56196"/>
    <n v="11"/>
    <s v="No"/>
    <x v="0"/>
    <n v="-30209"/>
  </r>
  <r>
    <n v="49"/>
    <d v="2023-01-03T00:00:00"/>
    <x v="0"/>
    <n v="1"/>
    <x v="0"/>
    <s v="Hero"/>
    <x v="0"/>
    <x v="2"/>
    <n v="71809"/>
    <n v="3"/>
    <n v="121854"/>
    <n v="38569"/>
    <n v="6"/>
    <s v="Yes"/>
    <x v="0"/>
    <n v="83285"/>
  </r>
  <r>
    <n v="50"/>
    <d v="2023-01-03T01:00:00"/>
    <x v="0"/>
    <n v="1"/>
    <x v="0"/>
    <s v="Bajaj"/>
    <x v="0"/>
    <x v="1"/>
    <n v="78822"/>
    <n v="1"/>
    <n v="51015"/>
    <n v="134598"/>
    <n v="11"/>
    <s v="No"/>
    <x v="1"/>
    <n v="-83583"/>
  </r>
  <r>
    <n v="51"/>
    <d v="2023-01-03T02:00:00"/>
    <x v="0"/>
    <n v="1"/>
    <x v="0"/>
    <s v="Bajaj"/>
    <x v="0"/>
    <x v="2"/>
    <n v="52220"/>
    <n v="2"/>
    <n v="137350"/>
    <n v="56887"/>
    <n v="1"/>
    <s v="Yes"/>
    <x v="0"/>
    <n v="80463"/>
  </r>
  <r>
    <n v="52"/>
    <d v="2023-01-03T03:00:00"/>
    <x v="0"/>
    <n v="1"/>
    <x v="0"/>
    <s v="Bajaj"/>
    <x v="1"/>
    <x v="1"/>
    <n v="15537"/>
    <n v="7"/>
    <n v="91404"/>
    <n v="35893"/>
    <n v="11"/>
    <s v="No"/>
    <x v="0"/>
    <n v="55511"/>
  </r>
  <r>
    <n v="53"/>
    <d v="2023-01-03T04:00:00"/>
    <x v="0"/>
    <n v="1"/>
    <x v="0"/>
    <s v="Bajaj"/>
    <x v="0"/>
    <x v="3"/>
    <n v="67921"/>
    <n v="8"/>
    <n v="141751"/>
    <n v="102971"/>
    <n v="13"/>
    <s v="No"/>
    <x v="0"/>
    <n v="38780"/>
  </r>
  <r>
    <n v="54"/>
    <d v="2023-01-03T05:00:00"/>
    <x v="0"/>
    <n v="1"/>
    <x v="0"/>
    <s v="Yamaha"/>
    <x v="1"/>
    <x v="0"/>
    <n v="82367"/>
    <n v="5"/>
    <n v="153807"/>
    <n v="70304"/>
    <n v="12"/>
    <s v="No"/>
    <x v="0"/>
    <n v="83503"/>
  </r>
  <r>
    <n v="55"/>
    <d v="2023-01-03T06:00:00"/>
    <x v="0"/>
    <n v="1"/>
    <x v="0"/>
    <s v="TVS"/>
    <x v="0"/>
    <x v="2"/>
    <n v="41112"/>
    <n v="9"/>
    <n v="73231"/>
    <n v="138299"/>
    <n v="6"/>
    <s v="Yes"/>
    <x v="0"/>
    <n v="-65068"/>
  </r>
  <r>
    <n v="56"/>
    <d v="2023-01-03T07:00:00"/>
    <x v="0"/>
    <n v="1"/>
    <x v="0"/>
    <s v="Honda"/>
    <x v="1"/>
    <x v="2"/>
    <n v="88531"/>
    <n v="1"/>
    <n v="53305"/>
    <n v="117428"/>
    <n v="8"/>
    <s v="No"/>
    <x v="0"/>
    <n v="-64123"/>
  </r>
  <r>
    <n v="57"/>
    <d v="2023-01-03T08:00:00"/>
    <x v="0"/>
    <n v="1"/>
    <x v="0"/>
    <s v="Bajaj"/>
    <x v="0"/>
    <x v="2"/>
    <n v="13950"/>
    <n v="1"/>
    <n v="79306"/>
    <n v="47399"/>
    <n v="5"/>
    <s v="Yes"/>
    <x v="0"/>
    <n v="31907"/>
  </r>
  <r>
    <n v="58"/>
    <d v="2023-01-03T09:00:00"/>
    <x v="0"/>
    <n v="1"/>
    <x v="0"/>
    <s v="Hero"/>
    <x v="0"/>
    <x v="3"/>
    <n v="9991"/>
    <n v="6"/>
    <n v="146139"/>
    <n v="132083"/>
    <n v="5"/>
    <s v="Yes"/>
    <x v="0"/>
    <n v="14056"/>
  </r>
  <r>
    <n v="59"/>
    <d v="2023-01-03T10:00:00"/>
    <x v="0"/>
    <n v="1"/>
    <x v="0"/>
    <s v="Bajaj"/>
    <x v="1"/>
    <x v="1"/>
    <n v="75304"/>
    <n v="7"/>
    <n v="43318"/>
    <n v="40236"/>
    <n v="1"/>
    <s v="Yes"/>
    <x v="0"/>
    <n v="3082"/>
  </r>
  <r>
    <n v="60"/>
    <d v="2023-01-03T11:00:00"/>
    <x v="0"/>
    <n v="1"/>
    <x v="0"/>
    <s v="Hero"/>
    <x v="0"/>
    <x v="3"/>
    <n v="93793"/>
    <n v="7"/>
    <n v="169318"/>
    <n v="107735"/>
    <n v="1"/>
    <s v="Yes"/>
    <x v="0"/>
    <n v="61583"/>
  </r>
  <r>
    <n v="61"/>
    <d v="2023-01-03T12:00:00"/>
    <x v="0"/>
    <n v="1"/>
    <x v="0"/>
    <s v="Hero"/>
    <x v="1"/>
    <x v="0"/>
    <n v="7291"/>
    <n v="5"/>
    <n v="46584"/>
    <n v="100870"/>
    <n v="8"/>
    <s v="No"/>
    <x v="0"/>
    <n v="-54286"/>
  </r>
  <r>
    <n v="62"/>
    <d v="2023-01-03T13:00:00"/>
    <x v="0"/>
    <n v="1"/>
    <x v="0"/>
    <s v="Bajaj"/>
    <x v="0"/>
    <x v="3"/>
    <n v="28814"/>
    <n v="9"/>
    <n v="40169"/>
    <n v="129679"/>
    <n v="13"/>
    <s v="No"/>
    <x v="1"/>
    <n v="-89510"/>
  </r>
  <r>
    <n v="63"/>
    <d v="2023-01-03T14:00:00"/>
    <x v="0"/>
    <n v="1"/>
    <x v="0"/>
    <s v="Yamaha"/>
    <x v="0"/>
    <x v="0"/>
    <n v="52383"/>
    <n v="7"/>
    <n v="50968"/>
    <n v="113753"/>
    <n v="5"/>
    <s v="Yes"/>
    <x v="0"/>
    <n v="-62785"/>
  </r>
  <r>
    <n v="64"/>
    <d v="2023-01-03T15:00:00"/>
    <x v="0"/>
    <n v="1"/>
    <x v="0"/>
    <s v="Hero"/>
    <x v="0"/>
    <x v="2"/>
    <n v="94619"/>
    <n v="0"/>
    <n v="162457"/>
    <n v="64531"/>
    <n v="8"/>
    <s v="No"/>
    <x v="0"/>
    <n v="97926"/>
  </r>
  <r>
    <n v="65"/>
    <d v="2023-01-03T16:00:00"/>
    <x v="0"/>
    <n v="1"/>
    <x v="0"/>
    <s v="Hero"/>
    <x v="0"/>
    <x v="0"/>
    <n v="87586"/>
    <n v="8"/>
    <n v="147684"/>
    <n v="95570"/>
    <n v="10"/>
    <s v="No"/>
    <x v="0"/>
    <n v="52114"/>
  </r>
  <r>
    <n v="66"/>
    <d v="2023-01-03T17:00:00"/>
    <x v="0"/>
    <n v="1"/>
    <x v="0"/>
    <s v="Bajaj"/>
    <x v="0"/>
    <x v="0"/>
    <n v="66129"/>
    <n v="0"/>
    <n v="140391"/>
    <n v="111621"/>
    <n v="2"/>
    <s v="Yes"/>
    <x v="0"/>
    <n v="28770"/>
  </r>
  <r>
    <n v="67"/>
    <d v="2023-01-03T18:00:00"/>
    <x v="0"/>
    <n v="1"/>
    <x v="0"/>
    <s v="Hero"/>
    <x v="0"/>
    <x v="1"/>
    <n v="10467"/>
    <n v="2"/>
    <n v="50444"/>
    <n v="24442"/>
    <n v="4"/>
    <s v="Yes"/>
    <x v="0"/>
    <n v="26002"/>
  </r>
  <r>
    <n v="68"/>
    <d v="2023-01-03T19:00:00"/>
    <x v="0"/>
    <n v="1"/>
    <x v="0"/>
    <s v="Hero"/>
    <x v="0"/>
    <x v="0"/>
    <n v="82254"/>
    <n v="8"/>
    <n v="131081"/>
    <n v="71437"/>
    <n v="13"/>
    <s v="No"/>
    <x v="1"/>
    <n v="59644"/>
  </r>
  <r>
    <n v="69"/>
    <d v="2023-01-03T20:00:00"/>
    <x v="0"/>
    <n v="1"/>
    <x v="0"/>
    <s v="Bajaj"/>
    <x v="0"/>
    <x v="0"/>
    <n v="43720"/>
    <n v="4"/>
    <n v="87497"/>
    <n v="75342"/>
    <n v="11"/>
    <s v="No"/>
    <x v="0"/>
    <n v="12155"/>
  </r>
  <r>
    <n v="70"/>
    <d v="2023-01-03T21:00:00"/>
    <x v="0"/>
    <n v="1"/>
    <x v="0"/>
    <s v="Bajaj"/>
    <x v="0"/>
    <x v="3"/>
    <n v="74663"/>
    <n v="8"/>
    <n v="30362"/>
    <n v="93179"/>
    <n v="14"/>
    <s v="No"/>
    <x v="0"/>
    <n v="-62817"/>
  </r>
  <r>
    <n v="71"/>
    <d v="2023-01-03T22:00:00"/>
    <x v="0"/>
    <n v="1"/>
    <x v="0"/>
    <s v="Honda"/>
    <x v="0"/>
    <x v="2"/>
    <n v="5447"/>
    <n v="8"/>
    <n v="124254"/>
    <n v="50069"/>
    <n v="10"/>
    <s v="No"/>
    <x v="1"/>
    <n v="74185"/>
  </r>
  <r>
    <n v="72"/>
    <d v="2023-01-03T23:00:00"/>
    <x v="0"/>
    <n v="1"/>
    <x v="0"/>
    <s v="Yamaha"/>
    <x v="0"/>
    <x v="3"/>
    <n v="39919"/>
    <n v="5"/>
    <n v="164322"/>
    <n v="88246"/>
    <n v="9"/>
    <s v="No"/>
    <x v="0"/>
    <n v="76076"/>
  </r>
  <r>
    <n v="73"/>
    <d v="2023-01-04T00:00:00"/>
    <x v="0"/>
    <n v="1"/>
    <x v="0"/>
    <s v="Yamaha"/>
    <x v="0"/>
    <x v="3"/>
    <n v="56631"/>
    <n v="0"/>
    <n v="93354"/>
    <n v="53560"/>
    <n v="13"/>
    <s v="No"/>
    <x v="0"/>
    <n v="39794"/>
  </r>
  <r>
    <n v="74"/>
    <d v="2023-01-04T01:00:00"/>
    <x v="0"/>
    <n v="1"/>
    <x v="0"/>
    <s v="Hero"/>
    <x v="0"/>
    <x v="2"/>
    <n v="89214"/>
    <n v="9"/>
    <n v="61368"/>
    <n v="73070"/>
    <n v="3"/>
    <s v="Yes"/>
    <x v="0"/>
    <n v="-11702"/>
  </r>
  <r>
    <n v="75"/>
    <d v="2023-01-04T02:00:00"/>
    <x v="0"/>
    <n v="1"/>
    <x v="0"/>
    <s v="Yamaha"/>
    <x v="0"/>
    <x v="2"/>
    <n v="29376"/>
    <n v="6"/>
    <n v="69109"/>
    <n v="57427"/>
    <n v="6"/>
    <s v="Yes"/>
    <x v="0"/>
    <n v="11682"/>
  </r>
  <r>
    <n v="76"/>
    <d v="2023-01-04T03:00:00"/>
    <x v="0"/>
    <n v="1"/>
    <x v="0"/>
    <s v="Hero"/>
    <x v="0"/>
    <x v="0"/>
    <n v="88944"/>
    <n v="5"/>
    <n v="52426"/>
    <n v="75496"/>
    <n v="11"/>
    <s v="No"/>
    <x v="0"/>
    <n v="-23070"/>
  </r>
  <r>
    <n v="77"/>
    <d v="2023-01-04T04:00:00"/>
    <x v="0"/>
    <n v="1"/>
    <x v="0"/>
    <s v="Honda"/>
    <x v="0"/>
    <x v="0"/>
    <n v="20471"/>
    <n v="8"/>
    <n v="142632"/>
    <n v="79557"/>
    <n v="7"/>
    <s v="Yes"/>
    <x v="1"/>
    <n v="63075"/>
  </r>
  <r>
    <n v="78"/>
    <d v="2023-01-04T05:00:00"/>
    <x v="0"/>
    <n v="1"/>
    <x v="0"/>
    <s v="Bajaj"/>
    <x v="1"/>
    <x v="1"/>
    <n v="63039"/>
    <n v="6"/>
    <n v="137637"/>
    <n v="87752"/>
    <n v="3"/>
    <s v="Yes"/>
    <x v="0"/>
    <n v="49885"/>
  </r>
  <r>
    <n v="79"/>
    <d v="2023-01-04T06:00:00"/>
    <x v="0"/>
    <n v="1"/>
    <x v="0"/>
    <s v="Bajaj"/>
    <x v="0"/>
    <x v="3"/>
    <n v="98620"/>
    <n v="3"/>
    <n v="64023"/>
    <n v="92248"/>
    <n v="1"/>
    <s v="Yes"/>
    <x v="0"/>
    <n v="-28225"/>
  </r>
  <r>
    <n v="80"/>
    <d v="2023-01-04T07:00:00"/>
    <x v="0"/>
    <n v="1"/>
    <x v="0"/>
    <s v="Bajaj"/>
    <x v="0"/>
    <x v="2"/>
    <n v="49728"/>
    <n v="6"/>
    <n v="147268"/>
    <n v="85441"/>
    <n v="2"/>
    <s v="Yes"/>
    <x v="0"/>
    <n v="61827"/>
  </r>
  <r>
    <n v="81"/>
    <d v="2023-01-04T08:00:00"/>
    <x v="0"/>
    <n v="1"/>
    <x v="0"/>
    <s v="Yamaha"/>
    <x v="0"/>
    <x v="0"/>
    <n v="74995"/>
    <n v="1"/>
    <n v="134211"/>
    <n v="63534"/>
    <n v="11"/>
    <s v="No"/>
    <x v="0"/>
    <n v="70677"/>
  </r>
  <r>
    <n v="82"/>
    <d v="2023-01-04T09:00:00"/>
    <x v="0"/>
    <n v="1"/>
    <x v="0"/>
    <s v="Honda"/>
    <x v="0"/>
    <x v="2"/>
    <n v="28761"/>
    <n v="5"/>
    <n v="119897"/>
    <n v="119303"/>
    <n v="14"/>
    <s v="No"/>
    <x v="0"/>
    <n v="594"/>
  </r>
  <r>
    <n v="83"/>
    <d v="2023-01-04T10:00:00"/>
    <x v="0"/>
    <n v="1"/>
    <x v="0"/>
    <s v="Yamaha"/>
    <x v="0"/>
    <x v="0"/>
    <n v="61760"/>
    <n v="5"/>
    <n v="172079"/>
    <n v="42930"/>
    <n v="10"/>
    <s v="No"/>
    <x v="0"/>
    <n v="129149"/>
  </r>
  <r>
    <n v="84"/>
    <d v="2023-01-04T11:00:00"/>
    <x v="0"/>
    <n v="1"/>
    <x v="0"/>
    <s v="Yamaha"/>
    <x v="0"/>
    <x v="1"/>
    <n v="81871"/>
    <n v="1"/>
    <n v="104777"/>
    <n v="111728"/>
    <n v="7"/>
    <s v="Yes"/>
    <x v="0"/>
    <n v="-6951"/>
  </r>
  <r>
    <n v="85"/>
    <d v="2023-01-04T12:00:00"/>
    <x v="0"/>
    <n v="1"/>
    <x v="0"/>
    <s v="Honda"/>
    <x v="0"/>
    <x v="1"/>
    <n v="85293"/>
    <n v="3"/>
    <n v="69858"/>
    <n v="138295"/>
    <n v="7"/>
    <s v="Yes"/>
    <x v="0"/>
    <n v="-68437"/>
  </r>
  <r>
    <n v="86"/>
    <d v="2023-01-04T13:00:00"/>
    <x v="0"/>
    <n v="1"/>
    <x v="0"/>
    <s v="Honda"/>
    <x v="0"/>
    <x v="2"/>
    <n v="3846"/>
    <n v="7"/>
    <n v="115042"/>
    <n v="104042"/>
    <n v="12"/>
    <s v="No"/>
    <x v="0"/>
    <n v="11000"/>
  </r>
  <r>
    <n v="87"/>
    <d v="2023-01-04T14:00:00"/>
    <x v="0"/>
    <n v="1"/>
    <x v="0"/>
    <s v="Honda"/>
    <x v="1"/>
    <x v="1"/>
    <n v="96843"/>
    <n v="7"/>
    <n v="108098"/>
    <n v="130287"/>
    <n v="1"/>
    <s v="Yes"/>
    <x v="0"/>
    <n v="-22189"/>
  </r>
  <r>
    <n v="88"/>
    <d v="2023-01-04T15:00:00"/>
    <x v="0"/>
    <n v="1"/>
    <x v="0"/>
    <s v="Honda"/>
    <x v="1"/>
    <x v="2"/>
    <n v="96454"/>
    <n v="7"/>
    <n v="45239"/>
    <n v="22288"/>
    <n v="10"/>
    <s v="No"/>
    <x v="0"/>
    <n v="22951"/>
  </r>
  <r>
    <n v="89"/>
    <d v="2023-01-04T16:00:00"/>
    <x v="0"/>
    <n v="1"/>
    <x v="0"/>
    <s v="Bajaj"/>
    <x v="0"/>
    <x v="0"/>
    <n v="56676"/>
    <n v="7"/>
    <n v="169137"/>
    <n v="124570"/>
    <n v="7"/>
    <s v="Yes"/>
    <x v="0"/>
    <n v="44567"/>
  </r>
  <r>
    <n v="90"/>
    <d v="2023-01-04T17:00:00"/>
    <x v="0"/>
    <n v="1"/>
    <x v="0"/>
    <s v="TVS"/>
    <x v="0"/>
    <x v="3"/>
    <n v="52800"/>
    <n v="0"/>
    <n v="135951"/>
    <n v="110547"/>
    <n v="10"/>
    <s v="No"/>
    <x v="1"/>
    <n v="25404"/>
  </r>
  <r>
    <n v="91"/>
    <d v="2023-01-04T18:00:00"/>
    <x v="0"/>
    <n v="1"/>
    <x v="0"/>
    <s v="TVS"/>
    <x v="0"/>
    <x v="1"/>
    <n v="11840"/>
    <n v="1"/>
    <n v="66291"/>
    <n v="96122"/>
    <n v="11"/>
    <s v="No"/>
    <x v="0"/>
    <n v="-29831"/>
  </r>
  <r>
    <n v="92"/>
    <d v="2023-01-04T19:00:00"/>
    <x v="0"/>
    <n v="1"/>
    <x v="0"/>
    <s v="Honda"/>
    <x v="0"/>
    <x v="0"/>
    <n v="33512"/>
    <n v="3"/>
    <n v="63805"/>
    <n v="76518"/>
    <n v="6"/>
    <s v="Yes"/>
    <x v="0"/>
    <n v="-12713"/>
  </r>
  <r>
    <n v="93"/>
    <d v="2023-01-04T20:00:00"/>
    <x v="0"/>
    <n v="1"/>
    <x v="0"/>
    <s v="TVS"/>
    <x v="0"/>
    <x v="3"/>
    <n v="35893"/>
    <n v="8"/>
    <n v="123831"/>
    <n v="47400"/>
    <n v="11"/>
    <s v="No"/>
    <x v="0"/>
    <n v="76431"/>
  </r>
  <r>
    <n v="94"/>
    <d v="2023-01-04T21:00:00"/>
    <x v="0"/>
    <n v="1"/>
    <x v="0"/>
    <s v="TVS"/>
    <x v="0"/>
    <x v="3"/>
    <n v="75633"/>
    <n v="2"/>
    <n v="174515"/>
    <n v="137609"/>
    <n v="6"/>
    <s v="Yes"/>
    <x v="0"/>
    <n v="36906"/>
  </r>
  <r>
    <n v="95"/>
    <d v="2023-01-04T22:00:00"/>
    <x v="0"/>
    <n v="1"/>
    <x v="0"/>
    <s v="Honda"/>
    <x v="0"/>
    <x v="3"/>
    <n v="26057"/>
    <n v="5"/>
    <n v="34290"/>
    <n v="16567"/>
    <n v="7"/>
    <s v="Yes"/>
    <x v="0"/>
    <n v="17723"/>
  </r>
  <r>
    <n v="96"/>
    <d v="2023-01-04T23:00:00"/>
    <x v="0"/>
    <n v="1"/>
    <x v="0"/>
    <s v="TVS"/>
    <x v="0"/>
    <x v="0"/>
    <n v="64704"/>
    <n v="6"/>
    <n v="156283"/>
    <n v="62878"/>
    <n v="7"/>
    <s v="Yes"/>
    <x v="0"/>
    <n v="93405"/>
  </r>
  <r>
    <n v="97"/>
    <d v="2023-01-05T00:00:00"/>
    <x v="0"/>
    <n v="1"/>
    <x v="0"/>
    <s v="Yamaha"/>
    <x v="0"/>
    <x v="0"/>
    <n v="73773"/>
    <n v="7"/>
    <n v="108634"/>
    <n v="63850"/>
    <n v="1"/>
    <s v="Yes"/>
    <x v="0"/>
    <n v="44784"/>
  </r>
  <r>
    <n v="98"/>
    <d v="2023-01-05T01:00:00"/>
    <x v="0"/>
    <n v="1"/>
    <x v="0"/>
    <s v="Hero"/>
    <x v="1"/>
    <x v="2"/>
    <n v="17776"/>
    <n v="6"/>
    <n v="44072"/>
    <n v="16094"/>
    <n v="10"/>
    <s v="No"/>
    <x v="0"/>
    <n v="27978"/>
  </r>
  <r>
    <n v="99"/>
    <d v="2023-01-05T02:00:00"/>
    <x v="0"/>
    <n v="1"/>
    <x v="0"/>
    <s v="Hero"/>
    <x v="1"/>
    <x v="3"/>
    <n v="55139"/>
    <n v="2"/>
    <n v="68290"/>
    <n v="26135"/>
    <n v="5"/>
    <s v="Yes"/>
    <x v="1"/>
    <n v="42155"/>
  </r>
  <r>
    <n v="100"/>
    <d v="2023-01-05T03:00:00"/>
    <x v="0"/>
    <n v="1"/>
    <x v="0"/>
    <s v="Honda"/>
    <x v="0"/>
    <x v="3"/>
    <n v="7810"/>
    <n v="5"/>
    <n v="110186"/>
    <n v="94044"/>
    <n v="14"/>
    <s v="No"/>
    <x v="0"/>
    <n v="16142"/>
  </r>
  <r>
    <n v="101"/>
    <d v="2023-01-05T04:00:00"/>
    <x v="0"/>
    <n v="1"/>
    <x v="0"/>
    <s v="Bajaj"/>
    <x v="0"/>
    <x v="3"/>
    <n v="35667"/>
    <n v="4"/>
    <n v="40115"/>
    <n v="60113"/>
    <n v="14"/>
    <s v="No"/>
    <x v="0"/>
    <n v="-19998"/>
  </r>
  <r>
    <n v="102"/>
    <d v="2023-01-05T05:00:00"/>
    <x v="0"/>
    <n v="1"/>
    <x v="0"/>
    <s v="Honda"/>
    <x v="1"/>
    <x v="2"/>
    <n v="85380"/>
    <n v="9"/>
    <n v="30149"/>
    <n v="73791"/>
    <n v="8"/>
    <s v="No"/>
    <x v="0"/>
    <n v="-43642"/>
  </r>
  <r>
    <n v="103"/>
    <d v="2023-01-05T06:00:00"/>
    <x v="0"/>
    <n v="1"/>
    <x v="0"/>
    <s v="Bajaj"/>
    <x v="0"/>
    <x v="3"/>
    <n v="10891"/>
    <n v="3"/>
    <n v="66992"/>
    <n v="24684"/>
    <n v="8"/>
    <s v="No"/>
    <x v="0"/>
    <n v="42308"/>
  </r>
  <r>
    <n v="104"/>
    <d v="2023-01-05T07:00:00"/>
    <x v="0"/>
    <n v="1"/>
    <x v="0"/>
    <s v="Hero"/>
    <x v="0"/>
    <x v="0"/>
    <n v="51121"/>
    <n v="0"/>
    <n v="42716"/>
    <n v="107783"/>
    <n v="3"/>
    <s v="Yes"/>
    <x v="0"/>
    <n v="-65067"/>
  </r>
  <r>
    <n v="105"/>
    <d v="2023-01-05T08:00:00"/>
    <x v="0"/>
    <n v="1"/>
    <x v="0"/>
    <s v="Honda"/>
    <x v="0"/>
    <x v="3"/>
    <n v="11392"/>
    <n v="6"/>
    <n v="122724"/>
    <n v="86727"/>
    <n v="3"/>
    <s v="Yes"/>
    <x v="0"/>
    <n v="35997"/>
  </r>
  <r>
    <n v="106"/>
    <d v="2023-01-05T09:00:00"/>
    <x v="0"/>
    <n v="1"/>
    <x v="0"/>
    <s v="Yamaha"/>
    <x v="0"/>
    <x v="1"/>
    <n v="77233"/>
    <n v="7"/>
    <n v="38621"/>
    <n v="98378"/>
    <n v="7"/>
    <s v="Yes"/>
    <x v="0"/>
    <n v="-59757"/>
  </r>
  <r>
    <n v="107"/>
    <d v="2023-01-05T10:00:00"/>
    <x v="0"/>
    <n v="1"/>
    <x v="0"/>
    <s v="TVS"/>
    <x v="0"/>
    <x v="0"/>
    <n v="79086"/>
    <n v="1"/>
    <n v="162892"/>
    <n v="73552"/>
    <n v="4"/>
    <s v="Yes"/>
    <x v="0"/>
    <n v="89340"/>
  </r>
  <r>
    <n v="108"/>
    <d v="2023-01-05T11:00:00"/>
    <x v="0"/>
    <n v="1"/>
    <x v="0"/>
    <s v="Bajaj"/>
    <x v="1"/>
    <x v="2"/>
    <n v="36642"/>
    <n v="6"/>
    <n v="138065"/>
    <n v="23046"/>
    <n v="6"/>
    <s v="Yes"/>
    <x v="0"/>
    <n v="115019"/>
  </r>
  <r>
    <n v="109"/>
    <d v="2023-01-05T12:00:00"/>
    <x v="0"/>
    <n v="1"/>
    <x v="0"/>
    <s v="TVS"/>
    <x v="1"/>
    <x v="3"/>
    <n v="46179"/>
    <n v="5"/>
    <n v="55399"/>
    <n v="19934"/>
    <n v="9"/>
    <s v="No"/>
    <x v="0"/>
    <n v="35465"/>
  </r>
  <r>
    <n v="110"/>
    <d v="2023-01-05T13:00:00"/>
    <x v="0"/>
    <n v="1"/>
    <x v="0"/>
    <s v="TVS"/>
    <x v="0"/>
    <x v="1"/>
    <n v="42115"/>
    <n v="4"/>
    <n v="144374"/>
    <n v="74556"/>
    <n v="10"/>
    <s v="No"/>
    <x v="0"/>
    <n v="69818"/>
  </r>
  <r>
    <n v="111"/>
    <d v="2023-01-05T14:00:00"/>
    <x v="0"/>
    <n v="1"/>
    <x v="0"/>
    <s v="Honda"/>
    <x v="0"/>
    <x v="2"/>
    <n v="48053"/>
    <n v="3"/>
    <n v="170074"/>
    <n v="61806"/>
    <n v="2"/>
    <s v="Yes"/>
    <x v="0"/>
    <n v="108268"/>
  </r>
  <r>
    <n v="112"/>
    <d v="2023-01-05T15:00:00"/>
    <x v="0"/>
    <n v="1"/>
    <x v="0"/>
    <s v="TVS"/>
    <x v="1"/>
    <x v="2"/>
    <n v="79571"/>
    <n v="1"/>
    <n v="68098"/>
    <n v="16354"/>
    <n v="2"/>
    <s v="Yes"/>
    <x v="1"/>
    <n v="51744"/>
  </r>
  <r>
    <n v="113"/>
    <d v="2023-01-05T16:00:00"/>
    <x v="0"/>
    <n v="1"/>
    <x v="0"/>
    <s v="Yamaha"/>
    <x v="0"/>
    <x v="0"/>
    <n v="41502"/>
    <n v="9"/>
    <n v="70511"/>
    <n v="119777"/>
    <n v="6"/>
    <s v="Yes"/>
    <x v="0"/>
    <n v="-49266"/>
  </r>
  <r>
    <n v="114"/>
    <d v="2023-01-05T17:00:00"/>
    <x v="0"/>
    <n v="1"/>
    <x v="0"/>
    <s v="TVS"/>
    <x v="1"/>
    <x v="2"/>
    <n v="71158"/>
    <n v="5"/>
    <n v="78243"/>
    <n v="110352"/>
    <n v="3"/>
    <s v="Yes"/>
    <x v="0"/>
    <n v="-32109"/>
  </r>
  <r>
    <n v="115"/>
    <d v="2023-01-05T18:00:00"/>
    <x v="0"/>
    <n v="1"/>
    <x v="0"/>
    <s v="Honda"/>
    <x v="0"/>
    <x v="2"/>
    <n v="10352"/>
    <n v="4"/>
    <n v="140131"/>
    <n v="138092"/>
    <n v="1"/>
    <s v="Yes"/>
    <x v="0"/>
    <n v="2039"/>
  </r>
  <r>
    <n v="116"/>
    <d v="2023-01-05T19:00:00"/>
    <x v="0"/>
    <n v="1"/>
    <x v="0"/>
    <s v="Yamaha"/>
    <x v="0"/>
    <x v="2"/>
    <n v="5887"/>
    <n v="1"/>
    <n v="53750"/>
    <n v="68046"/>
    <n v="2"/>
    <s v="Yes"/>
    <x v="0"/>
    <n v="-14296"/>
  </r>
  <r>
    <n v="117"/>
    <d v="2023-01-05T20:00:00"/>
    <x v="0"/>
    <n v="1"/>
    <x v="0"/>
    <s v="Hero"/>
    <x v="0"/>
    <x v="2"/>
    <n v="97795"/>
    <n v="9"/>
    <n v="173382"/>
    <n v="126098"/>
    <n v="14"/>
    <s v="No"/>
    <x v="0"/>
    <n v="47284"/>
  </r>
  <r>
    <n v="118"/>
    <d v="2023-01-05T21:00:00"/>
    <x v="0"/>
    <n v="1"/>
    <x v="0"/>
    <s v="TVS"/>
    <x v="0"/>
    <x v="3"/>
    <n v="40494"/>
    <n v="6"/>
    <n v="80398"/>
    <n v="80064"/>
    <n v="13"/>
    <s v="No"/>
    <x v="0"/>
    <n v="334"/>
  </r>
  <r>
    <n v="119"/>
    <d v="2023-01-05T22:00:00"/>
    <x v="0"/>
    <n v="1"/>
    <x v="0"/>
    <s v="Honda"/>
    <x v="0"/>
    <x v="3"/>
    <n v="34225"/>
    <n v="5"/>
    <n v="69345"/>
    <n v="72184"/>
    <n v="7"/>
    <s v="Yes"/>
    <x v="0"/>
    <n v="-2839"/>
  </r>
  <r>
    <n v="120"/>
    <d v="2023-01-05T23:00:00"/>
    <x v="0"/>
    <n v="1"/>
    <x v="0"/>
    <s v="Hero"/>
    <x v="0"/>
    <x v="3"/>
    <n v="73182"/>
    <n v="8"/>
    <n v="118430"/>
    <n v="17963"/>
    <n v="4"/>
    <s v="Yes"/>
    <x v="0"/>
    <n v="100467"/>
  </r>
  <r>
    <n v="121"/>
    <d v="2023-01-06T00:00:00"/>
    <x v="0"/>
    <n v="1"/>
    <x v="0"/>
    <s v="Hero"/>
    <x v="0"/>
    <x v="3"/>
    <n v="1060"/>
    <n v="9"/>
    <n v="139921"/>
    <n v="42424"/>
    <n v="12"/>
    <s v="No"/>
    <x v="0"/>
    <n v="97497"/>
  </r>
  <r>
    <n v="122"/>
    <d v="2023-01-06T01:00:00"/>
    <x v="0"/>
    <n v="1"/>
    <x v="0"/>
    <s v="Bajaj"/>
    <x v="0"/>
    <x v="1"/>
    <n v="57065"/>
    <n v="4"/>
    <n v="116729"/>
    <n v="95039"/>
    <n v="2"/>
    <s v="Yes"/>
    <x v="0"/>
    <n v="21690"/>
  </r>
  <r>
    <n v="123"/>
    <d v="2023-01-06T02:00:00"/>
    <x v="0"/>
    <n v="1"/>
    <x v="0"/>
    <s v="Yamaha"/>
    <x v="0"/>
    <x v="3"/>
    <n v="1812"/>
    <n v="8"/>
    <n v="76843"/>
    <n v="18042"/>
    <n v="11"/>
    <s v="No"/>
    <x v="0"/>
    <n v="58801"/>
  </r>
  <r>
    <n v="124"/>
    <d v="2023-01-06T03:00:00"/>
    <x v="0"/>
    <n v="1"/>
    <x v="0"/>
    <s v="TVS"/>
    <x v="1"/>
    <x v="2"/>
    <n v="18705"/>
    <n v="8"/>
    <n v="166294"/>
    <n v="110777"/>
    <n v="12"/>
    <s v="No"/>
    <x v="0"/>
    <n v="55517"/>
  </r>
  <r>
    <n v="125"/>
    <d v="2023-01-06T04:00:00"/>
    <x v="0"/>
    <n v="1"/>
    <x v="0"/>
    <s v="Honda"/>
    <x v="1"/>
    <x v="3"/>
    <n v="12095"/>
    <n v="0"/>
    <n v="156458"/>
    <n v="120277"/>
    <n v="12"/>
    <s v="No"/>
    <x v="0"/>
    <n v="36181"/>
  </r>
  <r>
    <n v="126"/>
    <d v="2023-01-06T05:00:00"/>
    <x v="0"/>
    <n v="1"/>
    <x v="0"/>
    <s v="Bajaj"/>
    <x v="0"/>
    <x v="3"/>
    <n v="88066"/>
    <n v="4"/>
    <n v="89334"/>
    <n v="22139"/>
    <n v="8"/>
    <s v="No"/>
    <x v="0"/>
    <n v="67195"/>
  </r>
  <r>
    <n v="127"/>
    <d v="2023-01-06T06:00:00"/>
    <x v="0"/>
    <n v="1"/>
    <x v="0"/>
    <s v="Yamaha"/>
    <x v="0"/>
    <x v="0"/>
    <n v="21829"/>
    <n v="8"/>
    <n v="92170"/>
    <n v="26226"/>
    <n v="4"/>
    <s v="Yes"/>
    <x v="0"/>
    <n v="65944"/>
  </r>
  <r>
    <n v="128"/>
    <d v="2023-01-06T07:00:00"/>
    <x v="0"/>
    <n v="1"/>
    <x v="0"/>
    <s v="Bajaj"/>
    <x v="0"/>
    <x v="2"/>
    <n v="68687"/>
    <n v="6"/>
    <n v="65878"/>
    <n v="120234"/>
    <n v="4"/>
    <s v="Yes"/>
    <x v="0"/>
    <n v="-54356"/>
  </r>
  <r>
    <n v="129"/>
    <d v="2023-01-06T08:00:00"/>
    <x v="0"/>
    <n v="1"/>
    <x v="0"/>
    <s v="Yamaha"/>
    <x v="0"/>
    <x v="3"/>
    <n v="76042"/>
    <n v="5"/>
    <n v="178024"/>
    <n v="95298"/>
    <n v="2"/>
    <s v="Yes"/>
    <x v="0"/>
    <n v="82726"/>
  </r>
  <r>
    <n v="130"/>
    <d v="2023-01-06T09:00:00"/>
    <x v="0"/>
    <n v="1"/>
    <x v="0"/>
    <s v="Yamaha"/>
    <x v="1"/>
    <x v="3"/>
    <n v="36145"/>
    <n v="5"/>
    <n v="115352"/>
    <n v="98652"/>
    <n v="14"/>
    <s v="No"/>
    <x v="0"/>
    <n v="16700"/>
  </r>
  <r>
    <n v="131"/>
    <d v="2023-01-06T10:00:00"/>
    <x v="0"/>
    <n v="1"/>
    <x v="0"/>
    <s v="TVS"/>
    <x v="0"/>
    <x v="3"/>
    <n v="88002"/>
    <n v="6"/>
    <n v="177601"/>
    <n v="137558"/>
    <n v="1"/>
    <s v="Yes"/>
    <x v="0"/>
    <n v="40043"/>
  </r>
  <r>
    <n v="132"/>
    <d v="2023-01-06T11:00:00"/>
    <x v="0"/>
    <n v="1"/>
    <x v="0"/>
    <s v="Yamaha"/>
    <x v="0"/>
    <x v="1"/>
    <n v="93882"/>
    <n v="0"/>
    <n v="43383"/>
    <n v="53108"/>
    <n v="1"/>
    <s v="Yes"/>
    <x v="1"/>
    <n v="-9725"/>
  </r>
  <r>
    <n v="133"/>
    <d v="2023-01-06T12:00:00"/>
    <x v="0"/>
    <n v="1"/>
    <x v="0"/>
    <s v="Bajaj"/>
    <x v="1"/>
    <x v="3"/>
    <n v="87810"/>
    <n v="3"/>
    <n v="160973"/>
    <n v="85647"/>
    <n v="3"/>
    <s v="Yes"/>
    <x v="0"/>
    <n v="75326"/>
  </r>
  <r>
    <n v="134"/>
    <d v="2023-01-06T13:00:00"/>
    <x v="0"/>
    <n v="1"/>
    <x v="0"/>
    <s v="Yamaha"/>
    <x v="0"/>
    <x v="0"/>
    <n v="70119"/>
    <n v="0"/>
    <n v="67889"/>
    <n v="83617"/>
    <n v="6"/>
    <s v="Yes"/>
    <x v="0"/>
    <n v="-15728"/>
  </r>
  <r>
    <n v="135"/>
    <d v="2023-01-06T14:00:00"/>
    <x v="0"/>
    <n v="1"/>
    <x v="0"/>
    <s v="TVS"/>
    <x v="0"/>
    <x v="2"/>
    <n v="34013"/>
    <n v="5"/>
    <n v="39633"/>
    <n v="44815"/>
    <n v="7"/>
    <s v="Yes"/>
    <x v="0"/>
    <n v="-5182"/>
  </r>
  <r>
    <n v="136"/>
    <d v="2023-01-06T15:00:00"/>
    <x v="0"/>
    <n v="1"/>
    <x v="0"/>
    <s v="TVS"/>
    <x v="1"/>
    <x v="2"/>
    <n v="9249"/>
    <n v="3"/>
    <n v="87244"/>
    <n v="22802"/>
    <n v="13"/>
    <s v="No"/>
    <x v="0"/>
    <n v="64442"/>
  </r>
  <r>
    <n v="137"/>
    <d v="2023-01-06T16:00:00"/>
    <x v="0"/>
    <n v="1"/>
    <x v="0"/>
    <s v="Bajaj"/>
    <x v="0"/>
    <x v="3"/>
    <n v="31283"/>
    <n v="0"/>
    <n v="154177"/>
    <n v="57230"/>
    <n v="9"/>
    <s v="No"/>
    <x v="0"/>
    <n v="96947"/>
  </r>
  <r>
    <n v="138"/>
    <d v="2023-01-06T17:00:00"/>
    <x v="0"/>
    <n v="1"/>
    <x v="0"/>
    <s v="Hero"/>
    <x v="1"/>
    <x v="3"/>
    <n v="61145"/>
    <n v="8"/>
    <n v="175235"/>
    <n v="137215"/>
    <n v="5"/>
    <s v="Yes"/>
    <x v="0"/>
    <n v="38020"/>
  </r>
  <r>
    <n v="139"/>
    <d v="2023-01-06T18:00:00"/>
    <x v="0"/>
    <n v="1"/>
    <x v="0"/>
    <s v="Hero"/>
    <x v="0"/>
    <x v="3"/>
    <n v="83361"/>
    <n v="3"/>
    <n v="166779"/>
    <n v="78372"/>
    <n v="9"/>
    <s v="No"/>
    <x v="0"/>
    <n v="88407"/>
  </r>
  <r>
    <n v="140"/>
    <d v="2023-01-06T19:00:00"/>
    <x v="0"/>
    <n v="1"/>
    <x v="0"/>
    <s v="Yamaha"/>
    <x v="0"/>
    <x v="2"/>
    <n v="53675"/>
    <n v="5"/>
    <n v="108597"/>
    <n v="128884"/>
    <n v="8"/>
    <s v="No"/>
    <x v="0"/>
    <n v="-20287"/>
  </r>
  <r>
    <n v="141"/>
    <d v="2023-01-06T20:00:00"/>
    <x v="0"/>
    <n v="1"/>
    <x v="0"/>
    <s v="Honda"/>
    <x v="0"/>
    <x v="2"/>
    <n v="84716"/>
    <n v="6"/>
    <n v="40115"/>
    <n v="69020"/>
    <n v="1"/>
    <s v="Yes"/>
    <x v="0"/>
    <n v="-28905"/>
  </r>
  <r>
    <n v="142"/>
    <d v="2023-01-06T21:00:00"/>
    <x v="0"/>
    <n v="1"/>
    <x v="0"/>
    <s v="Yamaha"/>
    <x v="1"/>
    <x v="1"/>
    <n v="63209"/>
    <n v="7"/>
    <n v="100379"/>
    <n v="98449"/>
    <n v="11"/>
    <s v="No"/>
    <x v="0"/>
    <n v="1930"/>
  </r>
  <r>
    <n v="143"/>
    <d v="2023-01-06T22:00:00"/>
    <x v="0"/>
    <n v="1"/>
    <x v="0"/>
    <s v="Bajaj"/>
    <x v="0"/>
    <x v="0"/>
    <n v="17823"/>
    <n v="8"/>
    <n v="64979"/>
    <n v="32465"/>
    <n v="12"/>
    <s v="No"/>
    <x v="0"/>
    <n v="32514"/>
  </r>
  <r>
    <n v="144"/>
    <d v="2023-01-06T23:00:00"/>
    <x v="0"/>
    <n v="1"/>
    <x v="0"/>
    <s v="Bajaj"/>
    <x v="0"/>
    <x v="1"/>
    <n v="51262"/>
    <n v="8"/>
    <n v="94377"/>
    <n v="22994"/>
    <n v="3"/>
    <s v="Yes"/>
    <x v="0"/>
    <n v="71383"/>
  </r>
  <r>
    <n v="145"/>
    <d v="2023-01-07T00:00:00"/>
    <x v="0"/>
    <n v="1"/>
    <x v="0"/>
    <s v="Bajaj"/>
    <x v="0"/>
    <x v="0"/>
    <n v="88720"/>
    <n v="7"/>
    <n v="31416"/>
    <n v="18531"/>
    <n v="8"/>
    <s v="No"/>
    <x v="0"/>
    <n v="12885"/>
  </r>
  <r>
    <n v="146"/>
    <d v="2023-01-07T01:00:00"/>
    <x v="0"/>
    <n v="1"/>
    <x v="0"/>
    <s v="Bajaj"/>
    <x v="0"/>
    <x v="1"/>
    <n v="64722"/>
    <n v="9"/>
    <n v="166705"/>
    <n v="24343"/>
    <n v="9"/>
    <s v="No"/>
    <x v="0"/>
    <n v="142362"/>
  </r>
  <r>
    <n v="147"/>
    <d v="2023-01-07T02:00:00"/>
    <x v="0"/>
    <n v="1"/>
    <x v="0"/>
    <s v="Bajaj"/>
    <x v="0"/>
    <x v="2"/>
    <n v="34993"/>
    <n v="2"/>
    <n v="153785"/>
    <n v="74066"/>
    <n v="14"/>
    <s v="No"/>
    <x v="0"/>
    <n v="79719"/>
  </r>
  <r>
    <n v="148"/>
    <d v="2023-01-07T03:00:00"/>
    <x v="0"/>
    <n v="1"/>
    <x v="0"/>
    <s v="TVS"/>
    <x v="0"/>
    <x v="1"/>
    <n v="58828"/>
    <n v="1"/>
    <n v="156666"/>
    <n v="114020"/>
    <n v="4"/>
    <s v="Yes"/>
    <x v="0"/>
    <n v="42646"/>
  </r>
  <r>
    <n v="149"/>
    <d v="2023-01-07T04:00:00"/>
    <x v="0"/>
    <n v="1"/>
    <x v="0"/>
    <s v="Hero"/>
    <x v="0"/>
    <x v="0"/>
    <n v="12713"/>
    <n v="4"/>
    <n v="170465"/>
    <n v="21229"/>
    <n v="14"/>
    <s v="No"/>
    <x v="0"/>
    <n v="149236"/>
  </r>
  <r>
    <n v="150"/>
    <d v="2023-01-07T05:00:00"/>
    <x v="0"/>
    <n v="1"/>
    <x v="0"/>
    <s v="Bajaj"/>
    <x v="0"/>
    <x v="3"/>
    <n v="97867"/>
    <n v="0"/>
    <n v="155364"/>
    <n v="109311"/>
    <n v="14"/>
    <s v="No"/>
    <x v="0"/>
    <n v="46053"/>
  </r>
  <r>
    <n v="151"/>
    <d v="2023-01-07T06:00:00"/>
    <x v="0"/>
    <n v="1"/>
    <x v="0"/>
    <s v="Honda"/>
    <x v="0"/>
    <x v="0"/>
    <n v="47430"/>
    <n v="2"/>
    <n v="122507"/>
    <n v="107302"/>
    <n v="14"/>
    <s v="No"/>
    <x v="0"/>
    <n v="15205"/>
  </r>
  <r>
    <n v="152"/>
    <d v="2023-01-07T07:00:00"/>
    <x v="0"/>
    <n v="1"/>
    <x v="0"/>
    <s v="Honda"/>
    <x v="0"/>
    <x v="3"/>
    <n v="28213"/>
    <n v="0"/>
    <n v="143243"/>
    <n v="97124"/>
    <n v="12"/>
    <s v="No"/>
    <x v="0"/>
    <n v="46119"/>
  </r>
  <r>
    <n v="153"/>
    <d v="2023-01-07T08:00:00"/>
    <x v="0"/>
    <n v="1"/>
    <x v="0"/>
    <s v="Honda"/>
    <x v="0"/>
    <x v="2"/>
    <n v="73223"/>
    <n v="2"/>
    <n v="160933"/>
    <n v="103704"/>
    <n v="6"/>
    <s v="Yes"/>
    <x v="0"/>
    <n v="57229"/>
  </r>
  <r>
    <n v="154"/>
    <d v="2023-01-07T09:00:00"/>
    <x v="0"/>
    <n v="1"/>
    <x v="0"/>
    <s v="Honda"/>
    <x v="1"/>
    <x v="0"/>
    <n v="98836"/>
    <n v="3"/>
    <n v="128070"/>
    <n v="59789"/>
    <n v="4"/>
    <s v="Yes"/>
    <x v="1"/>
    <n v="68281"/>
  </r>
  <r>
    <n v="155"/>
    <d v="2023-01-07T10:00:00"/>
    <x v="0"/>
    <n v="1"/>
    <x v="0"/>
    <s v="TVS"/>
    <x v="0"/>
    <x v="1"/>
    <n v="33083"/>
    <n v="6"/>
    <n v="61126"/>
    <n v="59069"/>
    <n v="13"/>
    <s v="No"/>
    <x v="0"/>
    <n v="2057"/>
  </r>
  <r>
    <n v="156"/>
    <d v="2023-01-07T11:00:00"/>
    <x v="0"/>
    <n v="1"/>
    <x v="0"/>
    <s v="Honda"/>
    <x v="1"/>
    <x v="0"/>
    <n v="80444"/>
    <n v="4"/>
    <n v="105382"/>
    <n v="117398"/>
    <n v="9"/>
    <s v="No"/>
    <x v="1"/>
    <n v="-12016"/>
  </r>
  <r>
    <n v="157"/>
    <d v="2023-01-07T12:00:00"/>
    <x v="0"/>
    <n v="1"/>
    <x v="0"/>
    <s v="Bajaj"/>
    <x v="0"/>
    <x v="3"/>
    <n v="22869"/>
    <n v="4"/>
    <n v="43228"/>
    <n v="102402"/>
    <n v="2"/>
    <s v="Yes"/>
    <x v="0"/>
    <n v="-59174"/>
  </r>
  <r>
    <n v="158"/>
    <d v="2023-01-07T13:00:00"/>
    <x v="0"/>
    <n v="1"/>
    <x v="0"/>
    <s v="Yamaha"/>
    <x v="0"/>
    <x v="2"/>
    <n v="48428"/>
    <n v="0"/>
    <n v="49009"/>
    <n v="135428"/>
    <n v="6"/>
    <s v="Yes"/>
    <x v="0"/>
    <n v="-86419"/>
  </r>
  <r>
    <n v="159"/>
    <d v="2023-01-07T14:00:00"/>
    <x v="0"/>
    <n v="1"/>
    <x v="0"/>
    <s v="Honda"/>
    <x v="0"/>
    <x v="1"/>
    <n v="69450"/>
    <n v="7"/>
    <n v="25094"/>
    <n v="24524"/>
    <n v="11"/>
    <s v="No"/>
    <x v="0"/>
    <n v="570"/>
  </r>
  <r>
    <n v="160"/>
    <d v="2023-01-07T15:00:00"/>
    <x v="0"/>
    <n v="1"/>
    <x v="0"/>
    <s v="TVS"/>
    <x v="0"/>
    <x v="0"/>
    <n v="20010"/>
    <n v="3"/>
    <n v="105636"/>
    <n v="136907"/>
    <n v="13"/>
    <s v="No"/>
    <x v="0"/>
    <n v="-31271"/>
  </r>
  <r>
    <n v="161"/>
    <d v="2023-01-07T16:00:00"/>
    <x v="0"/>
    <n v="1"/>
    <x v="0"/>
    <s v="TVS"/>
    <x v="0"/>
    <x v="3"/>
    <n v="12620"/>
    <n v="9"/>
    <n v="123453"/>
    <n v="139928"/>
    <n v="3"/>
    <s v="Yes"/>
    <x v="0"/>
    <n v="-16475"/>
  </r>
  <r>
    <n v="162"/>
    <d v="2023-01-07T17:00:00"/>
    <x v="0"/>
    <n v="1"/>
    <x v="0"/>
    <s v="Honda"/>
    <x v="0"/>
    <x v="1"/>
    <n v="99075"/>
    <n v="4"/>
    <n v="173502"/>
    <n v="103074"/>
    <n v="10"/>
    <s v="No"/>
    <x v="0"/>
    <n v="70428"/>
  </r>
  <r>
    <n v="163"/>
    <d v="2023-01-07T18:00:00"/>
    <x v="0"/>
    <n v="1"/>
    <x v="0"/>
    <s v="Yamaha"/>
    <x v="0"/>
    <x v="2"/>
    <n v="5795"/>
    <n v="1"/>
    <n v="79486"/>
    <n v="123345"/>
    <n v="4"/>
    <s v="Yes"/>
    <x v="0"/>
    <n v="-43859"/>
  </r>
  <r>
    <n v="164"/>
    <d v="2023-01-07T19:00:00"/>
    <x v="0"/>
    <n v="1"/>
    <x v="0"/>
    <s v="Honda"/>
    <x v="0"/>
    <x v="1"/>
    <n v="20960"/>
    <n v="0"/>
    <n v="115510"/>
    <n v="101762"/>
    <n v="2"/>
    <s v="Yes"/>
    <x v="0"/>
    <n v="13748"/>
  </r>
  <r>
    <n v="165"/>
    <d v="2023-01-07T20:00:00"/>
    <x v="0"/>
    <n v="1"/>
    <x v="0"/>
    <s v="TVS"/>
    <x v="0"/>
    <x v="2"/>
    <n v="15463"/>
    <n v="8"/>
    <n v="45860"/>
    <n v="78103"/>
    <n v="11"/>
    <s v="No"/>
    <x v="0"/>
    <n v="-32243"/>
  </r>
  <r>
    <n v="166"/>
    <d v="2023-01-07T21:00:00"/>
    <x v="0"/>
    <n v="1"/>
    <x v="0"/>
    <s v="Hero"/>
    <x v="0"/>
    <x v="1"/>
    <n v="77616"/>
    <n v="1"/>
    <n v="97812"/>
    <n v="23103"/>
    <n v="8"/>
    <s v="No"/>
    <x v="0"/>
    <n v="74709"/>
  </r>
  <r>
    <n v="167"/>
    <d v="2023-01-07T22:00:00"/>
    <x v="0"/>
    <n v="1"/>
    <x v="0"/>
    <s v="Bajaj"/>
    <x v="0"/>
    <x v="0"/>
    <n v="88322"/>
    <n v="5"/>
    <n v="91087"/>
    <n v="73581"/>
    <n v="10"/>
    <s v="No"/>
    <x v="0"/>
    <n v="17506"/>
  </r>
  <r>
    <n v="168"/>
    <d v="2023-01-07T23:00:00"/>
    <x v="0"/>
    <n v="1"/>
    <x v="0"/>
    <s v="TVS"/>
    <x v="0"/>
    <x v="3"/>
    <n v="27828"/>
    <n v="0"/>
    <n v="164558"/>
    <n v="98938"/>
    <n v="8"/>
    <s v="No"/>
    <x v="0"/>
    <n v="65620"/>
  </r>
  <r>
    <n v="169"/>
    <d v="2023-01-08T00:00:00"/>
    <x v="0"/>
    <n v="2"/>
    <x v="0"/>
    <s v="Honda"/>
    <x v="0"/>
    <x v="0"/>
    <n v="85129"/>
    <n v="0"/>
    <n v="74607"/>
    <n v="69203"/>
    <n v="1"/>
    <s v="Yes"/>
    <x v="0"/>
    <n v="5404"/>
  </r>
  <r>
    <n v="170"/>
    <d v="2023-01-08T01:00:00"/>
    <x v="0"/>
    <n v="2"/>
    <x v="0"/>
    <s v="Bajaj"/>
    <x v="0"/>
    <x v="0"/>
    <n v="22105"/>
    <n v="8"/>
    <n v="165817"/>
    <n v="30090"/>
    <n v="10"/>
    <s v="No"/>
    <x v="0"/>
    <n v="135727"/>
  </r>
  <r>
    <n v="171"/>
    <d v="2023-01-08T02:00:00"/>
    <x v="0"/>
    <n v="2"/>
    <x v="0"/>
    <s v="Honda"/>
    <x v="0"/>
    <x v="2"/>
    <n v="45313"/>
    <n v="3"/>
    <n v="131664"/>
    <n v="30915"/>
    <n v="6"/>
    <s v="Yes"/>
    <x v="0"/>
    <n v="100749"/>
  </r>
  <r>
    <n v="172"/>
    <d v="2023-01-08T03:00:00"/>
    <x v="0"/>
    <n v="2"/>
    <x v="0"/>
    <s v="Honda"/>
    <x v="0"/>
    <x v="2"/>
    <n v="46871"/>
    <n v="8"/>
    <n v="43330"/>
    <n v="56477"/>
    <n v="1"/>
    <s v="Yes"/>
    <x v="0"/>
    <n v="-13147"/>
  </r>
  <r>
    <n v="173"/>
    <d v="2023-01-08T04:00:00"/>
    <x v="0"/>
    <n v="2"/>
    <x v="0"/>
    <s v="Hero"/>
    <x v="0"/>
    <x v="2"/>
    <n v="48098"/>
    <n v="4"/>
    <n v="145803"/>
    <n v="71987"/>
    <n v="6"/>
    <s v="Yes"/>
    <x v="0"/>
    <n v="73816"/>
  </r>
  <r>
    <n v="174"/>
    <d v="2023-01-08T05:00:00"/>
    <x v="0"/>
    <n v="2"/>
    <x v="0"/>
    <s v="Bajaj"/>
    <x v="0"/>
    <x v="0"/>
    <n v="61276"/>
    <n v="6"/>
    <n v="68336"/>
    <n v="114742"/>
    <n v="7"/>
    <s v="Yes"/>
    <x v="0"/>
    <n v="-46406"/>
  </r>
  <r>
    <n v="175"/>
    <d v="2023-01-08T06:00:00"/>
    <x v="0"/>
    <n v="2"/>
    <x v="0"/>
    <s v="Bajaj"/>
    <x v="0"/>
    <x v="1"/>
    <n v="72758"/>
    <n v="0"/>
    <n v="33070"/>
    <n v="68238"/>
    <n v="2"/>
    <s v="Yes"/>
    <x v="0"/>
    <n v="-35168"/>
  </r>
  <r>
    <n v="176"/>
    <d v="2023-01-08T07:00:00"/>
    <x v="0"/>
    <n v="2"/>
    <x v="0"/>
    <s v="Hero"/>
    <x v="0"/>
    <x v="1"/>
    <n v="41469"/>
    <n v="5"/>
    <n v="26320"/>
    <n v="102047"/>
    <n v="9"/>
    <s v="No"/>
    <x v="0"/>
    <n v="-75727"/>
  </r>
  <r>
    <n v="177"/>
    <d v="2023-01-08T08:00:00"/>
    <x v="0"/>
    <n v="2"/>
    <x v="0"/>
    <s v="TVS"/>
    <x v="0"/>
    <x v="0"/>
    <n v="37412"/>
    <n v="7"/>
    <n v="114043"/>
    <n v="131740"/>
    <n v="8"/>
    <s v="No"/>
    <x v="0"/>
    <n v="-17697"/>
  </r>
  <r>
    <n v="178"/>
    <d v="2023-01-08T09:00:00"/>
    <x v="0"/>
    <n v="2"/>
    <x v="0"/>
    <s v="Honda"/>
    <x v="0"/>
    <x v="0"/>
    <n v="38874"/>
    <n v="0"/>
    <n v="63921"/>
    <n v="137217"/>
    <n v="9"/>
    <s v="No"/>
    <x v="0"/>
    <n v="-73296"/>
  </r>
  <r>
    <n v="179"/>
    <d v="2023-01-08T10:00:00"/>
    <x v="0"/>
    <n v="2"/>
    <x v="0"/>
    <s v="Yamaha"/>
    <x v="0"/>
    <x v="3"/>
    <n v="72802"/>
    <n v="8"/>
    <n v="31589"/>
    <n v="30029"/>
    <n v="10"/>
    <s v="No"/>
    <x v="0"/>
    <n v="1560"/>
  </r>
  <r>
    <n v="180"/>
    <d v="2023-01-08T11:00:00"/>
    <x v="0"/>
    <n v="2"/>
    <x v="0"/>
    <s v="Honda"/>
    <x v="1"/>
    <x v="2"/>
    <n v="63284"/>
    <n v="2"/>
    <n v="117995"/>
    <n v="111367"/>
    <n v="13"/>
    <s v="No"/>
    <x v="0"/>
    <n v="6628"/>
  </r>
  <r>
    <n v="181"/>
    <d v="2023-01-08T12:00:00"/>
    <x v="0"/>
    <n v="2"/>
    <x v="0"/>
    <s v="Honda"/>
    <x v="0"/>
    <x v="2"/>
    <n v="50382"/>
    <n v="0"/>
    <n v="40589"/>
    <n v="104067"/>
    <n v="4"/>
    <s v="Yes"/>
    <x v="0"/>
    <n v="-63478"/>
  </r>
  <r>
    <n v="182"/>
    <d v="2023-01-08T13:00:00"/>
    <x v="0"/>
    <n v="2"/>
    <x v="0"/>
    <s v="TVS"/>
    <x v="1"/>
    <x v="0"/>
    <n v="16428"/>
    <n v="0"/>
    <n v="61375"/>
    <n v="68520"/>
    <n v="4"/>
    <s v="Yes"/>
    <x v="0"/>
    <n v="-7145"/>
  </r>
  <r>
    <n v="183"/>
    <d v="2023-01-08T14:00:00"/>
    <x v="0"/>
    <n v="2"/>
    <x v="0"/>
    <s v="Honda"/>
    <x v="0"/>
    <x v="0"/>
    <n v="21774"/>
    <n v="5"/>
    <n v="68085"/>
    <n v="85053"/>
    <n v="12"/>
    <s v="No"/>
    <x v="0"/>
    <n v="-16968"/>
  </r>
  <r>
    <n v="184"/>
    <d v="2023-01-08T15:00:00"/>
    <x v="0"/>
    <n v="2"/>
    <x v="0"/>
    <s v="Hero"/>
    <x v="0"/>
    <x v="1"/>
    <n v="34916"/>
    <n v="5"/>
    <n v="85840"/>
    <n v="66464"/>
    <n v="8"/>
    <s v="No"/>
    <x v="0"/>
    <n v="19376"/>
  </r>
  <r>
    <n v="185"/>
    <d v="2023-01-08T16:00:00"/>
    <x v="0"/>
    <n v="2"/>
    <x v="0"/>
    <s v="Hero"/>
    <x v="0"/>
    <x v="0"/>
    <n v="86648"/>
    <n v="0"/>
    <n v="123704"/>
    <n v="36961"/>
    <n v="1"/>
    <s v="Yes"/>
    <x v="0"/>
    <n v="86743"/>
  </r>
  <r>
    <n v="186"/>
    <d v="2023-01-08T17:00:00"/>
    <x v="0"/>
    <n v="2"/>
    <x v="0"/>
    <s v="Bajaj"/>
    <x v="0"/>
    <x v="1"/>
    <n v="61498"/>
    <n v="2"/>
    <n v="122047"/>
    <n v="41835"/>
    <n v="8"/>
    <s v="No"/>
    <x v="0"/>
    <n v="80212"/>
  </r>
  <r>
    <n v="187"/>
    <d v="2023-01-08T18:00:00"/>
    <x v="0"/>
    <n v="2"/>
    <x v="0"/>
    <s v="Yamaha"/>
    <x v="0"/>
    <x v="0"/>
    <n v="29547"/>
    <n v="6"/>
    <n v="178498"/>
    <n v="42725"/>
    <n v="7"/>
    <s v="Yes"/>
    <x v="0"/>
    <n v="135773"/>
  </r>
  <r>
    <n v="188"/>
    <d v="2023-01-08T19:00:00"/>
    <x v="0"/>
    <n v="2"/>
    <x v="0"/>
    <s v="Honda"/>
    <x v="0"/>
    <x v="3"/>
    <n v="43856"/>
    <n v="9"/>
    <n v="55982"/>
    <n v="40357"/>
    <n v="12"/>
    <s v="No"/>
    <x v="0"/>
    <n v="15625"/>
  </r>
  <r>
    <n v="189"/>
    <d v="2023-01-08T20:00:00"/>
    <x v="0"/>
    <n v="2"/>
    <x v="0"/>
    <s v="Honda"/>
    <x v="0"/>
    <x v="3"/>
    <n v="37634"/>
    <n v="2"/>
    <n v="84720"/>
    <n v="124209"/>
    <n v="7"/>
    <s v="Yes"/>
    <x v="0"/>
    <n v="-39489"/>
  </r>
  <r>
    <n v="190"/>
    <d v="2023-01-08T21:00:00"/>
    <x v="0"/>
    <n v="2"/>
    <x v="0"/>
    <s v="TVS"/>
    <x v="0"/>
    <x v="1"/>
    <n v="67542"/>
    <n v="2"/>
    <n v="172818"/>
    <n v="16244"/>
    <n v="9"/>
    <s v="No"/>
    <x v="0"/>
    <n v="156574"/>
  </r>
  <r>
    <n v="191"/>
    <d v="2023-01-08T22:00:00"/>
    <x v="0"/>
    <n v="2"/>
    <x v="0"/>
    <s v="Hero"/>
    <x v="0"/>
    <x v="2"/>
    <n v="51810"/>
    <n v="2"/>
    <n v="53514"/>
    <n v="82952"/>
    <n v="13"/>
    <s v="No"/>
    <x v="0"/>
    <n v="-29438"/>
  </r>
  <r>
    <n v="192"/>
    <d v="2023-01-08T23:00:00"/>
    <x v="0"/>
    <n v="2"/>
    <x v="0"/>
    <s v="Yamaha"/>
    <x v="0"/>
    <x v="3"/>
    <n v="81258"/>
    <n v="6"/>
    <n v="159923"/>
    <n v="63061"/>
    <n v="10"/>
    <s v="No"/>
    <x v="0"/>
    <n v="96862"/>
  </r>
  <r>
    <n v="193"/>
    <d v="2023-01-09T00:00:00"/>
    <x v="0"/>
    <n v="2"/>
    <x v="0"/>
    <s v="Bajaj"/>
    <x v="0"/>
    <x v="1"/>
    <n v="12863"/>
    <n v="3"/>
    <n v="175868"/>
    <n v="21490"/>
    <n v="7"/>
    <s v="Yes"/>
    <x v="0"/>
    <n v="154378"/>
  </r>
  <r>
    <n v="194"/>
    <d v="2023-01-09T01:00:00"/>
    <x v="0"/>
    <n v="2"/>
    <x v="0"/>
    <s v="Hero"/>
    <x v="0"/>
    <x v="0"/>
    <n v="85649"/>
    <n v="3"/>
    <n v="101034"/>
    <n v="135856"/>
    <n v="2"/>
    <s v="Yes"/>
    <x v="0"/>
    <n v="-34822"/>
  </r>
  <r>
    <n v="195"/>
    <d v="2023-01-09T02:00:00"/>
    <x v="0"/>
    <n v="2"/>
    <x v="0"/>
    <s v="Bajaj"/>
    <x v="0"/>
    <x v="0"/>
    <n v="45063"/>
    <n v="2"/>
    <n v="123388"/>
    <n v="138855"/>
    <n v="1"/>
    <s v="Yes"/>
    <x v="0"/>
    <n v="-15467"/>
  </r>
  <r>
    <n v="196"/>
    <d v="2023-01-09T03:00:00"/>
    <x v="0"/>
    <n v="2"/>
    <x v="0"/>
    <s v="TVS"/>
    <x v="1"/>
    <x v="1"/>
    <n v="31128"/>
    <n v="9"/>
    <n v="69845"/>
    <n v="92219"/>
    <n v="1"/>
    <s v="Yes"/>
    <x v="1"/>
    <n v="-22374"/>
  </r>
  <r>
    <n v="197"/>
    <d v="2023-01-09T04:00:00"/>
    <x v="0"/>
    <n v="2"/>
    <x v="0"/>
    <s v="TVS"/>
    <x v="0"/>
    <x v="2"/>
    <n v="70172"/>
    <n v="8"/>
    <n v="172002"/>
    <n v="20839"/>
    <n v="7"/>
    <s v="Yes"/>
    <x v="0"/>
    <n v="151163"/>
  </r>
  <r>
    <n v="198"/>
    <d v="2023-01-09T05:00:00"/>
    <x v="0"/>
    <n v="2"/>
    <x v="0"/>
    <s v="Honda"/>
    <x v="1"/>
    <x v="1"/>
    <n v="46746"/>
    <n v="1"/>
    <n v="135853"/>
    <n v="39992"/>
    <n v="5"/>
    <s v="Yes"/>
    <x v="0"/>
    <n v="95861"/>
  </r>
  <r>
    <n v="199"/>
    <d v="2023-01-09T06:00:00"/>
    <x v="0"/>
    <n v="2"/>
    <x v="0"/>
    <s v="Yamaha"/>
    <x v="0"/>
    <x v="1"/>
    <n v="11661"/>
    <n v="3"/>
    <n v="133417"/>
    <n v="128154"/>
    <n v="4"/>
    <s v="Yes"/>
    <x v="0"/>
    <n v="5263"/>
  </r>
  <r>
    <n v="200"/>
    <d v="2023-01-09T07:00:00"/>
    <x v="0"/>
    <n v="2"/>
    <x v="0"/>
    <s v="Bajaj"/>
    <x v="0"/>
    <x v="3"/>
    <n v="89610"/>
    <n v="7"/>
    <n v="138436"/>
    <n v="138094"/>
    <n v="5"/>
    <s v="Yes"/>
    <x v="0"/>
    <n v="342"/>
  </r>
  <r>
    <n v="201"/>
    <d v="2023-01-09T08:00:00"/>
    <x v="0"/>
    <n v="2"/>
    <x v="0"/>
    <s v="Hero"/>
    <x v="0"/>
    <x v="1"/>
    <n v="92938"/>
    <n v="5"/>
    <n v="46159"/>
    <n v="59938"/>
    <n v="10"/>
    <s v="No"/>
    <x v="0"/>
    <n v="-13779"/>
  </r>
  <r>
    <n v="202"/>
    <d v="2023-01-09T09:00:00"/>
    <x v="0"/>
    <n v="2"/>
    <x v="0"/>
    <s v="TVS"/>
    <x v="0"/>
    <x v="1"/>
    <n v="3310"/>
    <n v="6"/>
    <n v="114788"/>
    <n v="139015"/>
    <n v="10"/>
    <s v="No"/>
    <x v="0"/>
    <n v="-24227"/>
  </r>
  <r>
    <n v="203"/>
    <d v="2023-01-09T10:00:00"/>
    <x v="0"/>
    <n v="2"/>
    <x v="0"/>
    <s v="Honda"/>
    <x v="1"/>
    <x v="0"/>
    <n v="60360"/>
    <n v="6"/>
    <n v="49003"/>
    <n v="71249"/>
    <n v="6"/>
    <s v="Yes"/>
    <x v="0"/>
    <n v="-22246"/>
  </r>
  <r>
    <n v="204"/>
    <d v="2023-01-09T11:00:00"/>
    <x v="0"/>
    <n v="2"/>
    <x v="0"/>
    <s v="Honda"/>
    <x v="0"/>
    <x v="3"/>
    <n v="77699"/>
    <n v="1"/>
    <n v="130722"/>
    <n v="59735"/>
    <n v="12"/>
    <s v="No"/>
    <x v="0"/>
    <n v="70987"/>
  </r>
  <r>
    <n v="205"/>
    <d v="2023-01-09T12:00:00"/>
    <x v="0"/>
    <n v="2"/>
    <x v="0"/>
    <s v="Bajaj"/>
    <x v="0"/>
    <x v="0"/>
    <n v="72188"/>
    <n v="3"/>
    <n v="60139"/>
    <n v="118313"/>
    <n v="10"/>
    <s v="No"/>
    <x v="1"/>
    <n v="-58174"/>
  </r>
  <r>
    <n v="206"/>
    <d v="2023-01-09T13:00:00"/>
    <x v="0"/>
    <n v="2"/>
    <x v="0"/>
    <s v="TVS"/>
    <x v="0"/>
    <x v="0"/>
    <n v="66048"/>
    <n v="9"/>
    <n v="77452"/>
    <n v="65734"/>
    <n v="6"/>
    <s v="Yes"/>
    <x v="0"/>
    <n v="11718"/>
  </r>
  <r>
    <n v="207"/>
    <d v="2023-01-09T14:00:00"/>
    <x v="0"/>
    <n v="2"/>
    <x v="0"/>
    <s v="Yamaha"/>
    <x v="0"/>
    <x v="2"/>
    <n v="62863"/>
    <n v="9"/>
    <n v="47205"/>
    <n v="62080"/>
    <n v="1"/>
    <s v="Yes"/>
    <x v="0"/>
    <n v="-14875"/>
  </r>
  <r>
    <n v="208"/>
    <d v="2023-01-09T15:00:00"/>
    <x v="0"/>
    <n v="2"/>
    <x v="0"/>
    <s v="TVS"/>
    <x v="1"/>
    <x v="2"/>
    <n v="11662"/>
    <n v="5"/>
    <n v="81955"/>
    <n v="89460"/>
    <n v="2"/>
    <s v="Yes"/>
    <x v="0"/>
    <n v="-7505"/>
  </r>
  <r>
    <n v="209"/>
    <d v="2023-01-09T16:00:00"/>
    <x v="0"/>
    <n v="2"/>
    <x v="0"/>
    <s v="Bajaj"/>
    <x v="0"/>
    <x v="3"/>
    <n v="88358"/>
    <n v="2"/>
    <n v="32464"/>
    <n v="96457"/>
    <n v="3"/>
    <s v="Yes"/>
    <x v="0"/>
    <n v="-63993"/>
  </r>
  <r>
    <n v="210"/>
    <d v="2023-01-09T17:00:00"/>
    <x v="0"/>
    <n v="2"/>
    <x v="0"/>
    <s v="Bajaj"/>
    <x v="0"/>
    <x v="3"/>
    <n v="74035"/>
    <n v="8"/>
    <n v="34840"/>
    <n v="39260"/>
    <n v="4"/>
    <s v="Yes"/>
    <x v="0"/>
    <n v="-4420"/>
  </r>
  <r>
    <n v="211"/>
    <d v="2023-01-09T18:00:00"/>
    <x v="0"/>
    <n v="2"/>
    <x v="0"/>
    <s v="TVS"/>
    <x v="0"/>
    <x v="2"/>
    <n v="7719"/>
    <n v="3"/>
    <n v="65768"/>
    <n v="74607"/>
    <n v="6"/>
    <s v="Yes"/>
    <x v="0"/>
    <n v="-8839"/>
  </r>
  <r>
    <n v="212"/>
    <d v="2023-01-09T19:00:00"/>
    <x v="0"/>
    <n v="2"/>
    <x v="0"/>
    <s v="Bajaj"/>
    <x v="0"/>
    <x v="2"/>
    <n v="71364"/>
    <n v="9"/>
    <n v="165533"/>
    <n v="76852"/>
    <n v="12"/>
    <s v="No"/>
    <x v="0"/>
    <n v="88681"/>
  </r>
  <r>
    <n v="213"/>
    <d v="2023-01-09T20:00:00"/>
    <x v="0"/>
    <n v="2"/>
    <x v="0"/>
    <s v="TVS"/>
    <x v="0"/>
    <x v="2"/>
    <n v="4121"/>
    <n v="1"/>
    <n v="45927"/>
    <n v="43380"/>
    <n v="12"/>
    <s v="No"/>
    <x v="0"/>
    <n v="2547"/>
  </r>
  <r>
    <n v="214"/>
    <d v="2023-01-09T21:00:00"/>
    <x v="0"/>
    <n v="2"/>
    <x v="0"/>
    <s v="Hero"/>
    <x v="0"/>
    <x v="2"/>
    <n v="90292"/>
    <n v="5"/>
    <n v="123622"/>
    <n v="99347"/>
    <n v="11"/>
    <s v="No"/>
    <x v="0"/>
    <n v="24275"/>
  </r>
  <r>
    <n v="215"/>
    <d v="2023-01-09T22:00:00"/>
    <x v="0"/>
    <n v="2"/>
    <x v="0"/>
    <s v="TVS"/>
    <x v="0"/>
    <x v="2"/>
    <n v="44933"/>
    <n v="0"/>
    <n v="40329"/>
    <n v="86257"/>
    <n v="13"/>
    <s v="No"/>
    <x v="0"/>
    <n v="-45928"/>
  </r>
  <r>
    <n v="216"/>
    <d v="2023-01-09T23:00:00"/>
    <x v="0"/>
    <n v="2"/>
    <x v="0"/>
    <s v="TVS"/>
    <x v="0"/>
    <x v="0"/>
    <n v="77350"/>
    <n v="5"/>
    <n v="40791"/>
    <n v="56191"/>
    <n v="9"/>
    <s v="No"/>
    <x v="1"/>
    <n v="-15400"/>
  </r>
  <r>
    <n v="217"/>
    <d v="2023-01-10T00:00:00"/>
    <x v="0"/>
    <n v="2"/>
    <x v="0"/>
    <s v="Bajaj"/>
    <x v="0"/>
    <x v="3"/>
    <n v="66688"/>
    <n v="9"/>
    <n v="77627"/>
    <n v="19930"/>
    <n v="12"/>
    <s v="No"/>
    <x v="0"/>
    <n v="57697"/>
  </r>
  <r>
    <n v="218"/>
    <d v="2023-01-10T01:00:00"/>
    <x v="0"/>
    <n v="2"/>
    <x v="0"/>
    <s v="Bajaj"/>
    <x v="0"/>
    <x v="0"/>
    <n v="55451"/>
    <n v="0"/>
    <n v="153885"/>
    <n v="19353"/>
    <n v="2"/>
    <s v="Yes"/>
    <x v="0"/>
    <n v="134532"/>
  </r>
  <r>
    <n v="219"/>
    <d v="2023-01-10T02:00:00"/>
    <x v="0"/>
    <n v="2"/>
    <x v="0"/>
    <s v="Honda"/>
    <x v="0"/>
    <x v="0"/>
    <n v="82218"/>
    <n v="7"/>
    <n v="170444"/>
    <n v="22832"/>
    <n v="8"/>
    <s v="No"/>
    <x v="0"/>
    <n v="147612"/>
  </r>
  <r>
    <n v="220"/>
    <d v="2023-01-10T03:00:00"/>
    <x v="0"/>
    <n v="2"/>
    <x v="0"/>
    <s v="Honda"/>
    <x v="0"/>
    <x v="1"/>
    <n v="37058"/>
    <n v="4"/>
    <n v="134554"/>
    <n v="135063"/>
    <n v="9"/>
    <s v="No"/>
    <x v="0"/>
    <n v="-509"/>
  </r>
  <r>
    <n v="221"/>
    <d v="2023-01-10T04:00:00"/>
    <x v="0"/>
    <n v="2"/>
    <x v="0"/>
    <s v="Hero"/>
    <x v="0"/>
    <x v="0"/>
    <n v="16159"/>
    <n v="5"/>
    <n v="155436"/>
    <n v="64554"/>
    <n v="2"/>
    <s v="Yes"/>
    <x v="0"/>
    <n v="90882"/>
  </r>
  <r>
    <n v="222"/>
    <d v="2023-01-10T05:00:00"/>
    <x v="0"/>
    <n v="2"/>
    <x v="0"/>
    <s v="Honda"/>
    <x v="0"/>
    <x v="2"/>
    <n v="34913"/>
    <n v="1"/>
    <n v="112073"/>
    <n v="103487"/>
    <n v="9"/>
    <s v="No"/>
    <x v="0"/>
    <n v="8586"/>
  </r>
  <r>
    <n v="223"/>
    <d v="2023-01-10T06:00:00"/>
    <x v="0"/>
    <n v="2"/>
    <x v="0"/>
    <s v="TVS"/>
    <x v="0"/>
    <x v="2"/>
    <n v="10935"/>
    <n v="1"/>
    <n v="59370"/>
    <n v="69017"/>
    <n v="7"/>
    <s v="Yes"/>
    <x v="0"/>
    <n v="-9647"/>
  </r>
  <r>
    <n v="224"/>
    <d v="2023-01-10T07:00:00"/>
    <x v="0"/>
    <n v="2"/>
    <x v="0"/>
    <s v="Bajaj"/>
    <x v="0"/>
    <x v="1"/>
    <n v="54411"/>
    <n v="8"/>
    <n v="76408"/>
    <n v="72298"/>
    <n v="9"/>
    <s v="No"/>
    <x v="0"/>
    <n v="4110"/>
  </r>
  <r>
    <n v="225"/>
    <d v="2023-01-10T08:00:00"/>
    <x v="0"/>
    <n v="2"/>
    <x v="0"/>
    <s v="Honda"/>
    <x v="0"/>
    <x v="1"/>
    <n v="28567"/>
    <n v="2"/>
    <n v="115941"/>
    <n v="129752"/>
    <n v="6"/>
    <s v="Yes"/>
    <x v="0"/>
    <n v="-13811"/>
  </r>
  <r>
    <n v="226"/>
    <d v="2023-01-10T09:00:00"/>
    <x v="0"/>
    <n v="2"/>
    <x v="0"/>
    <s v="Honda"/>
    <x v="0"/>
    <x v="1"/>
    <n v="88294"/>
    <n v="5"/>
    <n v="179775"/>
    <n v="66389"/>
    <n v="2"/>
    <s v="Yes"/>
    <x v="0"/>
    <n v="113386"/>
  </r>
  <r>
    <n v="227"/>
    <d v="2023-01-10T10:00:00"/>
    <x v="0"/>
    <n v="2"/>
    <x v="0"/>
    <s v="Hero"/>
    <x v="0"/>
    <x v="1"/>
    <n v="94323"/>
    <n v="9"/>
    <n v="171306"/>
    <n v="88306"/>
    <n v="8"/>
    <s v="No"/>
    <x v="0"/>
    <n v="83000"/>
  </r>
  <r>
    <n v="228"/>
    <d v="2023-01-10T11:00:00"/>
    <x v="0"/>
    <n v="2"/>
    <x v="0"/>
    <s v="Hero"/>
    <x v="0"/>
    <x v="1"/>
    <n v="69724"/>
    <n v="4"/>
    <n v="163604"/>
    <n v="40525"/>
    <n v="10"/>
    <s v="No"/>
    <x v="0"/>
    <n v="123079"/>
  </r>
  <r>
    <n v="229"/>
    <d v="2023-01-10T12:00:00"/>
    <x v="0"/>
    <n v="2"/>
    <x v="0"/>
    <s v="TVS"/>
    <x v="0"/>
    <x v="0"/>
    <n v="73725"/>
    <n v="3"/>
    <n v="60416"/>
    <n v="97092"/>
    <n v="9"/>
    <s v="No"/>
    <x v="0"/>
    <n v="-36676"/>
  </r>
  <r>
    <n v="230"/>
    <d v="2023-01-10T13:00:00"/>
    <x v="0"/>
    <n v="2"/>
    <x v="0"/>
    <s v="Bajaj"/>
    <x v="0"/>
    <x v="1"/>
    <n v="1879"/>
    <n v="9"/>
    <n v="97439"/>
    <n v="95630"/>
    <n v="12"/>
    <s v="No"/>
    <x v="0"/>
    <n v="1809"/>
  </r>
  <r>
    <n v="231"/>
    <d v="2023-01-10T14:00:00"/>
    <x v="0"/>
    <n v="2"/>
    <x v="0"/>
    <s v="Hero"/>
    <x v="0"/>
    <x v="0"/>
    <n v="28124"/>
    <n v="1"/>
    <n v="43242"/>
    <n v="88471"/>
    <n v="8"/>
    <s v="No"/>
    <x v="0"/>
    <n v="-45229"/>
  </r>
  <r>
    <n v="232"/>
    <d v="2023-01-10T15:00:00"/>
    <x v="0"/>
    <n v="2"/>
    <x v="0"/>
    <s v="Honda"/>
    <x v="0"/>
    <x v="3"/>
    <n v="92000"/>
    <n v="7"/>
    <n v="104324"/>
    <n v="83211"/>
    <n v="2"/>
    <s v="Yes"/>
    <x v="0"/>
    <n v="21113"/>
  </r>
  <r>
    <n v="233"/>
    <d v="2023-01-10T16:00:00"/>
    <x v="0"/>
    <n v="2"/>
    <x v="0"/>
    <s v="Bajaj"/>
    <x v="0"/>
    <x v="1"/>
    <n v="88927"/>
    <n v="9"/>
    <n v="60249"/>
    <n v="46280"/>
    <n v="8"/>
    <s v="No"/>
    <x v="0"/>
    <n v="13969"/>
  </r>
  <r>
    <n v="234"/>
    <d v="2023-01-10T17:00:00"/>
    <x v="0"/>
    <n v="2"/>
    <x v="0"/>
    <s v="Bajaj"/>
    <x v="0"/>
    <x v="1"/>
    <n v="58245"/>
    <n v="6"/>
    <n v="125124"/>
    <n v="139130"/>
    <n v="3"/>
    <s v="Yes"/>
    <x v="0"/>
    <n v="-14006"/>
  </r>
  <r>
    <n v="235"/>
    <d v="2023-01-10T18:00:00"/>
    <x v="0"/>
    <n v="2"/>
    <x v="0"/>
    <s v="Honda"/>
    <x v="0"/>
    <x v="0"/>
    <n v="52305"/>
    <n v="1"/>
    <n v="120049"/>
    <n v="26240"/>
    <n v="3"/>
    <s v="Yes"/>
    <x v="0"/>
    <n v="93809"/>
  </r>
  <r>
    <n v="236"/>
    <d v="2023-01-10T19:00:00"/>
    <x v="0"/>
    <n v="2"/>
    <x v="0"/>
    <s v="Hero"/>
    <x v="0"/>
    <x v="3"/>
    <n v="13016"/>
    <n v="5"/>
    <n v="110078"/>
    <n v="80092"/>
    <n v="9"/>
    <s v="No"/>
    <x v="0"/>
    <n v="29986"/>
  </r>
  <r>
    <n v="237"/>
    <d v="2023-01-10T20:00:00"/>
    <x v="0"/>
    <n v="2"/>
    <x v="0"/>
    <s v="Honda"/>
    <x v="0"/>
    <x v="0"/>
    <n v="79922"/>
    <n v="7"/>
    <n v="57294"/>
    <n v="84541"/>
    <n v="13"/>
    <s v="No"/>
    <x v="0"/>
    <n v="-27247"/>
  </r>
  <r>
    <n v="238"/>
    <d v="2023-01-10T21:00:00"/>
    <x v="0"/>
    <n v="2"/>
    <x v="0"/>
    <s v="Bajaj"/>
    <x v="0"/>
    <x v="0"/>
    <n v="86343"/>
    <n v="6"/>
    <n v="159756"/>
    <n v="77851"/>
    <n v="9"/>
    <s v="No"/>
    <x v="0"/>
    <n v="81905"/>
  </r>
  <r>
    <n v="239"/>
    <d v="2023-01-10T22:00:00"/>
    <x v="0"/>
    <n v="2"/>
    <x v="0"/>
    <s v="Yamaha"/>
    <x v="0"/>
    <x v="1"/>
    <n v="25343"/>
    <n v="0"/>
    <n v="179867"/>
    <n v="21544"/>
    <n v="9"/>
    <s v="No"/>
    <x v="1"/>
    <n v="158323"/>
  </r>
  <r>
    <n v="240"/>
    <d v="2023-01-10T23:00:00"/>
    <x v="0"/>
    <n v="2"/>
    <x v="0"/>
    <s v="Yamaha"/>
    <x v="0"/>
    <x v="2"/>
    <n v="6412"/>
    <n v="4"/>
    <n v="166503"/>
    <n v="72981"/>
    <n v="4"/>
    <s v="Yes"/>
    <x v="0"/>
    <n v="93522"/>
  </r>
  <r>
    <n v="241"/>
    <d v="2023-01-11T00:00:00"/>
    <x v="0"/>
    <n v="2"/>
    <x v="0"/>
    <s v="TVS"/>
    <x v="0"/>
    <x v="2"/>
    <n v="22014"/>
    <n v="1"/>
    <n v="114627"/>
    <n v="32332"/>
    <n v="12"/>
    <s v="No"/>
    <x v="0"/>
    <n v="82295"/>
  </r>
  <r>
    <n v="242"/>
    <d v="2023-01-11T01:00:00"/>
    <x v="0"/>
    <n v="2"/>
    <x v="0"/>
    <s v="Honda"/>
    <x v="0"/>
    <x v="0"/>
    <n v="87859"/>
    <n v="5"/>
    <n v="115381"/>
    <n v="41836"/>
    <n v="14"/>
    <s v="No"/>
    <x v="0"/>
    <n v="73545"/>
  </r>
  <r>
    <n v="243"/>
    <d v="2023-01-11T02:00:00"/>
    <x v="0"/>
    <n v="2"/>
    <x v="0"/>
    <s v="Honda"/>
    <x v="0"/>
    <x v="1"/>
    <n v="57532"/>
    <n v="6"/>
    <n v="115027"/>
    <n v="29388"/>
    <n v="7"/>
    <s v="Yes"/>
    <x v="0"/>
    <n v="85639"/>
  </r>
  <r>
    <n v="244"/>
    <d v="2023-01-11T03:00:00"/>
    <x v="0"/>
    <n v="2"/>
    <x v="0"/>
    <s v="TVS"/>
    <x v="0"/>
    <x v="3"/>
    <n v="29297"/>
    <n v="6"/>
    <n v="95366"/>
    <n v="128263"/>
    <n v="13"/>
    <s v="No"/>
    <x v="0"/>
    <n v="-32897"/>
  </r>
  <r>
    <n v="245"/>
    <d v="2023-01-11T04:00:00"/>
    <x v="0"/>
    <n v="2"/>
    <x v="0"/>
    <s v="TVS"/>
    <x v="0"/>
    <x v="2"/>
    <n v="6949"/>
    <n v="2"/>
    <n v="119176"/>
    <n v="16694"/>
    <n v="8"/>
    <s v="No"/>
    <x v="0"/>
    <n v="102482"/>
  </r>
  <r>
    <n v="246"/>
    <d v="2023-01-11T05:00:00"/>
    <x v="0"/>
    <n v="2"/>
    <x v="0"/>
    <s v="TVS"/>
    <x v="0"/>
    <x v="3"/>
    <n v="2225"/>
    <n v="6"/>
    <n v="144667"/>
    <n v="101677"/>
    <n v="13"/>
    <s v="No"/>
    <x v="0"/>
    <n v="42990"/>
  </r>
  <r>
    <n v="247"/>
    <d v="2023-01-11T06:00:00"/>
    <x v="0"/>
    <n v="2"/>
    <x v="0"/>
    <s v="Bajaj"/>
    <x v="0"/>
    <x v="2"/>
    <n v="81906"/>
    <n v="4"/>
    <n v="97870"/>
    <n v="103202"/>
    <n v="13"/>
    <s v="No"/>
    <x v="0"/>
    <n v="-5332"/>
  </r>
  <r>
    <n v="248"/>
    <d v="2023-01-11T07:00:00"/>
    <x v="0"/>
    <n v="2"/>
    <x v="0"/>
    <s v="Honda"/>
    <x v="1"/>
    <x v="1"/>
    <n v="9804"/>
    <n v="7"/>
    <n v="72387"/>
    <n v="128057"/>
    <n v="5"/>
    <s v="Yes"/>
    <x v="0"/>
    <n v="-55670"/>
  </r>
  <r>
    <n v="249"/>
    <d v="2023-01-11T08:00:00"/>
    <x v="0"/>
    <n v="2"/>
    <x v="0"/>
    <s v="Bajaj"/>
    <x v="0"/>
    <x v="0"/>
    <n v="73558"/>
    <n v="7"/>
    <n v="34304"/>
    <n v="64294"/>
    <n v="13"/>
    <s v="No"/>
    <x v="0"/>
    <n v="-29990"/>
  </r>
  <r>
    <n v="250"/>
    <d v="2023-01-11T09:00:00"/>
    <x v="0"/>
    <n v="2"/>
    <x v="0"/>
    <s v="TVS"/>
    <x v="1"/>
    <x v="3"/>
    <n v="14163"/>
    <n v="6"/>
    <n v="42032"/>
    <n v="53769"/>
    <n v="1"/>
    <s v="Yes"/>
    <x v="0"/>
    <n v="-11737"/>
  </r>
  <r>
    <n v="251"/>
    <d v="2023-01-11T10:00:00"/>
    <x v="0"/>
    <n v="2"/>
    <x v="0"/>
    <s v="Honda"/>
    <x v="0"/>
    <x v="3"/>
    <n v="70820"/>
    <n v="5"/>
    <n v="116291"/>
    <n v="54420"/>
    <n v="9"/>
    <s v="No"/>
    <x v="0"/>
    <n v="61871"/>
  </r>
  <r>
    <n v="252"/>
    <d v="2023-01-11T11:00:00"/>
    <x v="0"/>
    <n v="2"/>
    <x v="0"/>
    <s v="Bajaj"/>
    <x v="1"/>
    <x v="0"/>
    <n v="75508"/>
    <n v="1"/>
    <n v="137889"/>
    <n v="128289"/>
    <n v="6"/>
    <s v="Yes"/>
    <x v="0"/>
    <n v="9600"/>
  </r>
  <r>
    <n v="253"/>
    <d v="2023-01-11T12:00:00"/>
    <x v="0"/>
    <n v="2"/>
    <x v="0"/>
    <s v="Bajaj"/>
    <x v="0"/>
    <x v="3"/>
    <n v="94988"/>
    <n v="5"/>
    <n v="84486"/>
    <n v="117885"/>
    <n v="3"/>
    <s v="Yes"/>
    <x v="1"/>
    <n v="-33399"/>
  </r>
  <r>
    <n v="254"/>
    <d v="2023-01-11T13:00:00"/>
    <x v="0"/>
    <n v="2"/>
    <x v="0"/>
    <s v="TVS"/>
    <x v="0"/>
    <x v="2"/>
    <n v="76091"/>
    <n v="8"/>
    <n v="90552"/>
    <n v="52855"/>
    <n v="3"/>
    <s v="Yes"/>
    <x v="0"/>
    <n v="37697"/>
  </r>
  <r>
    <n v="255"/>
    <d v="2023-01-11T14:00:00"/>
    <x v="0"/>
    <n v="2"/>
    <x v="0"/>
    <s v="Honda"/>
    <x v="0"/>
    <x v="0"/>
    <n v="95544"/>
    <n v="1"/>
    <n v="64244"/>
    <n v="16460"/>
    <n v="14"/>
    <s v="No"/>
    <x v="0"/>
    <n v="47784"/>
  </r>
  <r>
    <n v="256"/>
    <d v="2023-01-11T15:00:00"/>
    <x v="0"/>
    <n v="2"/>
    <x v="0"/>
    <s v="TVS"/>
    <x v="0"/>
    <x v="2"/>
    <n v="13176"/>
    <n v="0"/>
    <n v="162014"/>
    <n v="117191"/>
    <n v="14"/>
    <s v="No"/>
    <x v="0"/>
    <n v="44823"/>
  </r>
  <r>
    <n v="257"/>
    <d v="2023-01-11T16:00:00"/>
    <x v="0"/>
    <n v="2"/>
    <x v="0"/>
    <s v="Honda"/>
    <x v="0"/>
    <x v="2"/>
    <n v="25692"/>
    <n v="4"/>
    <n v="75697"/>
    <n v="62646"/>
    <n v="10"/>
    <s v="No"/>
    <x v="0"/>
    <n v="13051"/>
  </r>
  <r>
    <n v="258"/>
    <d v="2023-01-11T17:00:00"/>
    <x v="0"/>
    <n v="2"/>
    <x v="0"/>
    <s v="Yamaha"/>
    <x v="0"/>
    <x v="1"/>
    <n v="25222"/>
    <n v="5"/>
    <n v="151031"/>
    <n v="56252"/>
    <n v="1"/>
    <s v="Yes"/>
    <x v="0"/>
    <n v="94779"/>
  </r>
  <r>
    <n v="259"/>
    <d v="2023-01-11T18:00:00"/>
    <x v="0"/>
    <n v="2"/>
    <x v="0"/>
    <s v="Hero"/>
    <x v="0"/>
    <x v="2"/>
    <n v="7946"/>
    <n v="2"/>
    <n v="27693"/>
    <n v="24835"/>
    <n v="13"/>
    <s v="No"/>
    <x v="0"/>
    <n v="2858"/>
  </r>
  <r>
    <n v="260"/>
    <d v="2023-01-11T19:00:00"/>
    <x v="0"/>
    <n v="2"/>
    <x v="0"/>
    <s v="Hero"/>
    <x v="0"/>
    <x v="1"/>
    <n v="5225"/>
    <n v="7"/>
    <n v="106098"/>
    <n v="128947"/>
    <n v="8"/>
    <s v="No"/>
    <x v="0"/>
    <n v="-22849"/>
  </r>
  <r>
    <n v="261"/>
    <d v="2023-01-11T20:00:00"/>
    <x v="0"/>
    <n v="2"/>
    <x v="0"/>
    <s v="Hero"/>
    <x v="0"/>
    <x v="3"/>
    <n v="86097"/>
    <n v="6"/>
    <n v="31259"/>
    <n v="25910"/>
    <n v="2"/>
    <s v="Yes"/>
    <x v="0"/>
    <n v="5349"/>
  </r>
  <r>
    <n v="262"/>
    <d v="2023-01-11T21:00:00"/>
    <x v="0"/>
    <n v="2"/>
    <x v="0"/>
    <s v="TVS"/>
    <x v="0"/>
    <x v="3"/>
    <n v="88707"/>
    <n v="1"/>
    <n v="144746"/>
    <n v="97757"/>
    <n v="12"/>
    <s v="No"/>
    <x v="0"/>
    <n v="46989"/>
  </r>
  <r>
    <n v="263"/>
    <d v="2023-01-11T22:00:00"/>
    <x v="0"/>
    <n v="2"/>
    <x v="0"/>
    <s v="Yamaha"/>
    <x v="1"/>
    <x v="1"/>
    <n v="58132"/>
    <n v="6"/>
    <n v="132772"/>
    <n v="106149"/>
    <n v="1"/>
    <s v="Yes"/>
    <x v="0"/>
    <n v="26623"/>
  </r>
  <r>
    <n v="264"/>
    <d v="2023-01-11T23:00:00"/>
    <x v="0"/>
    <n v="2"/>
    <x v="0"/>
    <s v="Honda"/>
    <x v="0"/>
    <x v="2"/>
    <n v="67445"/>
    <n v="0"/>
    <n v="142928"/>
    <n v="111889"/>
    <n v="7"/>
    <s v="Yes"/>
    <x v="0"/>
    <n v="31039"/>
  </r>
  <r>
    <n v="265"/>
    <d v="2023-01-12T00:00:00"/>
    <x v="0"/>
    <n v="2"/>
    <x v="0"/>
    <s v="Bajaj"/>
    <x v="1"/>
    <x v="0"/>
    <n v="74241"/>
    <n v="8"/>
    <n v="161014"/>
    <n v="119150"/>
    <n v="14"/>
    <s v="No"/>
    <x v="0"/>
    <n v="41864"/>
  </r>
  <r>
    <n v="266"/>
    <d v="2023-01-12T01:00:00"/>
    <x v="0"/>
    <n v="2"/>
    <x v="0"/>
    <s v="Honda"/>
    <x v="0"/>
    <x v="0"/>
    <n v="16865"/>
    <n v="6"/>
    <n v="72419"/>
    <n v="23463"/>
    <n v="11"/>
    <s v="No"/>
    <x v="0"/>
    <n v="48956"/>
  </r>
  <r>
    <n v="267"/>
    <d v="2023-01-12T02:00:00"/>
    <x v="0"/>
    <n v="2"/>
    <x v="0"/>
    <s v="Bajaj"/>
    <x v="0"/>
    <x v="1"/>
    <n v="66292"/>
    <n v="5"/>
    <n v="127092"/>
    <n v="28336"/>
    <n v="9"/>
    <s v="No"/>
    <x v="0"/>
    <n v="98756"/>
  </r>
  <r>
    <n v="268"/>
    <d v="2023-01-12T03:00:00"/>
    <x v="0"/>
    <n v="2"/>
    <x v="0"/>
    <s v="Honda"/>
    <x v="0"/>
    <x v="3"/>
    <n v="65357"/>
    <n v="1"/>
    <n v="81105"/>
    <n v="41534"/>
    <n v="6"/>
    <s v="Yes"/>
    <x v="0"/>
    <n v="39571"/>
  </r>
  <r>
    <n v="269"/>
    <d v="2023-01-12T04:00:00"/>
    <x v="0"/>
    <n v="2"/>
    <x v="0"/>
    <s v="Yamaha"/>
    <x v="0"/>
    <x v="3"/>
    <n v="16204"/>
    <n v="2"/>
    <n v="48404"/>
    <n v="17369"/>
    <n v="8"/>
    <s v="No"/>
    <x v="0"/>
    <n v="31035"/>
  </r>
  <r>
    <n v="270"/>
    <d v="2023-01-12T05:00:00"/>
    <x v="0"/>
    <n v="2"/>
    <x v="0"/>
    <s v="Bajaj"/>
    <x v="0"/>
    <x v="0"/>
    <n v="51075"/>
    <n v="0"/>
    <n v="97656"/>
    <n v="40381"/>
    <n v="8"/>
    <s v="No"/>
    <x v="0"/>
    <n v="57275"/>
  </r>
  <r>
    <n v="271"/>
    <d v="2023-01-12T06:00:00"/>
    <x v="0"/>
    <n v="2"/>
    <x v="0"/>
    <s v="TVS"/>
    <x v="0"/>
    <x v="1"/>
    <n v="30402"/>
    <n v="9"/>
    <n v="161774"/>
    <n v="127296"/>
    <n v="9"/>
    <s v="No"/>
    <x v="0"/>
    <n v="34478"/>
  </r>
  <r>
    <n v="272"/>
    <d v="2023-01-12T07:00:00"/>
    <x v="0"/>
    <n v="2"/>
    <x v="0"/>
    <s v="Honda"/>
    <x v="0"/>
    <x v="0"/>
    <n v="1695"/>
    <n v="4"/>
    <n v="125965"/>
    <n v="100094"/>
    <n v="7"/>
    <s v="Yes"/>
    <x v="0"/>
    <n v="25871"/>
  </r>
  <r>
    <n v="273"/>
    <d v="2023-01-12T08:00:00"/>
    <x v="0"/>
    <n v="2"/>
    <x v="0"/>
    <s v="Honda"/>
    <x v="1"/>
    <x v="2"/>
    <n v="54017"/>
    <n v="8"/>
    <n v="81332"/>
    <n v="102905"/>
    <n v="9"/>
    <s v="No"/>
    <x v="0"/>
    <n v="-21573"/>
  </r>
  <r>
    <n v="274"/>
    <d v="2023-01-12T09:00:00"/>
    <x v="0"/>
    <n v="2"/>
    <x v="0"/>
    <s v="Bajaj"/>
    <x v="0"/>
    <x v="2"/>
    <n v="34512"/>
    <n v="5"/>
    <n v="128182"/>
    <n v="114186"/>
    <n v="9"/>
    <s v="No"/>
    <x v="0"/>
    <n v="13996"/>
  </r>
  <r>
    <n v="275"/>
    <d v="2023-01-12T10:00:00"/>
    <x v="0"/>
    <n v="2"/>
    <x v="0"/>
    <s v="TVS"/>
    <x v="0"/>
    <x v="1"/>
    <n v="11915"/>
    <n v="4"/>
    <n v="136395"/>
    <n v="111490"/>
    <n v="12"/>
    <s v="No"/>
    <x v="0"/>
    <n v="24905"/>
  </r>
  <r>
    <n v="276"/>
    <d v="2023-01-12T11:00:00"/>
    <x v="0"/>
    <n v="2"/>
    <x v="0"/>
    <s v="TVS"/>
    <x v="0"/>
    <x v="1"/>
    <n v="40034"/>
    <n v="2"/>
    <n v="127619"/>
    <n v="40407"/>
    <n v="11"/>
    <s v="No"/>
    <x v="0"/>
    <n v="87212"/>
  </r>
  <r>
    <n v="277"/>
    <d v="2023-01-12T12:00:00"/>
    <x v="0"/>
    <n v="2"/>
    <x v="0"/>
    <s v="Yamaha"/>
    <x v="0"/>
    <x v="2"/>
    <n v="22186"/>
    <n v="4"/>
    <n v="133269"/>
    <n v="77552"/>
    <n v="1"/>
    <s v="Yes"/>
    <x v="0"/>
    <n v="55717"/>
  </r>
  <r>
    <n v="278"/>
    <d v="2023-01-12T13:00:00"/>
    <x v="0"/>
    <n v="2"/>
    <x v="0"/>
    <s v="TVS"/>
    <x v="0"/>
    <x v="3"/>
    <n v="77698"/>
    <n v="7"/>
    <n v="98844"/>
    <n v="50939"/>
    <n v="6"/>
    <s v="Yes"/>
    <x v="0"/>
    <n v="47905"/>
  </r>
  <r>
    <n v="279"/>
    <d v="2023-01-12T14:00:00"/>
    <x v="0"/>
    <n v="2"/>
    <x v="0"/>
    <s v="TVS"/>
    <x v="0"/>
    <x v="1"/>
    <n v="29243"/>
    <n v="1"/>
    <n v="149983"/>
    <n v="107303"/>
    <n v="12"/>
    <s v="No"/>
    <x v="0"/>
    <n v="42680"/>
  </r>
  <r>
    <n v="280"/>
    <d v="2023-01-12T15:00:00"/>
    <x v="0"/>
    <n v="2"/>
    <x v="0"/>
    <s v="TVS"/>
    <x v="0"/>
    <x v="2"/>
    <n v="32661"/>
    <n v="4"/>
    <n v="59142"/>
    <n v="82576"/>
    <n v="8"/>
    <s v="No"/>
    <x v="0"/>
    <n v="-23434"/>
  </r>
  <r>
    <n v="281"/>
    <d v="2023-01-12T16:00:00"/>
    <x v="0"/>
    <n v="2"/>
    <x v="0"/>
    <s v="Hero"/>
    <x v="0"/>
    <x v="2"/>
    <n v="61813"/>
    <n v="5"/>
    <n v="134699"/>
    <n v="103652"/>
    <n v="10"/>
    <s v="No"/>
    <x v="0"/>
    <n v="31047"/>
  </r>
  <r>
    <n v="282"/>
    <d v="2023-01-12T17:00:00"/>
    <x v="0"/>
    <n v="2"/>
    <x v="0"/>
    <s v="Yamaha"/>
    <x v="0"/>
    <x v="3"/>
    <n v="2902"/>
    <n v="9"/>
    <n v="121226"/>
    <n v="41170"/>
    <n v="9"/>
    <s v="No"/>
    <x v="0"/>
    <n v="80056"/>
  </r>
  <r>
    <n v="283"/>
    <d v="2023-01-12T18:00:00"/>
    <x v="0"/>
    <n v="2"/>
    <x v="0"/>
    <s v="Honda"/>
    <x v="0"/>
    <x v="3"/>
    <n v="63690"/>
    <n v="7"/>
    <n v="32393"/>
    <n v="86908"/>
    <n v="4"/>
    <s v="Yes"/>
    <x v="0"/>
    <n v="-54515"/>
  </r>
  <r>
    <n v="284"/>
    <d v="2023-01-12T19:00:00"/>
    <x v="0"/>
    <n v="2"/>
    <x v="0"/>
    <s v="Bajaj"/>
    <x v="1"/>
    <x v="3"/>
    <n v="53051"/>
    <n v="7"/>
    <n v="127281"/>
    <n v="139506"/>
    <n v="13"/>
    <s v="No"/>
    <x v="0"/>
    <n v="-12225"/>
  </r>
  <r>
    <n v="285"/>
    <d v="2023-01-12T20:00:00"/>
    <x v="0"/>
    <n v="2"/>
    <x v="0"/>
    <s v="Honda"/>
    <x v="0"/>
    <x v="3"/>
    <n v="13775"/>
    <n v="4"/>
    <n v="34388"/>
    <n v="37369"/>
    <n v="2"/>
    <s v="Yes"/>
    <x v="0"/>
    <n v="-2981"/>
  </r>
  <r>
    <n v="286"/>
    <d v="2023-01-12T21:00:00"/>
    <x v="0"/>
    <n v="2"/>
    <x v="0"/>
    <s v="Yamaha"/>
    <x v="0"/>
    <x v="0"/>
    <n v="28682"/>
    <n v="8"/>
    <n v="87969"/>
    <n v="88098"/>
    <n v="11"/>
    <s v="No"/>
    <x v="0"/>
    <n v="-129"/>
  </r>
  <r>
    <n v="287"/>
    <d v="2023-01-12T22:00:00"/>
    <x v="0"/>
    <n v="2"/>
    <x v="0"/>
    <s v="Bajaj"/>
    <x v="0"/>
    <x v="3"/>
    <n v="15415"/>
    <n v="3"/>
    <n v="61660"/>
    <n v="59544"/>
    <n v="9"/>
    <s v="No"/>
    <x v="0"/>
    <n v="2116"/>
  </r>
  <r>
    <n v="288"/>
    <d v="2023-01-12T23:00:00"/>
    <x v="0"/>
    <n v="2"/>
    <x v="0"/>
    <s v="Yamaha"/>
    <x v="1"/>
    <x v="0"/>
    <n v="1409"/>
    <n v="8"/>
    <n v="114244"/>
    <n v="20900"/>
    <n v="9"/>
    <s v="No"/>
    <x v="0"/>
    <n v="93344"/>
  </r>
  <r>
    <n v="289"/>
    <d v="2023-01-13T00:00:00"/>
    <x v="0"/>
    <n v="2"/>
    <x v="0"/>
    <s v="TVS"/>
    <x v="0"/>
    <x v="1"/>
    <n v="66408"/>
    <n v="6"/>
    <n v="104544"/>
    <n v="55733"/>
    <n v="12"/>
    <s v="No"/>
    <x v="0"/>
    <n v="48811"/>
  </r>
  <r>
    <n v="290"/>
    <d v="2023-01-13T01:00:00"/>
    <x v="0"/>
    <n v="2"/>
    <x v="0"/>
    <s v="Bajaj"/>
    <x v="0"/>
    <x v="2"/>
    <n v="23120"/>
    <n v="5"/>
    <n v="156183"/>
    <n v="102236"/>
    <n v="8"/>
    <s v="No"/>
    <x v="0"/>
    <n v="53947"/>
  </r>
  <r>
    <n v="291"/>
    <d v="2023-01-13T02:00:00"/>
    <x v="0"/>
    <n v="2"/>
    <x v="0"/>
    <s v="TVS"/>
    <x v="0"/>
    <x v="0"/>
    <n v="34612"/>
    <n v="3"/>
    <n v="140370"/>
    <n v="121769"/>
    <n v="3"/>
    <s v="Yes"/>
    <x v="0"/>
    <n v="18601"/>
  </r>
  <r>
    <n v="292"/>
    <d v="2023-01-13T03:00:00"/>
    <x v="0"/>
    <n v="2"/>
    <x v="0"/>
    <s v="Honda"/>
    <x v="0"/>
    <x v="1"/>
    <n v="74551"/>
    <n v="1"/>
    <n v="42545"/>
    <n v="15589"/>
    <n v="5"/>
    <s v="Yes"/>
    <x v="0"/>
    <n v="26956"/>
  </r>
  <r>
    <n v="293"/>
    <d v="2023-01-13T04:00:00"/>
    <x v="0"/>
    <n v="2"/>
    <x v="0"/>
    <s v="Honda"/>
    <x v="0"/>
    <x v="1"/>
    <n v="2931"/>
    <n v="7"/>
    <n v="158451"/>
    <n v="75044"/>
    <n v="2"/>
    <s v="Yes"/>
    <x v="0"/>
    <n v="83407"/>
  </r>
  <r>
    <n v="294"/>
    <d v="2023-01-13T05:00:00"/>
    <x v="0"/>
    <n v="2"/>
    <x v="0"/>
    <s v="Bajaj"/>
    <x v="0"/>
    <x v="0"/>
    <n v="87090"/>
    <n v="5"/>
    <n v="112346"/>
    <n v="80311"/>
    <n v="14"/>
    <s v="No"/>
    <x v="0"/>
    <n v="32035"/>
  </r>
  <r>
    <n v="295"/>
    <d v="2023-01-13T06:00:00"/>
    <x v="0"/>
    <n v="2"/>
    <x v="0"/>
    <s v="Bajaj"/>
    <x v="0"/>
    <x v="1"/>
    <n v="62675"/>
    <n v="2"/>
    <n v="42809"/>
    <n v="72926"/>
    <n v="3"/>
    <s v="Yes"/>
    <x v="0"/>
    <n v="-30117"/>
  </r>
  <r>
    <n v="296"/>
    <d v="2023-01-13T07:00:00"/>
    <x v="0"/>
    <n v="2"/>
    <x v="0"/>
    <s v="Yamaha"/>
    <x v="0"/>
    <x v="1"/>
    <n v="33124"/>
    <n v="6"/>
    <n v="52967"/>
    <n v="85599"/>
    <n v="1"/>
    <s v="Yes"/>
    <x v="0"/>
    <n v="-32632"/>
  </r>
  <r>
    <n v="297"/>
    <d v="2023-01-13T08:00:00"/>
    <x v="0"/>
    <n v="2"/>
    <x v="0"/>
    <s v="Yamaha"/>
    <x v="0"/>
    <x v="0"/>
    <n v="76621"/>
    <n v="9"/>
    <n v="165820"/>
    <n v="100553"/>
    <n v="4"/>
    <s v="Yes"/>
    <x v="0"/>
    <n v="65267"/>
  </r>
  <r>
    <n v="298"/>
    <d v="2023-01-13T09:00:00"/>
    <x v="0"/>
    <n v="2"/>
    <x v="0"/>
    <s v="TVS"/>
    <x v="0"/>
    <x v="1"/>
    <n v="61764"/>
    <n v="6"/>
    <n v="48424"/>
    <n v="98910"/>
    <n v="5"/>
    <s v="Yes"/>
    <x v="0"/>
    <n v="-50486"/>
  </r>
  <r>
    <n v="299"/>
    <d v="2023-01-13T10:00:00"/>
    <x v="0"/>
    <n v="2"/>
    <x v="0"/>
    <s v="Bajaj"/>
    <x v="0"/>
    <x v="3"/>
    <n v="32458"/>
    <n v="5"/>
    <n v="179986"/>
    <n v="103435"/>
    <n v="12"/>
    <s v="No"/>
    <x v="0"/>
    <n v="76551"/>
  </r>
  <r>
    <n v="300"/>
    <d v="2023-01-13T11:00:00"/>
    <x v="0"/>
    <n v="2"/>
    <x v="0"/>
    <s v="Honda"/>
    <x v="0"/>
    <x v="3"/>
    <n v="2195"/>
    <n v="1"/>
    <n v="133411"/>
    <n v="64008"/>
    <n v="2"/>
    <s v="Yes"/>
    <x v="0"/>
    <n v="69403"/>
  </r>
  <r>
    <n v="301"/>
    <d v="2023-01-13T12:00:00"/>
    <x v="0"/>
    <n v="2"/>
    <x v="0"/>
    <s v="Yamaha"/>
    <x v="1"/>
    <x v="2"/>
    <n v="50432"/>
    <n v="7"/>
    <n v="175563"/>
    <n v="81794"/>
    <n v="3"/>
    <s v="Yes"/>
    <x v="0"/>
    <n v="93769"/>
  </r>
  <r>
    <n v="302"/>
    <d v="2023-01-13T13:00:00"/>
    <x v="0"/>
    <n v="2"/>
    <x v="0"/>
    <s v="Yamaha"/>
    <x v="0"/>
    <x v="1"/>
    <n v="99823"/>
    <n v="0"/>
    <n v="95069"/>
    <n v="94134"/>
    <n v="12"/>
    <s v="No"/>
    <x v="0"/>
    <n v="935"/>
  </r>
  <r>
    <n v="303"/>
    <d v="2023-01-13T14:00:00"/>
    <x v="0"/>
    <n v="2"/>
    <x v="0"/>
    <s v="Honda"/>
    <x v="0"/>
    <x v="2"/>
    <n v="44725"/>
    <n v="0"/>
    <n v="114119"/>
    <n v="17866"/>
    <n v="6"/>
    <s v="Yes"/>
    <x v="0"/>
    <n v="96253"/>
  </r>
  <r>
    <n v="304"/>
    <d v="2023-01-13T15:00:00"/>
    <x v="0"/>
    <n v="2"/>
    <x v="0"/>
    <s v="Yamaha"/>
    <x v="0"/>
    <x v="3"/>
    <n v="1903"/>
    <n v="5"/>
    <n v="62049"/>
    <n v="67890"/>
    <n v="6"/>
    <s v="Yes"/>
    <x v="0"/>
    <n v="-5841"/>
  </r>
  <r>
    <n v="305"/>
    <d v="2023-01-13T16:00:00"/>
    <x v="0"/>
    <n v="2"/>
    <x v="0"/>
    <s v="TVS"/>
    <x v="0"/>
    <x v="3"/>
    <n v="83846"/>
    <n v="4"/>
    <n v="52821"/>
    <n v="130259"/>
    <n v="7"/>
    <s v="Yes"/>
    <x v="0"/>
    <n v="-77438"/>
  </r>
  <r>
    <n v="306"/>
    <d v="2023-01-13T17:00:00"/>
    <x v="0"/>
    <n v="2"/>
    <x v="0"/>
    <s v="Bajaj"/>
    <x v="0"/>
    <x v="3"/>
    <n v="74891"/>
    <n v="8"/>
    <n v="120797"/>
    <n v="56504"/>
    <n v="12"/>
    <s v="No"/>
    <x v="0"/>
    <n v="64293"/>
  </r>
  <r>
    <n v="307"/>
    <d v="2023-01-13T18:00:00"/>
    <x v="0"/>
    <n v="2"/>
    <x v="0"/>
    <s v="Honda"/>
    <x v="0"/>
    <x v="1"/>
    <n v="39136"/>
    <n v="6"/>
    <n v="173456"/>
    <n v="110668"/>
    <n v="9"/>
    <s v="No"/>
    <x v="0"/>
    <n v="62788"/>
  </r>
  <r>
    <n v="308"/>
    <d v="2023-01-13T19:00:00"/>
    <x v="0"/>
    <n v="2"/>
    <x v="0"/>
    <s v="Bajaj"/>
    <x v="0"/>
    <x v="1"/>
    <n v="11339"/>
    <n v="1"/>
    <n v="102734"/>
    <n v="68374"/>
    <n v="4"/>
    <s v="Yes"/>
    <x v="0"/>
    <n v="34360"/>
  </r>
  <r>
    <n v="309"/>
    <d v="2023-01-13T20:00:00"/>
    <x v="0"/>
    <n v="2"/>
    <x v="0"/>
    <s v="Yamaha"/>
    <x v="0"/>
    <x v="3"/>
    <n v="66046"/>
    <n v="6"/>
    <n v="163241"/>
    <n v="44404"/>
    <n v="5"/>
    <s v="Yes"/>
    <x v="0"/>
    <n v="118837"/>
  </r>
  <r>
    <n v="310"/>
    <d v="2023-01-13T21:00:00"/>
    <x v="0"/>
    <n v="2"/>
    <x v="0"/>
    <s v="Yamaha"/>
    <x v="0"/>
    <x v="2"/>
    <n v="48329"/>
    <n v="2"/>
    <n v="122445"/>
    <n v="80223"/>
    <n v="11"/>
    <s v="No"/>
    <x v="0"/>
    <n v="42222"/>
  </r>
  <r>
    <n v="311"/>
    <d v="2023-01-13T22:00:00"/>
    <x v="0"/>
    <n v="2"/>
    <x v="0"/>
    <s v="Honda"/>
    <x v="0"/>
    <x v="2"/>
    <n v="9730"/>
    <n v="0"/>
    <n v="28830"/>
    <n v="126008"/>
    <n v="2"/>
    <s v="Yes"/>
    <x v="0"/>
    <n v="-97178"/>
  </r>
  <r>
    <n v="312"/>
    <d v="2023-01-13T23:00:00"/>
    <x v="0"/>
    <n v="2"/>
    <x v="0"/>
    <s v="TVS"/>
    <x v="0"/>
    <x v="0"/>
    <n v="52477"/>
    <n v="7"/>
    <n v="111940"/>
    <n v="15637"/>
    <n v="6"/>
    <s v="Yes"/>
    <x v="0"/>
    <n v="96303"/>
  </r>
  <r>
    <n v="313"/>
    <d v="2023-01-14T00:00:00"/>
    <x v="0"/>
    <n v="2"/>
    <x v="0"/>
    <s v="Hero"/>
    <x v="0"/>
    <x v="3"/>
    <n v="40732"/>
    <n v="2"/>
    <n v="88867"/>
    <n v="105152"/>
    <n v="4"/>
    <s v="Yes"/>
    <x v="0"/>
    <n v="-16285"/>
  </r>
  <r>
    <n v="314"/>
    <d v="2023-01-14T01:00:00"/>
    <x v="0"/>
    <n v="2"/>
    <x v="0"/>
    <s v="Honda"/>
    <x v="0"/>
    <x v="2"/>
    <n v="95292"/>
    <n v="7"/>
    <n v="57419"/>
    <n v="118186"/>
    <n v="5"/>
    <s v="Yes"/>
    <x v="0"/>
    <n v="-60767"/>
  </r>
  <r>
    <n v="315"/>
    <d v="2023-01-14T02:00:00"/>
    <x v="0"/>
    <n v="2"/>
    <x v="0"/>
    <s v="Hero"/>
    <x v="0"/>
    <x v="3"/>
    <n v="26151"/>
    <n v="6"/>
    <n v="41668"/>
    <n v="30828"/>
    <n v="7"/>
    <s v="Yes"/>
    <x v="0"/>
    <n v="10840"/>
  </r>
  <r>
    <n v="316"/>
    <d v="2023-01-14T03:00:00"/>
    <x v="0"/>
    <n v="2"/>
    <x v="0"/>
    <s v="Hero"/>
    <x v="0"/>
    <x v="2"/>
    <n v="98419"/>
    <n v="1"/>
    <n v="172318"/>
    <n v="68544"/>
    <n v="6"/>
    <s v="Yes"/>
    <x v="0"/>
    <n v="103774"/>
  </r>
  <r>
    <n v="317"/>
    <d v="2023-01-14T04:00:00"/>
    <x v="0"/>
    <n v="2"/>
    <x v="0"/>
    <s v="TVS"/>
    <x v="0"/>
    <x v="0"/>
    <n v="40463"/>
    <n v="0"/>
    <n v="49996"/>
    <n v="106732"/>
    <n v="8"/>
    <s v="No"/>
    <x v="0"/>
    <n v="-56736"/>
  </r>
  <r>
    <n v="318"/>
    <d v="2023-01-14T05:00:00"/>
    <x v="0"/>
    <n v="2"/>
    <x v="0"/>
    <s v="Hero"/>
    <x v="0"/>
    <x v="0"/>
    <n v="56372"/>
    <n v="6"/>
    <n v="76312"/>
    <n v="116976"/>
    <n v="6"/>
    <s v="Yes"/>
    <x v="0"/>
    <n v="-40664"/>
  </r>
  <r>
    <n v="319"/>
    <d v="2023-01-14T06:00:00"/>
    <x v="0"/>
    <n v="2"/>
    <x v="0"/>
    <s v="Hero"/>
    <x v="0"/>
    <x v="3"/>
    <n v="79698"/>
    <n v="0"/>
    <n v="159137"/>
    <n v="60097"/>
    <n v="10"/>
    <s v="No"/>
    <x v="0"/>
    <n v="99040"/>
  </r>
  <r>
    <n v="320"/>
    <d v="2023-01-14T07:00:00"/>
    <x v="0"/>
    <n v="2"/>
    <x v="0"/>
    <s v="TVS"/>
    <x v="0"/>
    <x v="2"/>
    <n v="14239"/>
    <n v="5"/>
    <n v="35467"/>
    <n v="128271"/>
    <n v="14"/>
    <s v="No"/>
    <x v="0"/>
    <n v="-92804"/>
  </r>
  <r>
    <n v="321"/>
    <d v="2023-01-14T08:00:00"/>
    <x v="0"/>
    <n v="2"/>
    <x v="0"/>
    <s v="Hero"/>
    <x v="1"/>
    <x v="1"/>
    <n v="63794"/>
    <n v="9"/>
    <n v="177079"/>
    <n v="47022"/>
    <n v="8"/>
    <s v="No"/>
    <x v="0"/>
    <n v="130057"/>
  </r>
  <r>
    <n v="322"/>
    <d v="2023-01-14T09:00:00"/>
    <x v="0"/>
    <n v="2"/>
    <x v="0"/>
    <s v="Hero"/>
    <x v="0"/>
    <x v="0"/>
    <n v="48856"/>
    <n v="9"/>
    <n v="53702"/>
    <n v="47202"/>
    <n v="13"/>
    <s v="No"/>
    <x v="0"/>
    <n v="6500"/>
  </r>
  <r>
    <n v="323"/>
    <d v="2023-01-14T10:00:00"/>
    <x v="0"/>
    <n v="2"/>
    <x v="0"/>
    <s v="Hero"/>
    <x v="0"/>
    <x v="3"/>
    <n v="2289"/>
    <n v="7"/>
    <n v="119369"/>
    <n v="43704"/>
    <n v="14"/>
    <s v="No"/>
    <x v="0"/>
    <n v="75665"/>
  </r>
  <r>
    <n v="324"/>
    <d v="2023-01-14T11:00:00"/>
    <x v="0"/>
    <n v="2"/>
    <x v="0"/>
    <s v="Honda"/>
    <x v="0"/>
    <x v="3"/>
    <n v="19920"/>
    <n v="6"/>
    <n v="100569"/>
    <n v="106411"/>
    <n v="14"/>
    <s v="No"/>
    <x v="0"/>
    <n v="-5842"/>
  </r>
  <r>
    <n v="325"/>
    <d v="2023-01-14T12:00:00"/>
    <x v="0"/>
    <n v="2"/>
    <x v="0"/>
    <s v="Honda"/>
    <x v="0"/>
    <x v="2"/>
    <n v="89797"/>
    <n v="3"/>
    <n v="78952"/>
    <n v="38641"/>
    <n v="4"/>
    <s v="Yes"/>
    <x v="0"/>
    <n v="40311"/>
  </r>
  <r>
    <n v="326"/>
    <d v="2023-01-14T13:00:00"/>
    <x v="0"/>
    <n v="2"/>
    <x v="0"/>
    <s v="Honda"/>
    <x v="0"/>
    <x v="3"/>
    <n v="38106"/>
    <n v="0"/>
    <n v="59169"/>
    <n v="52479"/>
    <n v="12"/>
    <s v="No"/>
    <x v="0"/>
    <n v="6690"/>
  </r>
  <r>
    <n v="327"/>
    <d v="2023-01-14T14:00:00"/>
    <x v="0"/>
    <n v="2"/>
    <x v="0"/>
    <s v="TVS"/>
    <x v="0"/>
    <x v="0"/>
    <n v="39140"/>
    <n v="0"/>
    <n v="41829"/>
    <n v="93771"/>
    <n v="7"/>
    <s v="Yes"/>
    <x v="0"/>
    <n v="-51942"/>
  </r>
  <r>
    <n v="328"/>
    <d v="2023-01-14T15:00:00"/>
    <x v="0"/>
    <n v="2"/>
    <x v="0"/>
    <s v="Yamaha"/>
    <x v="1"/>
    <x v="3"/>
    <n v="44635"/>
    <n v="3"/>
    <n v="29522"/>
    <n v="37027"/>
    <n v="3"/>
    <s v="Yes"/>
    <x v="1"/>
    <n v="-7505"/>
  </r>
  <r>
    <n v="329"/>
    <d v="2023-01-14T16:00:00"/>
    <x v="0"/>
    <n v="2"/>
    <x v="0"/>
    <s v="Hero"/>
    <x v="0"/>
    <x v="3"/>
    <n v="37567"/>
    <n v="4"/>
    <n v="110687"/>
    <n v="113463"/>
    <n v="1"/>
    <s v="Yes"/>
    <x v="0"/>
    <n v="-2776"/>
  </r>
  <r>
    <n v="330"/>
    <d v="2023-01-14T17:00:00"/>
    <x v="0"/>
    <n v="2"/>
    <x v="0"/>
    <s v="Hero"/>
    <x v="0"/>
    <x v="1"/>
    <n v="58920"/>
    <n v="6"/>
    <n v="145334"/>
    <n v="57912"/>
    <n v="13"/>
    <s v="No"/>
    <x v="0"/>
    <n v="87422"/>
  </r>
  <r>
    <n v="331"/>
    <d v="2023-01-14T18:00:00"/>
    <x v="0"/>
    <n v="2"/>
    <x v="0"/>
    <s v="TVS"/>
    <x v="0"/>
    <x v="1"/>
    <n v="17857"/>
    <n v="3"/>
    <n v="143576"/>
    <n v="128097"/>
    <n v="9"/>
    <s v="No"/>
    <x v="0"/>
    <n v="15479"/>
  </r>
  <r>
    <n v="332"/>
    <d v="2023-01-14T19:00:00"/>
    <x v="0"/>
    <n v="2"/>
    <x v="0"/>
    <s v="Hero"/>
    <x v="0"/>
    <x v="0"/>
    <n v="40351"/>
    <n v="9"/>
    <n v="142419"/>
    <n v="123227"/>
    <n v="9"/>
    <s v="No"/>
    <x v="0"/>
    <n v="19192"/>
  </r>
  <r>
    <n v="333"/>
    <d v="2023-01-14T20:00:00"/>
    <x v="0"/>
    <n v="2"/>
    <x v="0"/>
    <s v="Honda"/>
    <x v="0"/>
    <x v="2"/>
    <n v="38762"/>
    <n v="0"/>
    <n v="32699"/>
    <n v="107558"/>
    <n v="6"/>
    <s v="Yes"/>
    <x v="0"/>
    <n v="-74859"/>
  </r>
  <r>
    <n v="334"/>
    <d v="2023-01-14T21:00:00"/>
    <x v="0"/>
    <n v="2"/>
    <x v="0"/>
    <s v="Yamaha"/>
    <x v="0"/>
    <x v="1"/>
    <n v="77353"/>
    <n v="9"/>
    <n v="93165"/>
    <n v="86474"/>
    <n v="2"/>
    <s v="Yes"/>
    <x v="0"/>
    <n v="6691"/>
  </r>
  <r>
    <n v="335"/>
    <d v="2023-01-14T22:00:00"/>
    <x v="0"/>
    <n v="2"/>
    <x v="0"/>
    <s v="Bajaj"/>
    <x v="0"/>
    <x v="2"/>
    <n v="59143"/>
    <n v="6"/>
    <n v="100692"/>
    <n v="124658"/>
    <n v="8"/>
    <s v="No"/>
    <x v="0"/>
    <n v="-23966"/>
  </r>
  <r>
    <n v="336"/>
    <d v="2023-01-14T23:00:00"/>
    <x v="0"/>
    <n v="2"/>
    <x v="0"/>
    <s v="Hero"/>
    <x v="0"/>
    <x v="0"/>
    <n v="22034"/>
    <n v="1"/>
    <n v="42441"/>
    <n v="57692"/>
    <n v="10"/>
    <s v="No"/>
    <x v="0"/>
    <n v="-15251"/>
  </r>
  <r>
    <n v="337"/>
    <d v="2023-01-15T00:00:00"/>
    <x v="0"/>
    <n v="3"/>
    <x v="0"/>
    <s v="Honda"/>
    <x v="0"/>
    <x v="1"/>
    <n v="91770"/>
    <n v="1"/>
    <n v="55716"/>
    <n v="113884"/>
    <n v="6"/>
    <s v="Yes"/>
    <x v="0"/>
    <n v="-58168"/>
  </r>
  <r>
    <n v="338"/>
    <d v="2023-01-15T01:00:00"/>
    <x v="0"/>
    <n v="3"/>
    <x v="0"/>
    <s v="Bajaj"/>
    <x v="0"/>
    <x v="2"/>
    <n v="33372"/>
    <n v="7"/>
    <n v="87175"/>
    <n v="47209"/>
    <n v="7"/>
    <s v="Yes"/>
    <x v="0"/>
    <n v="39966"/>
  </r>
  <r>
    <n v="339"/>
    <d v="2023-01-15T02:00:00"/>
    <x v="0"/>
    <n v="3"/>
    <x v="0"/>
    <s v="Yamaha"/>
    <x v="0"/>
    <x v="1"/>
    <n v="8189"/>
    <n v="9"/>
    <n v="31834"/>
    <n v="72563"/>
    <n v="13"/>
    <s v="No"/>
    <x v="0"/>
    <n v="-40729"/>
  </r>
  <r>
    <n v="340"/>
    <d v="2023-01-15T03:00:00"/>
    <x v="0"/>
    <n v="3"/>
    <x v="0"/>
    <s v="Bajaj"/>
    <x v="0"/>
    <x v="0"/>
    <n v="69603"/>
    <n v="9"/>
    <n v="43179"/>
    <n v="71738"/>
    <n v="1"/>
    <s v="Yes"/>
    <x v="0"/>
    <n v="-28559"/>
  </r>
  <r>
    <n v="341"/>
    <d v="2023-01-15T04:00:00"/>
    <x v="0"/>
    <n v="3"/>
    <x v="0"/>
    <s v="Honda"/>
    <x v="0"/>
    <x v="0"/>
    <n v="86768"/>
    <n v="9"/>
    <n v="51219"/>
    <n v="52242"/>
    <n v="3"/>
    <s v="Yes"/>
    <x v="0"/>
    <n v="-1023"/>
  </r>
  <r>
    <n v="342"/>
    <d v="2023-01-15T05:00:00"/>
    <x v="0"/>
    <n v="3"/>
    <x v="0"/>
    <s v="Bajaj"/>
    <x v="0"/>
    <x v="1"/>
    <n v="86810"/>
    <n v="4"/>
    <n v="128153"/>
    <n v="24941"/>
    <n v="1"/>
    <s v="Yes"/>
    <x v="0"/>
    <n v="103212"/>
  </r>
  <r>
    <n v="343"/>
    <d v="2023-01-15T06:00:00"/>
    <x v="0"/>
    <n v="3"/>
    <x v="0"/>
    <s v="TVS"/>
    <x v="0"/>
    <x v="2"/>
    <n v="89231"/>
    <n v="9"/>
    <n v="171854"/>
    <n v="22073"/>
    <n v="10"/>
    <s v="No"/>
    <x v="0"/>
    <n v="149781"/>
  </r>
  <r>
    <n v="344"/>
    <d v="2023-01-15T07:00:00"/>
    <x v="0"/>
    <n v="3"/>
    <x v="0"/>
    <s v="Bajaj"/>
    <x v="1"/>
    <x v="3"/>
    <n v="37912"/>
    <n v="1"/>
    <n v="99967"/>
    <n v="122966"/>
    <n v="1"/>
    <s v="Yes"/>
    <x v="0"/>
    <n v="-22999"/>
  </r>
  <r>
    <n v="345"/>
    <d v="2023-01-15T08:00:00"/>
    <x v="0"/>
    <n v="3"/>
    <x v="0"/>
    <s v="Hero"/>
    <x v="0"/>
    <x v="3"/>
    <n v="48234"/>
    <n v="4"/>
    <n v="127454"/>
    <n v="52827"/>
    <n v="12"/>
    <s v="No"/>
    <x v="1"/>
    <n v="74627"/>
  </r>
  <r>
    <n v="346"/>
    <d v="2023-01-15T09:00:00"/>
    <x v="0"/>
    <n v="3"/>
    <x v="0"/>
    <s v="Hero"/>
    <x v="0"/>
    <x v="1"/>
    <n v="88293"/>
    <n v="7"/>
    <n v="34496"/>
    <n v="61225"/>
    <n v="12"/>
    <s v="No"/>
    <x v="0"/>
    <n v="-26729"/>
  </r>
  <r>
    <n v="347"/>
    <d v="2023-01-15T10:00:00"/>
    <x v="0"/>
    <n v="3"/>
    <x v="0"/>
    <s v="TVS"/>
    <x v="1"/>
    <x v="2"/>
    <n v="70430"/>
    <n v="5"/>
    <n v="71025"/>
    <n v="52096"/>
    <n v="11"/>
    <s v="No"/>
    <x v="0"/>
    <n v="18929"/>
  </r>
  <r>
    <n v="348"/>
    <d v="2023-01-15T11:00:00"/>
    <x v="0"/>
    <n v="3"/>
    <x v="0"/>
    <s v="Honda"/>
    <x v="0"/>
    <x v="3"/>
    <n v="22728"/>
    <n v="2"/>
    <n v="84886"/>
    <n v="65546"/>
    <n v="13"/>
    <s v="No"/>
    <x v="0"/>
    <n v="19340"/>
  </r>
  <r>
    <n v="349"/>
    <d v="2023-01-15T12:00:00"/>
    <x v="0"/>
    <n v="3"/>
    <x v="0"/>
    <s v="Hero"/>
    <x v="0"/>
    <x v="0"/>
    <n v="78424"/>
    <n v="7"/>
    <n v="179635"/>
    <n v="81457"/>
    <n v="1"/>
    <s v="Yes"/>
    <x v="0"/>
    <n v="98178"/>
  </r>
  <r>
    <n v="350"/>
    <d v="2023-01-15T13:00:00"/>
    <x v="0"/>
    <n v="3"/>
    <x v="0"/>
    <s v="Yamaha"/>
    <x v="0"/>
    <x v="2"/>
    <n v="11819"/>
    <n v="8"/>
    <n v="28712"/>
    <n v="83309"/>
    <n v="4"/>
    <s v="Yes"/>
    <x v="0"/>
    <n v="-54597"/>
  </r>
  <r>
    <n v="351"/>
    <d v="2023-01-15T14:00:00"/>
    <x v="0"/>
    <n v="3"/>
    <x v="0"/>
    <s v="Hero"/>
    <x v="0"/>
    <x v="3"/>
    <n v="6975"/>
    <n v="4"/>
    <n v="119067"/>
    <n v="84998"/>
    <n v="13"/>
    <s v="No"/>
    <x v="0"/>
    <n v="34069"/>
  </r>
  <r>
    <n v="352"/>
    <d v="2023-01-15T15:00:00"/>
    <x v="0"/>
    <n v="3"/>
    <x v="0"/>
    <s v="Hero"/>
    <x v="0"/>
    <x v="2"/>
    <n v="97591"/>
    <n v="1"/>
    <n v="70489"/>
    <n v="101496"/>
    <n v="7"/>
    <s v="Yes"/>
    <x v="0"/>
    <n v="-31007"/>
  </r>
  <r>
    <n v="353"/>
    <d v="2023-01-15T16:00:00"/>
    <x v="0"/>
    <n v="3"/>
    <x v="0"/>
    <s v="Honda"/>
    <x v="0"/>
    <x v="1"/>
    <n v="84194"/>
    <n v="1"/>
    <n v="57664"/>
    <n v="45268"/>
    <n v="7"/>
    <s v="Yes"/>
    <x v="0"/>
    <n v="12396"/>
  </r>
  <r>
    <n v="354"/>
    <d v="2023-01-15T17:00:00"/>
    <x v="0"/>
    <n v="3"/>
    <x v="0"/>
    <s v="Bajaj"/>
    <x v="0"/>
    <x v="2"/>
    <n v="15228"/>
    <n v="6"/>
    <n v="168492"/>
    <n v="100354"/>
    <n v="12"/>
    <s v="No"/>
    <x v="0"/>
    <n v="68138"/>
  </r>
  <r>
    <n v="355"/>
    <d v="2023-01-15T18:00:00"/>
    <x v="0"/>
    <n v="3"/>
    <x v="0"/>
    <s v="Hero"/>
    <x v="0"/>
    <x v="3"/>
    <n v="30045"/>
    <n v="0"/>
    <n v="30315"/>
    <n v="120037"/>
    <n v="13"/>
    <s v="No"/>
    <x v="0"/>
    <n v="-89722"/>
  </r>
  <r>
    <n v="356"/>
    <d v="2023-01-15T19:00:00"/>
    <x v="0"/>
    <n v="3"/>
    <x v="0"/>
    <s v="TVS"/>
    <x v="0"/>
    <x v="1"/>
    <n v="97136"/>
    <n v="9"/>
    <n v="100033"/>
    <n v="125078"/>
    <n v="5"/>
    <s v="Yes"/>
    <x v="0"/>
    <n v="-25045"/>
  </r>
  <r>
    <n v="357"/>
    <d v="2023-01-15T20:00:00"/>
    <x v="0"/>
    <n v="3"/>
    <x v="0"/>
    <s v="Bajaj"/>
    <x v="0"/>
    <x v="2"/>
    <n v="82186"/>
    <n v="1"/>
    <n v="142862"/>
    <n v="57078"/>
    <n v="12"/>
    <s v="No"/>
    <x v="0"/>
    <n v="85784"/>
  </r>
  <r>
    <n v="358"/>
    <d v="2023-01-15T21:00:00"/>
    <x v="0"/>
    <n v="3"/>
    <x v="0"/>
    <s v="Yamaha"/>
    <x v="0"/>
    <x v="0"/>
    <n v="99250"/>
    <n v="9"/>
    <n v="104030"/>
    <n v="16865"/>
    <n v="6"/>
    <s v="Yes"/>
    <x v="0"/>
    <n v="87165"/>
  </r>
  <r>
    <n v="359"/>
    <d v="2023-01-15T22:00:00"/>
    <x v="0"/>
    <n v="3"/>
    <x v="0"/>
    <s v="Honda"/>
    <x v="0"/>
    <x v="3"/>
    <n v="98912"/>
    <n v="3"/>
    <n v="88910"/>
    <n v="111242"/>
    <n v="2"/>
    <s v="Yes"/>
    <x v="0"/>
    <n v="-22332"/>
  </r>
  <r>
    <n v="360"/>
    <d v="2023-01-15T23:00:00"/>
    <x v="0"/>
    <n v="3"/>
    <x v="0"/>
    <s v="Yamaha"/>
    <x v="1"/>
    <x v="1"/>
    <n v="62256"/>
    <n v="0"/>
    <n v="146075"/>
    <n v="43887"/>
    <n v="5"/>
    <s v="Yes"/>
    <x v="0"/>
    <n v="102188"/>
  </r>
  <r>
    <n v="361"/>
    <d v="2023-01-16T00:00:00"/>
    <x v="0"/>
    <n v="3"/>
    <x v="0"/>
    <s v="Bajaj"/>
    <x v="1"/>
    <x v="2"/>
    <n v="69275"/>
    <n v="3"/>
    <n v="80919"/>
    <n v="64876"/>
    <n v="7"/>
    <s v="Yes"/>
    <x v="1"/>
    <n v="16043"/>
  </r>
  <r>
    <n v="362"/>
    <d v="2023-01-16T01:00:00"/>
    <x v="0"/>
    <n v="3"/>
    <x v="0"/>
    <s v="Bajaj"/>
    <x v="0"/>
    <x v="0"/>
    <n v="39199"/>
    <n v="9"/>
    <n v="160204"/>
    <n v="111047"/>
    <n v="14"/>
    <s v="No"/>
    <x v="0"/>
    <n v="49157"/>
  </r>
  <r>
    <n v="363"/>
    <d v="2023-01-16T02:00:00"/>
    <x v="0"/>
    <n v="3"/>
    <x v="0"/>
    <s v="Bajaj"/>
    <x v="1"/>
    <x v="3"/>
    <n v="37321"/>
    <n v="4"/>
    <n v="152153"/>
    <n v="48479"/>
    <n v="9"/>
    <s v="No"/>
    <x v="0"/>
    <n v="103674"/>
  </r>
  <r>
    <n v="364"/>
    <d v="2023-01-16T03:00:00"/>
    <x v="0"/>
    <n v="3"/>
    <x v="0"/>
    <s v="Yamaha"/>
    <x v="0"/>
    <x v="0"/>
    <n v="31115"/>
    <n v="8"/>
    <n v="66598"/>
    <n v="55478"/>
    <n v="6"/>
    <s v="Yes"/>
    <x v="0"/>
    <n v="11120"/>
  </r>
  <r>
    <n v="365"/>
    <d v="2023-01-16T04:00:00"/>
    <x v="0"/>
    <n v="3"/>
    <x v="0"/>
    <s v="Bajaj"/>
    <x v="1"/>
    <x v="2"/>
    <n v="14246"/>
    <n v="0"/>
    <n v="176623"/>
    <n v="41401"/>
    <n v="12"/>
    <s v="No"/>
    <x v="0"/>
    <n v="135222"/>
  </r>
  <r>
    <n v="366"/>
    <d v="2023-01-16T05:00:00"/>
    <x v="0"/>
    <n v="3"/>
    <x v="0"/>
    <s v="Yamaha"/>
    <x v="0"/>
    <x v="2"/>
    <n v="86957"/>
    <n v="4"/>
    <n v="93206"/>
    <n v="43502"/>
    <n v="14"/>
    <s v="No"/>
    <x v="1"/>
    <n v="49704"/>
  </r>
  <r>
    <n v="367"/>
    <d v="2023-01-16T06:00:00"/>
    <x v="0"/>
    <n v="3"/>
    <x v="0"/>
    <s v="Bajaj"/>
    <x v="0"/>
    <x v="1"/>
    <n v="23245"/>
    <n v="1"/>
    <n v="99900"/>
    <n v="134768"/>
    <n v="10"/>
    <s v="No"/>
    <x v="0"/>
    <n v="-34868"/>
  </r>
  <r>
    <n v="368"/>
    <d v="2023-01-16T07:00:00"/>
    <x v="0"/>
    <n v="3"/>
    <x v="0"/>
    <s v="TVS"/>
    <x v="0"/>
    <x v="0"/>
    <n v="1745"/>
    <n v="8"/>
    <n v="51296"/>
    <n v="126750"/>
    <n v="4"/>
    <s v="Yes"/>
    <x v="0"/>
    <n v="-75454"/>
  </r>
  <r>
    <n v="369"/>
    <d v="2023-01-16T08:00:00"/>
    <x v="0"/>
    <n v="3"/>
    <x v="0"/>
    <s v="Bajaj"/>
    <x v="0"/>
    <x v="1"/>
    <n v="25353"/>
    <n v="5"/>
    <n v="174138"/>
    <n v="28394"/>
    <n v="3"/>
    <s v="Yes"/>
    <x v="0"/>
    <n v="145744"/>
  </r>
  <r>
    <n v="370"/>
    <d v="2023-01-16T09:00:00"/>
    <x v="0"/>
    <n v="3"/>
    <x v="0"/>
    <s v="Yamaha"/>
    <x v="0"/>
    <x v="3"/>
    <n v="28132"/>
    <n v="1"/>
    <n v="100577"/>
    <n v="113694"/>
    <n v="9"/>
    <s v="No"/>
    <x v="0"/>
    <n v="-13117"/>
  </r>
  <r>
    <n v="371"/>
    <d v="2023-01-16T10:00:00"/>
    <x v="0"/>
    <n v="3"/>
    <x v="0"/>
    <s v="Hero"/>
    <x v="0"/>
    <x v="1"/>
    <n v="13356"/>
    <n v="2"/>
    <n v="102173"/>
    <n v="24262"/>
    <n v="7"/>
    <s v="Yes"/>
    <x v="0"/>
    <n v="77911"/>
  </r>
  <r>
    <n v="372"/>
    <d v="2023-01-16T11:00:00"/>
    <x v="0"/>
    <n v="3"/>
    <x v="0"/>
    <s v="Bajaj"/>
    <x v="0"/>
    <x v="3"/>
    <n v="57393"/>
    <n v="7"/>
    <n v="89771"/>
    <n v="19487"/>
    <n v="11"/>
    <s v="No"/>
    <x v="0"/>
    <n v="70284"/>
  </r>
  <r>
    <n v="373"/>
    <d v="2023-01-16T12:00:00"/>
    <x v="0"/>
    <n v="3"/>
    <x v="0"/>
    <s v="Hero"/>
    <x v="0"/>
    <x v="2"/>
    <n v="71141"/>
    <n v="0"/>
    <n v="102865"/>
    <n v="42341"/>
    <n v="14"/>
    <s v="No"/>
    <x v="0"/>
    <n v="60524"/>
  </r>
  <r>
    <n v="374"/>
    <d v="2023-01-16T13:00:00"/>
    <x v="0"/>
    <n v="3"/>
    <x v="0"/>
    <s v="TVS"/>
    <x v="0"/>
    <x v="2"/>
    <n v="68549"/>
    <n v="2"/>
    <n v="124074"/>
    <n v="123924"/>
    <n v="13"/>
    <s v="No"/>
    <x v="0"/>
    <n v="150"/>
  </r>
  <r>
    <n v="375"/>
    <d v="2023-01-16T14:00:00"/>
    <x v="0"/>
    <n v="3"/>
    <x v="0"/>
    <s v="Honda"/>
    <x v="0"/>
    <x v="0"/>
    <n v="58682"/>
    <n v="9"/>
    <n v="61622"/>
    <n v="28570"/>
    <n v="6"/>
    <s v="Yes"/>
    <x v="0"/>
    <n v="33052"/>
  </r>
  <r>
    <n v="376"/>
    <d v="2023-01-16T15:00:00"/>
    <x v="0"/>
    <n v="3"/>
    <x v="0"/>
    <s v="TVS"/>
    <x v="0"/>
    <x v="3"/>
    <n v="3301"/>
    <n v="0"/>
    <n v="60886"/>
    <n v="72268"/>
    <n v="7"/>
    <s v="Yes"/>
    <x v="0"/>
    <n v="-11382"/>
  </r>
  <r>
    <n v="377"/>
    <d v="2023-01-16T16:00:00"/>
    <x v="0"/>
    <n v="3"/>
    <x v="0"/>
    <s v="Bajaj"/>
    <x v="0"/>
    <x v="2"/>
    <n v="98381"/>
    <n v="7"/>
    <n v="165973"/>
    <n v="136435"/>
    <n v="8"/>
    <s v="No"/>
    <x v="0"/>
    <n v="29538"/>
  </r>
  <r>
    <n v="378"/>
    <d v="2023-01-16T17:00:00"/>
    <x v="0"/>
    <n v="3"/>
    <x v="0"/>
    <s v="Hero"/>
    <x v="0"/>
    <x v="0"/>
    <n v="79931"/>
    <n v="0"/>
    <n v="81377"/>
    <n v="44605"/>
    <n v="5"/>
    <s v="Yes"/>
    <x v="0"/>
    <n v="36772"/>
  </r>
  <r>
    <n v="379"/>
    <d v="2023-01-16T18:00:00"/>
    <x v="0"/>
    <n v="3"/>
    <x v="0"/>
    <s v="Hero"/>
    <x v="0"/>
    <x v="0"/>
    <n v="40249"/>
    <n v="4"/>
    <n v="107910"/>
    <n v="86602"/>
    <n v="3"/>
    <s v="Yes"/>
    <x v="0"/>
    <n v="21308"/>
  </r>
  <r>
    <n v="380"/>
    <d v="2023-01-16T19:00:00"/>
    <x v="0"/>
    <n v="3"/>
    <x v="0"/>
    <s v="Yamaha"/>
    <x v="0"/>
    <x v="1"/>
    <n v="74257"/>
    <n v="3"/>
    <n v="143992"/>
    <n v="117798"/>
    <n v="3"/>
    <s v="Yes"/>
    <x v="0"/>
    <n v="26194"/>
  </r>
  <r>
    <n v="381"/>
    <d v="2023-01-16T20:00:00"/>
    <x v="0"/>
    <n v="3"/>
    <x v="0"/>
    <s v="Hero"/>
    <x v="1"/>
    <x v="0"/>
    <n v="56154"/>
    <n v="6"/>
    <n v="173731"/>
    <n v="41723"/>
    <n v="13"/>
    <s v="No"/>
    <x v="0"/>
    <n v="132008"/>
  </r>
  <r>
    <n v="382"/>
    <d v="2023-01-16T21:00:00"/>
    <x v="0"/>
    <n v="3"/>
    <x v="0"/>
    <s v="Yamaha"/>
    <x v="0"/>
    <x v="2"/>
    <n v="72074"/>
    <n v="4"/>
    <n v="179525"/>
    <n v="84108"/>
    <n v="2"/>
    <s v="Yes"/>
    <x v="0"/>
    <n v="95417"/>
  </r>
  <r>
    <n v="383"/>
    <d v="2023-01-16T22:00:00"/>
    <x v="0"/>
    <n v="3"/>
    <x v="0"/>
    <s v="Honda"/>
    <x v="0"/>
    <x v="1"/>
    <n v="98067"/>
    <n v="7"/>
    <n v="41312"/>
    <n v="93206"/>
    <n v="8"/>
    <s v="No"/>
    <x v="1"/>
    <n v="-51894"/>
  </r>
  <r>
    <n v="384"/>
    <d v="2023-01-16T23:00:00"/>
    <x v="0"/>
    <n v="3"/>
    <x v="0"/>
    <s v="Bajaj"/>
    <x v="1"/>
    <x v="3"/>
    <n v="55881"/>
    <n v="0"/>
    <n v="26436"/>
    <n v="75098"/>
    <n v="1"/>
    <s v="Yes"/>
    <x v="0"/>
    <n v="-48662"/>
  </r>
  <r>
    <n v="385"/>
    <d v="2023-01-17T00:00:00"/>
    <x v="0"/>
    <n v="3"/>
    <x v="0"/>
    <s v="Yamaha"/>
    <x v="0"/>
    <x v="3"/>
    <n v="59101"/>
    <n v="4"/>
    <n v="52569"/>
    <n v="108375"/>
    <n v="12"/>
    <s v="No"/>
    <x v="1"/>
    <n v="-55806"/>
  </r>
  <r>
    <n v="386"/>
    <d v="2023-01-17T01:00:00"/>
    <x v="0"/>
    <n v="3"/>
    <x v="0"/>
    <s v="Honda"/>
    <x v="0"/>
    <x v="2"/>
    <n v="15582"/>
    <n v="3"/>
    <n v="141787"/>
    <n v="63707"/>
    <n v="8"/>
    <s v="No"/>
    <x v="0"/>
    <n v="78080"/>
  </r>
  <r>
    <n v="387"/>
    <d v="2023-01-17T02:00:00"/>
    <x v="0"/>
    <n v="3"/>
    <x v="0"/>
    <s v="Hero"/>
    <x v="0"/>
    <x v="2"/>
    <n v="15148"/>
    <n v="2"/>
    <n v="115485"/>
    <n v="64028"/>
    <n v="3"/>
    <s v="Yes"/>
    <x v="0"/>
    <n v="51457"/>
  </r>
  <r>
    <n v="388"/>
    <d v="2023-01-17T03:00:00"/>
    <x v="0"/>
    <n v="3"/>
    <x v="0"/>
    <s v="Hero"/>
    <x v="0"/>
    <x v="1"/>
    <n v="864"/>
    <n v="4"/>
    <n v="127555"/>
    <n v="108937"/>
    <n v="9"/>
    <s v="No"/>
    <x v="0"/>
    <n v="18618"/>
  </r>
  <r>
    <n v="389"/>
    <d v="2023-01-17T04:00:00"/>
    <x v="0"/>
    <n v="3"/>
    <x v="0"/>
    <s v="Honda"/>
    <x v="0"/>
    <x v="1"/>
    <n v="35068"/>
    <n v="9"/>
    <n v="165377"/>
    <n v="71921"/>
    <n v="12"/>
    <s v="No"/>
    <x v="0"/>
    <n v="93456"/>
  </r>
  <r>
    <n v="390"/>
    <d v="2023-01-17T05:00:00"/>
    <x v="0"/>
    <n v="3"/>
    <x v="0"/>
    <s v="Hero"/>
    <x v="0"/>
    <x v="2"/>
    <n v="80146"/>
    <n v="2"/>
    <n v="57646"/>
    <n v="75760"/>
    <n v="14"/>
    <s v="No"/>
    <x v="0"/>
    <n v="-18114"/>
  </r>
  <r>
    <n v="391"/>
    <d v="2023-01-17T06:00:00"/>
    <x v="0"/>
    <n v="3"/>
    <x v="0"/>
    <s v="Honda"/>
    <x v="0"/>
    <x v="2"/>
    <n v="71994"/>
    <n v="7"/>
    <n v="101126"/>
    <n v="25249"/>
    <n v="12"/>
    <s v="No"/>
    <x v="0"/>
    <n v="75877"/>
  </r>
  <r>
    <n v="392"/>
    <d v="2023-01-17T07:00:00"/>
    <x v="0"/>
    <n v="3"/>
    <x v="0"/>
    <s v="Yamaha"/>
    <x v="1"/>
    <x v="3"/>
    <n v="75132"/>
    <n v="2"/>
    <n v="142922"/>
    <n v="82847"/>
    <n v="11"/>
    <s v="No"/>
    <x v="0"/>
    <n v="60075"/>
  </r>
  <r>
    <n v="393"/>
    <d v="2023-01-17T08:00:00"/>
    <x v="0"/>
    <n v="3"/>
    <x v="0"/>
    <s v="Yamaha"/>
    <x v="0"/>
    <x v="3"/>
    <n v="7936"/>
    <n v="0"/>
    <n v="65430"/>
    <n v="112547"/>
    <n v="2"/>
    <s v="Yes"/>
    <x v="0"/>
    <n v="-47117"/>
  </r>
  <r>
    <n v="394"/>
    <d v="2023-01-17T09:00:00"/>
    <x v="0"/>
    <n v="3"/>
    <x v="0"/>
    <s v="Honda"/>
    <x v="0"/>
    <x v="3"/>
    <n v="87213"/>
    <n v="8"/>
    <n v="147238"/>
    <n v="58839"/>
    <n v="10"/>
    <s v="No"/>
    <x v="1"/>
    <n v="88399"/>
  </r>
  <r>
    <n v="395"/>
    <d v="2023-01-17T10:00:00"/>
    <x v="0"/>
    <n v="3"/>
    <x v="0"/>
    <s v="Yamaha"/>
    <x v="0"/>
    <x v="2"/>
    <n v="27254"/>
    <n v="8"/>
    <n v="93659"/>
    <n v="120077"/>
    <n v="9"/>
    <s v="No"/>
    <x v="0"/>
    <n v="-26418"/>
  </r>
  <r>
    <n v="396"/>
    <d v="2023-01-17T11:00:00"/>
    <x v="0"/>
    <n v="3"/>
    <x v="0"/>
    <s v="Yamaha"/>
    <x v="0"/>
    <x v="0"/>
    <n v="60694"/>
    <n v="5"/>
    <n v="140341"/>
    <n v="54673"/>
    <n v="6"/>
    <s v="Yes"/>
    <x v="1"/>
    <n v="85668"/>
  </r>
  <r>
    <n v="397"/>
    <d v="2023-01-17T12:00:00"/>
    <x v="0"/>
    <n v="3"/>
    <x v="0"/>
    <s v="Yamaha"/>
    <x v="0"/>
    <x v="2"/>
    <n v="25044"/>
    <n v="9"/>
    <n v="29158"/>
    <n v="18642"/>
    <n v="1"/>
    <s v="Yes"/>
    <x v="0"/>
    <n v="10516"/>
  </r>
  <r>
    <n v="398"/>
    <d v="2023-01-17T13:00:00"/>
    <x v="0"/>
    <n v="3"/>
    <x v="0"/>
    <s v="TVS"/>
    <x v="0"/>
    <x v="2"/>
    <n v="60680"/>
    <n v="0"/>
    <n v="99236"/>
    <n v="21338"/>
    <n v="5"/>
    <s v="Yes"/>
    <x v="0"/>
    <n v="77898"/>
  </r>
  <r>
    <n v="399"/>
    <d v="2023-01-17T14:00:00"/>
    <x v="0"/>
    <n v="3"/>
    <x v="0"/>
    <s v="Bajaj"/>
    <x v="0"/>
    <x v="3"/>
    <n v="63795"/>
    <n v="7"/>
    <n v="101067"/>
    <n v="129650"/>
    <n v="10"/>
    <s v="No"/>
    <x v="0"/>
    <n v="-28583"/>
  </r>
  <r>
    <n v="400"/>
    <d v="2023-01-17T15:00:00"/>
    <x v="0"/>
    <n v="3"/>
    <x v="0"/>
    <s v="Hero"/>
    <x v="0"/>
    <x v="2"/>
    <n v="13138"/>
    <n v="1"/>
    <n v="34879"/>
    <n v="66761"/>
    <n v="9"/>
    <s v="No"/>
    <x v="0"/>
    <n v="-31882"/>
  </r>
  <r>
    <n v="401"/>
    <d v="2023-01-17T16:00:00"/>
    <x v="0"/>
    <n v="3"/>
    <x v="0"/>
    <s v="TVS"/>
    <x v="0"/>
    <x v="1"/>
    <n v="66215"/>
    <n v="8"/>
    <n v="161615"/>
    <n v="24622"/>
    <n v="13"/>
    <s v="No"/>
    <x v="0"/>
    <n v="136993"/>
  </r>
  <r>
    <n v="402"/>
    <d v="2023-01-17T17:00:00"/>
    <x v="0"/>
    <n v="3"/>
    <x v="0"/>
    <s v="Yamaha"/>
    <x v="0"/>
    <x v="2"/>
    <n v="69909"/>
    <n v="7"/>
    <n v="137284"/>
    <n v="63423"/>
    <n v="6"/>
    <s v="Yes"/>
    <x v="0"/>
    <n v="73861"/>
  </r>
  <r>
    <n v="403"/>
    <d v="2023-01-17T18:00:00"/>
    <x v="0"/>
    <n v="3"/>
    <x v="0"/>
    <s v="Honda"/>
    <x v="0"/>
    <x v="2"/>
    <n v="83606"/>
    <n v="2"/>
    <n v="109117"/>
    <n v="57873"/>
    <n v="7"/>
    <s v="Yes"/>
    <x v="0"/>
    <n v="51244"/>
  </r>
  <r>
    <n v="404"/>
    <d v="2023-01-17T19:00:00"/>
    <x v="0"/>
    <n v="3"/>
    <x v="0"/>
    <s v="Yamaha"/>
    <x v="0"/>
    <x v="2"/>
    <n v="17657"/>
    <n v="4"/>
    <n v="68888"/>
    <n v="119544"/>
    <n v="4"/>
    <s v="Yes"/>
    <x v="0"/>
    <n v="-50656"/>
  </r>
  <r>
    <n v="405"/>
    <d v="2023-01-17T20:00:00"/>
    <x v="0"/>
    <n v="3"/>
    <x v="0"/>
    <s v="Bajaj"/>
    <x v="0"/>
    <x v="2"/>
    <n v="46065"/>
    <n v="8"/>
    <n v="55276"/>
    <n v="62565"/>
    <n v="1"/>
    <s v="Yes"/>
    <x v="0"/>
    <n v="-7289"/>
  </r>
  <r>
    <n v="406"/>
    <d v="2023-01-17T21:00:00"/>
    <x v="0"/>
    <n v="3"/>
    <x v="0"/>
    <s v="Yamaha"/>
    <x v="0"/>
    <x v="0"/>
    <n v="70496"/>
    <n v="0"/>
    <n v="29799"/>
    <n v="22806"/>
    <n v="5"/>
    <s v="Yes"/>
    <x v="0"/>
    <n v="6993"/>
  </r>
  <r>
    <n v="407"/>
    <d v="2023-01-17T22:00:00"/>
    <x v="0"/>
    <n v="3"/>
    <x v="0"/>
    <s v="Honda"/>
    <x v="0"/>
    <x v="2"/>
    <n v="66388"/>
    <n v="8"/>
    <n v="137529"/>
    <n v="15757"/>
    <n v="2"/>
    <s v="Yes"/>
    <x v="0"/>
    <n v="121772"/>
  </r>
  <r>
    <n v="408"/>
    <d v="2023-01-17T23:00:00"/>
    <x v="0"/>
    <n v="3"/>
    <x v="0"/>
    <s v="Bajaj"/>
    <x v="0"/>
    <x v="1"/>
    <n v="56595"/>
    <n v="3"/>
    <n v="149713"/>
    <n v="107246"/>
    <n v="8"/>
    <s v="No"/>
    <x v="0"/>
    <n v="42467"/>
  </r>
  <r>
    <n v="409"/>
    <d v="2023-01-18T00:00:00"/>
    <x v="0"/>
    <n v="3"/>
    <x v="0"/>
    <s v="Yamaha"/>
    <x v="1"/>
    <x v="1"/>
    <n v="65447"/>
    <n v="3"/>
    <n v="115141"/>
    <n v="36470"/>
    <n v="4"/>
    <s v="Yes"/>
    <x v="0"/>
    <n v="78671"/>
  </r>
  <r>
    <n v="410"/>
    <d v="2023-01-18T01:00:00"/>
    <x v="0"/>
    <n v="3"/>
    <x v="0"/>
    <s v="Bajaj"/>
    <x v="0"/>
    <x v="2"/>
    <n v="87622"/>
    <n v="3"/>
    <n v="140013"/>
    <n v="21220"/>
    <n v="1"/>
    <s v="Yes"/>
    <x v="0"/>
    <n v="118793"/>
  </r>
  <r>
    <n v="411"/>
    <d v="2023-01-18T02:00:00"/>
    <x v="0"/>
    <n v="3"/>
    <x v="0"/>
    <s v="Hero"/>
    <x v="1"/>
    <x v="3"/>
    <n v="71380"/>
    <n v="9"/>
    <n v="56668"/>
    <n v="123408"/>
    <n v="10"/>
    <s v="No"/>
    <x v="0"/>
    <n v="-66740"/>
  </r>
  <r>
    <n v="412"/>
    <d v="2023-01-18T03:00:00"/>
    <x v="0"/>
    <n v="3"/>
    <x v="0"/>
    <s v="Hero"/>
    <x v="0"/>
    <x v="0"/>
    <n v="5007"/>
    <n v="8"/>
    <n v="160183"/>
    <n v="106851"/>
    <n v="7"/>
    <s v="Yes"/>
    <x v="1"/>
    <n v="53332"/>
  </r>
  <r>
    <n v="413"/>
    <d v="2023-01-18T04:00:00"/>
    <x v="0"/>
    <n v="3"/>
    <x v="0"/>
    <s v="Yamaha"/>
    <x v="1"/>
    <x v="2"/>
    <n v="44488"/>
    <n v="5"/>
    <n v="97392"/>
    <n v="69754"/>
    <n v="12"/>
    <s v="No"/>
    <x v="0"/>
    <n v="27638"/>
  </r>
  <r>
    <n v="414"/>
    <d v="2023-01-18T05:00:00"/>
    <x v="0"/>
    <n v="3"/>
    <x v="0"/>
    <s v="Bajaj"/>
    <x v="0"/>
    <x v="2"/>
    <n v="98921"/>
    <n v="7"/>
    <n v="41490"/>
    <n v="108329"/>
    <n v="11"/>
    <s v="No"/>
    <x v="0"/>
    <n v="-66839"/>
  </r>
  <r>
    <n v="415"/>
    <d v="2023-01-18T06:00:00"/>
    <x v="0"/>
    <n v="3"/>
    <x v="0"/>
    <s v="Honda"/>
    <x v="1"/>
    <x v="2"/>
    <n v="17365"/>
    <n v="3"/>
    <n v="170569"/>
    <n v="94852"/>
    <n v="2"/>
    <s v="Yes"/>
    <x v="0"/>
    <n v="75717"/>
  </r>
  <r>
    <n v="416"/>
    <d v="2023-01-18T07:00:00"/>
    <x v="0"/>
    <n v="3"/>
    <x v="0"/>
    <s v="Yamaha"/>
    <x v="1"/>
    <x v="3"/>
    <n v="27713"/>
    <n v="2"/>
    <n v="142219"/>
    <n v="122630"/>
    <n v="3"/>
    <s v="Yes"/>
    <x v="0"/>
    <n v="19589"/>
  </r>
  <r>
    <n v="417"/>
    <d v="2023-01-18T08:00:00"/>
    <x v="0"/>
    <n v="3"/>
    <x v="0"/>
    <s v="Hero"/>
    <x v="0"/>
    <x v="3"/>
    <n v="56454"/>
    <n v="0"/>
    <n v="69104"/>
    <n v="37505"/>
    <n v="14"/>
    <s v="No"/>
    <x v="0"/>
    <n v="31599"/>
  </r>
  <r>
    <n v="418"/>
    <d v="2023-01-18T09:00:00"/>
    <x v="0"/>
    <n v="3"/>
    <x v="0"/>
    <s v="Hero"/>
    <x v="1"/>
    <x v="3"/>
    <n v="57950"/>
    <n v="9"/>
    <n v="30316"/>
    <n v="43288"/>
    <n v="9"/>
    <s v="No"/>
    <x v="0"/>
    <n v="-12972"/>
  </r>
  <r>
    <n v="419"/>
    <d v="2023-01-18T10:00:00"/>
    <x v="0"/>
    <n v="3"/>
    <x v="0"/>
    <s v="Yamaha"/>
    <x v="0"/>
    <x v="0"/>
    <n v="4977"/>
    <n v="6"/>
    <n v="63130"/>
    <n v="89492"/>
    <n v="13"/>
    <s v="No"/>
    <x v="0"/>
    <n v="-26362"/>
  </r>
  <r>
    <n v="420"/>
    <d v="2023-01-18T11:00:00"/>
    <x v="0"/>
    <n v="3"/>
    <x v="0"/>
    <s v="Bajaj"/>
    <x v="0"/>
    <x v="1"/>
    <n v="62722"/>
    <n v="3"/>
    <n v="132294"/>
    <n v="34109"/>
    <n v="9"/>
    <s v="No"/>
    <x v="0"/>
    <n v="98185"/>
  </r>
  <r>
    <n v="421"/>
    <d v="2023-01-18T12:00:00"/>
    <x v="0"/>
    <n v="3"/>
    <x v="0"/>
    <s v="Hero"/>
    <x v="0"/>
    <x v="0"/>
    <n v="7033"/>
    <n v="7"/>
    <n v="54954"/>
    <n v="133056"/>
    <n v="2"/>
    <s v="Yes"/>
    <x v="0"/>
    <n v="-78102"/>
  </r>
  <r>
    <n v="422"/>
    <d v="2023-01-18T13:00:00"/>
    <x v="0"/>
    <n v="3"/>
    <x v="0"/>
    <s v="Bajaj"/>
    <x v="0"/>
    <x v="3"/>
    <n v="49895"/>
    <n v="2"/>
    <n v="138437"/>
    <n v="18497"/>
    <n v="3"/>
    <s v="Yes"/>
    <x v="0"/>
    <n v="119940"/>
  </r>
  <r>
    <n v="423"/>
    <d v="2023-01-18T14:00:00"/>
    <x v="0"/>
    <n v="3"/>
    <x v="0"/>
    <s v="Hero"/>
    <x v="0"/>
    <x v="1"/>
    <n v="23896"/>
    <n v="0"/>
    <n v="177724"/>
    <n v="72326"/>
    <n v="11"/>
    <s v="No"/>
    <x v="0"/>
    <n v="105398"/>
  </r>
  <r>
    <n v="424"/>
    <d v="2023-01-18T15:00:00"/>
    <x v="0"/>
    <n v="3"/>
    <x v="0"/>
    <s v="Hero"/>
    <x v="0"/>
    <x v="1"/>
    <n v="13255"/>
    <n v="4"/>
    <n v="170250"/>
    <n v="24864"/>
    <n v="12"/>
    <s v="No"/>
    <x v="0"/>
    <n v="145386"/>
  </r>
  <r>
    <n v="425"/>
    <d v="2023-01-18T16:00:00"/>
    <x v="0"/>
    <n v="3"/>
    <x v="0"/>
    <s v="TVS"/>
    <x v="1"/>
    <x v="3"/>
    <n v="1365"/>
    <n v="1"/>
    <n v="170823"/>
    <n v="112046"/>
    <n v="9"/>
    <s v="No"/>
    <x v="0"/>
    <n v="58777"/>
  </r>
  <r>
    <n v="426"/>
    <d v="2023-01-18T17:00:00"/>
    <x v="0"/>
    <n v="3"/>
    <x v="0"/>
    <s v="Hero"/>
    <x v="0"/>
    <x v="3"/>
    <n v="11673"/>
    <n v="2"/>
    <n v="159116"/>
    <n v="108517"/>
    <n v="1"/>
    <s v="Yes"/>
    <x v="0"/>
    <n v="50599"/>
  </r>
  <r>
    <n v="427"/>
    <d v="2023-01-18T18:00:00"/>
    <x v="0"/>
    <n v="3"/>
    <x v="0"/>
    <s v="Honda"/>
    <x v="0"/>
    <x v="0"/>
    <n v="59405"/>
    <n v="5"/>
    <n v="88165"/>
    <n v="102562"/>
    <n v="2"/>
    <s v="Yes"/>
    <x v="0"/>
    <n v="-14397"/>
  </r>
  <r>
    <n v="428"/>
    <d v="2023-01-18T19:00:00"/>
    <x v="0"/>
    <n v="3"/>
    <x v="0"/>
    <s v="Yamaha"/>
    <x v="1"/>
    <x v="3"/>
    <n v="38597"/>
    <n v="2"/>
    <n v="167552"/>
    <n v="89310"/>
    <n v="11"/>
    <s v="No"/>
    <x v="0"/>
    <n v="78242"/>
  </r>
  <r>
    <n v="429"/>
    <d v="2023-01-18T20:00:00"/>
    <x v="0"/>
    <n v="3"/>
    <x v="0"/>
    <s v="Yamaha"/>
    <x v="1"/>
    <x v="1"/>
    <n v="33871"/>
    <n v="2"/>
    <n v="91775"/>
    <n v="134454"/>
    <n v="2"/>
    <s v="Yes"/>
    <x v="0"/>
    <n v="-42679"/>
  </r>
  <r>
    <n v="430"/>
    <d v="2023-01-18T21:00:00"/>
    <x v="0"/>
    <n v="3"/>
    <x v="0"/>
    <s v="Bajaj"/>
    <x v="1"/>
    <x v="2"/>
    <n v="11754"/>
    <n v="5"/>
    <n v="162638"/>
    <n v="127343"/>
    <n v="10"/>
    <s v="No"/>
    <x v="0"/>
    <n v="35295"/>
  </r>
  <r>
    <n v="431"/>
    <d v="2023-01-18T22:00:00"/>
    <x v="0"/>
    <n v="3"/>
    <x v="0"/>
    <s v="Hero"/>
    <x v="0"/>
    <x v="3"/>
    <n v="4518"/>
    <n v="4"/>
    <n v="110311"/>
    <n v="36017"/>
    <n v="14"/>
    <s v="No"/>
    <x v="0"/>
    <n v="74294"/>
  </r>
  <r>
    <n v="432"/>
    <d v="2023-01-18T23:00:00"/>
    <x v="0"/>
    <n v="3"/>
    <x v="0"/>
    <s v="Honda"/>
    <x v="1"/>
    <x v="3"/>
    <n v="5692"/>
    <n v="9"/>
    <n v="78149"/>
    <n v="16821"/>
    <n v="3"/>
    <s v="Yes"/>
    <x v="0"/>
    <n v="61328"/>
  </r>
  <r>
    <n v="433"/>
    <d v="2023-01-19T00:00:00"/>
    <x v="0"/>
    <n v="3"/>
    <x v="0"/>
    <s v="Bajaj"/>
    <x v="0"/>
    <x v="0"/>
    <n v="2515"/>
    <n v="8"/>
    <n v="159078"/>
    <n v="65337"/>
    <n v="10"/>
    <s v="No"/>
    <x v="0"/>
    <n v="93741"/>
  </r>
  <r>
    <n v="434"/>
    <d v="2023-01-19T01:00:00"/>
    <x v="0"/>
    <n v="3"/>
    <x v="0"/>
    <s v="TVS"/>
    <x v="0"/>
    <x v="0"/>
    <n v="69416"/>
    <n v="0"/>
    <n v="97561"/>
    <n v="60485"/>
    <n v="3"/>
    <s v="Yes"/>
    <x v="0"/>
    <n v="37076"/>
  </r>
  <r>
    <n v="435"/>
    <d v="2023-01-19T02:00:00"/>
    <x v="0"/>
    <n v="3"/>
    <x v="0"/>
    <s v="Bajaj"/>
    <x v="0"/>
    <x v="3"/>
    <n v="28843"/>
    <n v="2"/>
    <n v="175495"/>
    <n v="98557"/>
    <n v="10"/>
    <s v="No"/>
    <x v="0"/>
    <n v="76938"/>
  </r>
  <r>
    <n v="436"/>
    <d v="2023-01-19T03:00:00"/>
    <x v="0"/>
    <n v="3"/>
    <x v="0"/>
    <s v="Bajaj"/>
    <x v="0"/>
    <x v="1"/>
    <n v="69806"/>
    <n v="2"/>
    <n v="115710"/>
    <n v="71388"/>
    <n v="13"/>
    <s v="No"/>
    <x v="0"/>
    <n v="44322"/>
  </r>
  <r>
    <n v="437"/>
    <d v="2023-01-19T04:00:00"/>
    <x v="0"/>
    <n v="3"/>
    <x v="0"/>
    <s v="Hero"/>
    <x v="0"/>
    <x v="1"/>
    <n v="6329"/>
    <n v="5"/>
    <n v="117199"/>
    <n v="25372"/>
    <n v="2"/>
    <s v="Yes"/>
    <x v="0"/>
    <n v="91827"/>
  </r>
  <r>
    <n v="438"/>
    <d v="2023-01-19T05:00:00"/>
    <x v="0"/>
    <n v="3"/>
    <x v="0"/>
    <s v="TVS"/>
    <x v="0"/>
    <x v="2"/>
    <n v="34881"/>
    <n v="7"/>
    <n v="52326"/>
    <n v="121684"/>
    <n v="8"/>
    <s v="No"/>
    <x v="1"/>
    <n v="-69358"/>
  </r>
  <r>
    <n v="439"/>
    <d v="2023-01-19T06:00:00"/>
    <x v="0"/>
    <n v="3"/>
    <x v="0"/>
    <s v="Bajaj"/>
    <x v="0"/>
    <x v="3"/>
    <n v="81581"/>
    <n v="2"/>
    <n v="142272"/>
    <n v="115050"/>
    <n v="8"/>
    <s v="No"/>
    <x v="0"/>
    <n v="27222"/>
  </r>
  <r>
    <n v="440"/>
    <d v="2023-01-19T07:00:00"/>
    <x v="0"/>
    <n v="3"/>
    <x v="0"/>
    <s v="Honda"/>
    <x v="0"/>
    <x v="0"/>
    <n v="18763"/>
    <n v="2"/>
    <n v="56139"/>
    <n v="108938"/>
    <n v="8"/>
    <s v="No"/>
    <x v="0"/>
    <n v="-52799"/>
  </r>
  <r>
    <n v="441"/>
    <d v="2023-01-19T08:00:00"/>
    <x v="0"/>
    <n v="3"/>
    <x v="0"/>
    <s v="Honda"/>
    <x v="0"/>
    <x v="1"/>
    <n v="53760"/>
    <n v="5"/>
    <n v="98638"/>
    <n v="86333"/>
    <n v="2"/>
    <s v="Yes"/>
    <x v="0"/>
    <n v="12305"/>
  </r>
  <r>
    <n v="442"/>
    <d v="2023-01-19T09:00:00"/>
    <x v="0"/>
    <n v="3"/>
    <x v="0"/>
    <s v="Yamaha"/>
    <x v="0"/>
    <x v="2"/>
    <n v="43806"/>
    <n v="7"/>
    <n v="97652"/>
    <n v="31283"/>
    <n v="13"/>
    <s v="No"/>
    <x v="0"/>
    <n v="66369"/>
  </r>
  <r>
    <n v="443"/>
    <d v="2023-01-19T10:00:00"/>
    <x v="0"/>
    <n v="3"/>
    <x v="0"/>
    <s v="TVS"/>
    <x v="0"/>
    <x v="3"/>
    <n v="91711"/>
    <n v="5"/>
    <n v="37937"/>
    <n v="55857"/>
    <n v="9"/>
    <s v="No"/>
    <x v="0"/>
    <n v="-17920"/>
  </r>
  <r>
    <n v="444"/>
    <d v="2023-01-19T11:00:00"/>
    <x v="0"/>
    <n v="3"/>
    <x v="0"/>
    <s v="TVS"/>
    <x v="0"/>
    <x v="1"/>
    <n v="58918"/>
    <n v="9"/>
    <n v="55161"/>
    <n v="66772"/>
    <n v="11"/>
    <s v="No"/>
    <x v="0"/>
    <n v="-11611"/>
  </r>
  <r>
    <n v="445"/>
    <d v="2023-01-19T12:00:00"/>
    <x v="0"/>
    <n v="3"/>
    <x v="0"/>
    <s v="Yamaha"/>
    <x v="0"/>
    <x v="3"/>
    <n v="91398"/>
    <n v="2"/>
    <n v="160455"/>
    <n v="125441"/>
    <n v="7"/>
    <s v="Yes"/>
    <x v="0"/>
    <n v="35014"/>
  </r>
  <r>
    <n v="446"/>
    <d v="2023-01-19T13:00:00"/>
    <x v="0"/>
    <n v="3"/>
    <x v="0"/>
    <s v="Bajaj"/>
    <x v="0"/>
    <x v="3"/>
    <n v="648"/>
    <n v="3"/>
    <n v="110856"/>
    <n v="74670"/>
    <n v="12"/>
    <s v="No"/>
    <x v="0"/>
    <n v="36186"/>
  </r>
  <r>
    <n v="447"/>
    <d v="2023-01-19T14:00:00"/>
    <x v="0"/>
    <n v="3"/>
    <x v="0"/>
    <s v="TVS"/>
    <x v="1"/>
    <x v="1"/>
    <n v="2254"/>
    <n v="0"/>
    <n v="95043"/>
    <n v="88133"/>
    <n v="5"/>
    <s v="Yes"/>
    <x v="0"/>
    <n v="6910"/>
  </r>
  <r>
    <n v="448"/>
    <d v="2023-01-19T15:00:00"/>
    <x v="0"/>
    <n v="3"/>
    <x v="0"/>
    <s v="Honda"/>
    <x v="0"/>
    <x v="1"/>
    <n v="27245"/>
    <n v="7"/>
    <n v="170807"/>
    <n v="110856"/>
    <n v="7"/>
    <s v="Yes"/>
    <x v="0"/>
    <n v="59951"/>
  </r>
  <r>
    <n v="449"/>
    <d v="2023-01-19T16:00:00"/>
    <x v="0"/>
    <n v="3"/>
    <x v="0"/>
    <s v="Honda"/>
    <x v="0"/>
    <x v="1"/>
    <n v="73414"/>
    <n v="3"/>
    <n v="84919"/>
    <n v="46261"/>
    <n v="8"/>
    <s v="No"/>
    <x v="0"/>
    <n v="38658"/>
  </r>
  <r>
    <n v="450"/>
    <d v="2023-01-19T17:00:00"/>
    <x v="0"/>
    <n v="3"/>
    <x v="0"/>
    <s v="Hero"/>
    <x v="0"/>
    <x v="3"/>
    <n v="56333"/>
    <n v="5"/>
    <n v="107055"/>
    <n v="72154"/>
    <n v="9"/>
    <s v="No"/>
    <x v="0"/>
    <n v="34901"/>
  </r>
  <r>
    <n v="451"/>
    <d v="2023-01-19T18:00:00"/>
    <x v="0"/>
    <n v="3"/>
    <x v="0"/>
    <s v="TVS"/>
    <x v="0"/>
    <x v="3"/>
    <n v="20640"/>
    <n v="2"/>
    <n v="110455"/>
    <n v="21107"/>
    <n v="2"/>
    <s v="Yes"/>
    <x v="0"/>
    <n v="89348"/>
  </r>
  <r>
    <n v="452"/>
    <d v="2023-01-19T19:00:00"/>
    <x v="0"/>
    <n v="3"/>
    <x v="0"/>
    <s v="Bajaj"/>
    <x v="0"/>
    <x v="2"/>
    <n v="75407"/>
    <n v="5"/>
    <n v="63135"/>
    <n v="106296"/>
    <n v="6"/>
    <s v="Yes"/>
    <x v="0"/>
    <n v="-43161"/>
  </r>
  <r>
    <n v="453"/>
    <d v="2023-01-19T20:00:00"/>
    <x v="0"/>
    <n v="3"/>
    <x v="0"/>
    <s v="Yamaha"/>
    <x v="0"/>
    <x v="0"/>
    <n v="61153"/>
    <n v="8"/>
    <n v="109677"/>
    <n v="50561"/>
    <n v="9"/>
    <s v="No"/>
    <x v="0"/>
    <n v="59116"/>
  </r>
  <r>
    <n v="454"/>
    <d v="2023-01-19T21:00:00"/>
    <x v="0"/>
    <n v="3"/>
    <x v="0"/>
    <s v="Yamaha"/>
    <x v="0"/>
    <x v="3"/>
    <n v="93035"/>
    <n v="8"/>
    <n v="54696"/>
    <n v="91674"/>
    <n v="13"/>
    <s v="No"/>
    <x v="0"/>
    <n v="-36978"/>
  </r>
  <r>
    <n v="455"/>
    <d v="2023-01-19T22:00:00"/>
    <x v="0"/>
    <n v="3"/>
    <x v="0"/>
    <s v="Bajaj"/>
    <x v="0"/>
    <x v="0"/>
    <n v="62021"/>
    <n v="9"/>
    <n v="159845"/>
    <n v="50268"/>
    <n v="6"/>
    <s v="Yes"/>
    <x v="1"/>
    <n v="109577"/>
  </r>
  <r>
    <n v="456"/>
    <d v="2023-01-19T23:00:00"/>
    <x v="0"/>
    <n v="3"/>
    <x v="0"/>
    <s v="Hero"/>
    <x v="0"/>
    <x v="1"/>
    <n v="78815"/>
    <n v="2"/>
    <n v="49956"/>
    <n v="46608"/>
    <n v="2"/>
    <s v="Yes"/>
    <x v="1"/>
    <n v="3348"/>
  </r>
  <r>
    <n v="457"/>
    <d v="2023-01-20T00:00:00"/>
    <x v="0"/>
    <n v="3"/>
    <x v="0"/>
    <s v="Yamaha"/>
    <x v="0"/>
    <x v="3"/>
    <n v="31575"/>
    <n v="2"/>
    <n v="40819"/>
    <n v="28138"/>
    <n v="1"/>
    <s v="Yes"/>
    <x v="0"/>
    <n v="12681"/>
  </r>
  <r>
    <n v="458"/>
    <d v="2023-01-20T01:00:00"/>
    <x v="0"/>
    <n v="3"/>
    <x v="0"/>
    <s v="TVS"/>
    <x v="0"/>
    <x v="2"/>
    <n v="31197"/>
    <n v="3"/>
    <n v="26528"/>
    <n v="121665"/>
    <n v="12"/>
    <s v="No"/>
    <x v="0"/>
    <n v="-95137"/>
  </r>
  <r>
    <n v="459"/>
    <d v="2023-01-20T02:00:00"/>
    <x v="0"/>
    <n v="3"/>
    <x v="0"/>
    <s v="Hero"/>
    <x v="0"/>
    <x v="2"/>
    <n v="55044"/>
    <n v="6"/>
    <n v="152781"/>
    <n v="52693"/>
    <n v="3"/>
    <s v="Yes"/>
    <x v="0"/>
    <n v="100088"/>
  </r>
  <r>
    <n v="460"/>
    <d v="2023-01-20T03:00:00"/>
    <x v="0"/>
    <n v="3"/>
    <x v="0"/>
    <s v="TVS"/>
    <x v="0"/>
    <x v="0"/>
    <n v="10295"/>
    <n v="2"/>
    <n v="111491"/>
    <n v="98000"/>
    <n v="11"/>
    <s v="No"/>
    <x v="0"/>
    <n v="13491"/>
  </r>
  <r>
    <n v="461"/>
    <d v="2023-01-20T04:00:00"/>
    <x v="0"/>
    <n v="3"/>
    <x v="0"/>
    <s v="Honda"/>
    <x v="0"/>
    <x v="1"/>
    <n v="65055"/>
    <n v="9"/>
    <n v="69588"/>
    <n v="139143"/>
    <n v="5"/>
    <s v="Yes"/>
    <x v="0"/>
    <n v="-69555"/>
  </r>
  <r>
    <n v="462"/>
    <d v="2023-01-20T05:00:00"/>
    <x v="0"/>
    <n v="3"/>
    <x v="0"/>
    <s v="Hero"/>
    <x v="1"/>
    <x v="0"/>
    <n v="52704"/>
    <n v="7"/>
    <n v="124152"/>
    <n v="36248"/>
    <n v="7"/>
    <s v="Yes"/>
    <x v="0"/>
    <n v="87904"/>
  </r>
  <r>
    <n v="463"/>
    <d v="2023-01-20T06:00:00"/>
    <x v="0"/>
    <n v="3"/>
    <x v="0"/>
    <s v="Yamaha"/>
    <x v="1"/>
    <x v="1"/>
    <n v="70254"/>
    <n v="7"/>
    <n v="152872"/>
    <n v="117757"/>
    <n v="10"/>
    <s v="No"/>
    <x v="0"/>
    <n v="35115"/>
  </r>
  <r>
    <n v="464"/>
    <d v="2023-01-20T07:00:00"/>
    <x v="0"/>
    <n v="3"/>
    <x v="0"/>
    <s v="Hero"/>
    <x v="0"/>
    <x v="2"/>
    <n v="65360"/>
    <n v="5"/>
    <n v="176583"/>
    <n v="33632"/>
    <n v="10"/>
    <s v="No"/>
    <x v="0"/>
    <n v="142951"/>
  </r>
  <r>
    <n v="465"/>
    <d v="2023-01-20T08:00:00"/>
    <x v="0"/>
    <n v="3"/>
    <x v="0"/>
    <s v="Hero"/>
    <x v="0"/>
    <x v="0"/>
    <n v="52029"/>
    <n v="3"/>
    <n v="35119"/>
    <n v="62547"/>
    <n v="3"/>
    <s v="Yes"/>
    <x v="1"/>
    <n v="-27428"/>
  </r>
  <r>
    <n v="466"/>
    <d v="2023-01-20T09:00:00"/>
    <x v="0"/>
    <n v="3"/>
    <x v="0"/>
    <s v="Hero"/>
    <x v="0"/>
    <x v="2"/>
    <n v="12172"/>
    <n v="4"/>
    <n v="100893"/>
    <n v="27100"/>
    <n v="9"/>
    <s v="No"/>
    <x v="0"/>
    <n v="73793"/>
  </r>
  <r>
    <n v="467"/>
    <d v="2023-01-20T10:00:00"/>
    <x v="0"/>
    <n v="3"/>
    <x v="0"/>
    <s v="Hero"/>
    <x v="0"/>
    <x v="2"/>
    <n v="54738"/>
    <n v="1"/>
    <n v="41167"/>
    <n v="62930"/>
    <n v="10"/>
    <s v="No"/>
    <x v="0"/>
    <n v="-21763"/>
  </r>
  <r>
    <n v="468"/>
    <d v="2023-01-20T11:00:00"/>
    <x v="0"/>
    <n v="3"/>
    <x v="0"/>
    <s v="TVS"/>
    <x v="0"/>
    <x v="1"/>
    <n v="97078"/>
    <n v="5"/>
    <n v="135782"/>
    <n v="81861"/>
    <n v="12"/>
    <s v="No"/>
    <x v="0"/>
    <n v="53921"/>
  </r>
  <r>
    <n v="469"/>
    <d v="2023-01-20T12:00:00"/>
    <x v="0"/>
    <n v="3"/>
    <x v="0"/>
    <s v="Honda"/>
    <x v="1"/>
    <x v="0"/>
    <n v="36450"/>
    <n v="2"/>
    <n v="155775"/>
    <n v="91905"/>
    <n v="4"/>
    <s v="Yes"/>
    <x v="0"/>
    <n v="63870"/>
  </r>
  <r>
    <n v="470"/>
    <d v="2023-01-20T13:00:00"/>
    <x v="0"/>
    <n v="3"/>
    <x v="0"/>
    <s v="Bajaj"/>
    <x v="1"/>
    <x v="0"/>
    <n v="11509"/>
    <n v="5"/>
    <n v="59889"/>
    <n v="68025"/>
    <n v="10"/>
    <s v="No"/>
    <x v="0"/>
    <n v="-8136"/>
  </r>
  <r>
    <n v="471"/>
    <d v="2023-01-20T14:00:00"/>
    <x v="0"/>
    <n v="3"/>
    <x v="0"/>
    <s v="Hero"/>
    <x v="0"/>
    <x v="2"/>
    <n v="47596"/>
    <n v="4"/>
    <n v="70678"/>
    <n v="90876"/>
    <n v="2"/>
    <s v="Yes"/>
    <x v="0"/>
    <n v="-20198"/>
  </r>
  <r>
    <n v="472"/>
    <d v="2023-01-20T15:00:00"/>
    <x v="0"/>
    <n v="3"/>
    <x v="0"/>
    <s v="Yamaha"/>
    <x v="0"/>
    <x v="2"/>
    <n v="20044"/>
    <n v="1"/>
    <n v="85262"/>
    <n v="93944"/>
    <n v="3"/>
    <s v="Yes"/>
    <x v="0"/>
    <n v="-8682"/>
  </r>
  <r>
    <n v="473"/>
    <d v="2023-01-20T16:00:00"/>
    <x v="0"/>
    <n v="3"/>
    <x v="0"/>
    <s v="Hero"/>
    <x v="0"/>
    <x v="1"/>
    <n v="56228"/>
    <n v="4"/>
    <n v="160753"/>
    <n v="65840"/>
    <n v="5"/>
    <s v="Yes"/>
    <x v="0"/>
    <n v="94913"/>
  </r>
  <r>
    <n v="474"/>
    <d v="2023-01-20T17:00:00"/>
    <x v="0"/>
    <n v="3"/>
    <x v="0"/>
    <s v="Yamaha"/>
    <x v="0"/>
    <x v="3"/>
    <n v="29881"/>
    <n v="4"/>
    <n v="105291"/>
    <n v="34369"/>
    <n v="3"/>
    <s v="Yes"/>
    <x v="0"/>
    <n v="70922"/>
  </r>
  <r>
    <n v="475"/>
    <d v="2023-01-20T18:00:00"/>
    <x v="0"/>
    <n v="3"/>
    <x v="0"/>
    <s v="TVS"/>
    <x v="0"/>
    <x v="3"/>
    <n v="25787"/>
    <n v="8"/>
    <n v="91008"/>
    <n v="33460"/>
    <n v="5"/>
    <s v="Yes"/>
    <x v="0"/>
    <n v="57548"/>
  </r>
  <r>
    <n v="476"/>
    <d v="2023-01-20T19:00:00"/>
    <x v="0"/>
    <n v="3"/>
    <x v="0"/>
    <s v="Yamaha"/>
    <x v="0"/>
    <x v="2"/>
    <n v="65110"/>
    <n v="7"/>
    <n v="169762"/>
    <n v="106641"/>
    <n v="4"/>
    <s v="Yes"/>
    <x v="0"/>
    <n v="63121"/>
  </r>
  <r>
    <n v="477"/>
    <d v="2023-01-20T20:00:00"/>
    <x v="0"/>
    <n v="3"/>
    <x v="0"/>
    <s v="Bajaj"/>
    <x v="0"/>
    <x v="3"/>
    <n v="68622"/>
    <n v="6"/>
    <n v="50912"/>
    <n v="111920"/>
    <n v="13"/>
    <s v="No"/>
    <x v="0"/>
    <n v="-61008"/>
  </r>
  <r>
    <n v="478"/>
    <d v="2023-01-20T21:00:00"/>
    <x v="0"/>
    <n v="3"/>
    <x v="0"/>
    <s v="Honda"/>
    <x v="0"/>
    <x v="3"/>
    <n v="68684"/>
    <n v="2"/>
    <n v="31473"/>
    <n v="16461"/>
    <n v="11"/>
    <s v="No"/>
    <x v="0"/>
    <n v="15012"/>
  </r>
  <r>
    <n v="479"/>
    <d v="2023-01-20T22:00:00"/>
    <x v="0"/>
    <n v="3"/>
    <x v="0"/>
    <s v="Yamaha"/>
    <x v="0"/>
    <x v="3"/>
    <n v="40581"/>
    <n v="9"/>
    <n v="174741"/>
    <n v="57362"/>
    <n v="10"/>
    <s v="No"/>
    <x v="0"/>
    <n v="117379"/>
  </r>
  <r>
    <n v="480"/>
    <d v="2023-01-20T23:00:00"/>
    <x v="0"/>
    <n v="3"/>
    <x v="0"/>
    <s v="Yamaha"/>
    <x v="1"/>
    <x v="3"/>
    <n v="84137"/>
    <n v="3"/>
    <n v="124500"/>
    <n v="113376"/>
    <n v="13"/>
    <s v="No"/>
    <x v="0"/>
    <n v="11124"/>
  </r>
  <r>
    <n v="481"/>
    <d v="2023-01-21T00:00:00"/>
    <x v="0"/>
    <n v="3"/>
    <x v="0"/>
    <s v="Honda"/>
    <x v="0"/>
    <x v="2"/>
    <n v="45812"/>
    <n v="5"/>
    <n v="177015"/>
    <n v="43610"/>
    <n v="3"/>
    <s v="Yes"/>
    <x v="0"/>
    <n v="133405"/>
  </r>
  <r>
    <n v="482"/>
    <d v="2023-01-21T01:00:00"/>
    <x v="0"/>
    <n v="3"/>
    <x v="0"/>
    <s v="Bajaj"/>
    <x v="0"/>
    <x v="3"/>
    <n v="87728"/>
    <n v="2"/>
    <n v="63785"/>
    <n v="119334"/>
    <n v="12"/>
    <s v="No"/>
    <x v="0"/>
    <n v="-55549"/>
  </r>
  <r>
    <n v="483"/>
    <d v="2023-01-21T02:00:00"/>
    <x v="0"/>
    <n v="3"/>
    <x v="0"/>
    <s v="Hero"/>
    <x v="0"/>
    <x v="3"/>
    <n v="73443"/>
    <n v="8"/>
    <n v="125956"/>
    <n v="35995"/>
    <n v="6"/>
    <s v="Yes"/>
    <x v="0"/>
    <n v="89961"/>
  </r>
  <r>
    <n v="484"/>
    <d v="2023-01-21T03:00:00"/>
    <x v="0"/>
    <n v="3"/>
    <x v="0"/>
    <s v="Yamaha"/>
    <x v="0"/>
    <x v="1"/>
    <n v="83290"/>
    <n v="7"/>
    <n v="144006"/>
    <n v="99716"/>
    <n v="8"/>
    <s v="No"/>
    <x v="0"/>
    <n v="44290"/>
  </r>
  <r>
    <n v="485"/>
    <d v="2023-01-21T04:00:00"/>
    <x v="0"/>
    <n v="3"/>
    <x v="0"/>
    <s v="Honda"/>
    <x v="0"/>
    <x v="2"/>
    <n v="81270"/>
    <n v="5"/>
    <n v="35832"/>
    <n v="22717"/>
    <n v="13"/>
    <s v="No"/>
    <x v="0"/>
    <n v="13115"/>
  </r>
  <r>
    <n v="486"/>
    <d v="2023-01-21T05:00:00"/>
    <x v="0"/>
    <n v="3"/>
    <x v="0"/>
    <s v="TVS"/>
    <x v="0"/>
    <x v="0"/>
    <n v="53226"/>
    <n v="3"/>
    <n v="161457"/>
    <n v="93867"/>
    <n v="12"/>
    <s v="No"/>
    <x v="0"/>
    <n v="67590"/>
  </r>
  <r>
    <n v="487"/>
    <d v="2023-01-21T06:00:00"/>
    <x v="0"/>
    <n v="3"/>
    <x v="0"/>
    <s v="Honda"/>
    <x v="1"/>
    <x v="0"/>
    <n v="22711"/>
    <n v="6"/>
    <n v="170780"/>
    <n v="94472"/>
    <n v="4"/>
    <s v="Yes"/>
    <x v="0"/>
    <n v="76308"/>
  </r>
  <r>
    <n v="488"/>
    <d v="2023-01-21T07:00:00"/>
    <x v="0"/>
    <n v="3"/>
    <x v="0"/>
    <s v="TVS"/>
    <x v="0"/>
    <x v="1"/>
    <n v="29980"/>
    <n v="2"/>
    <n v="179510"/>
    <n v="79022"/>
    <n v="9"/>
    <s v="No"/>
    <x v="0"/>
    <n v="100488"/>
  </r>
  <r>
    <n v="489"/>
    <d v="2023-01-21T08:00:00"/>
    <x v="0"/>
    <n v="3"/>
    <x v="0"/>
    <s v="Bajaj"/>
    <x v="1"/>
    <x v="1"/>
    <n v="48280"/>
    <n v="9"/>
    <n v="107747"/>
    <n v="68668"/>
    <n v="6"/>
    <s v="Yes"/>
    <x v="0"/>
    <n v="39079"/>
  </r>
  <r>
    <n v="490"/>
    <d v="2023-01-21T09:00:00"/>
    <x v="0"/>
    <n v="3"/>
    <x v="0"/>
    <s v="Hero"/>
    <x v="0"/>
    <x v="2"/>
    <n v="57638"/>
    <n v="7"/>
    <n v="105107"/>
    <n v="66645"/>
    <n v="5"/>
    <s v="Yes"/>
    <x v="1"/>
    <n v="38462"/>
  </r>
  <r>
    <n v="491"/>
    <d v="2023-01-21T10:00:00"/>
    <x v="0"/>
    <n v="3"/>
    <x v="0"/>
    <s v="Honda"/>
    <x v="0"/>
    <x v="0"/>
    <n v="90882"/>
    <n v="0"/>
    <n v="90428"/>
    <n v="44550"/>
    <n v="3"/>
    <s v="Yes"/>
    <x v="0"/>
    <n v="45878"/>
  </r>
  <r>
    <n v="492"/>
    <d v="2023-01-21T11:00:00"/>
    <x v="0"/>
    <n v="3"/>
    <x v="0"/>
    <s v="Yamaha"/>
    <x v="0"/>
    <x v="3"/>
    <n v="43003"/>
    <n v="2"/>
    <n v="111843"/>
    <n v="101151"/>
    <n v="5"/>
    <s v="Yes"/>
    <x v="0"/>
    <n v="10692"/>
  </r>
  <r>
    <n v="493"/>
    <d v="2023-01-21T12:00:00"/>
    <x v="0"/>
    <n v="3"/>
    <x v="0"/>
    <s v="Bajaj"/>
    <x v="0"/>
    <x v="1"/>
    <n v="58393"/>
    <n v="4"/>
    <n v="36002"/>
    <n v="18576"/>
    <n v="5"/>
    <s v="Yes"/>
    <x v="0"/>
    <n v="17426"/>
  </r>
  <r>
    <n v="494"/>
    <d v="2023-01-21T13:00:00"/>
    <x v="0"/>
    <n v="3"/>
    <x v="0"/>
    <s v="Honda"/>
    <x v="0"/>
    <x v="0"/>
    <n v="46693"/>
    <n v="4"/>
    <n v="178512"/>
    <n v="55868"/>
    <n v="14"/>
    <s v="No"/>
    <x v="0"/>
    <n v="122644"/>
  </r>
  <r>
    <n v="495"/>
    <d v="2023-01-21T14:00:00"/>
    <x v="0"/>
    <n v="3"/>
    <x v="0"/>
    <s v="Yamaha"/>
    <x v="0"/>
    <x v="2"/>
    <n v="61858"/>
    <n v="9"/>
    <n v="92501"/>
    <n v="113039"/>
    <n v="12"/>
    <s v="No"/>
    <x v="0"/>
    <n v="-20538"/>
  </r>
  <r>
    <n v="496"/>
    <d v="2023-01-21T15:00:00"/>
    <x v="0"/>
    <n v="3"/>
    <x v="0"/>
    <s v="Honda"/>
    <x v="0"/>
    <x v="3"/>
    <n v="81357"/>
    <n v="1"/>
    <n v="57556"/>
    <n v="61380"/>
    <n v="12"/>
    <s v="No"/>
    <x v="0"/>
    <n v="-3824"/>
  </r>
  <r>
    <n v="497"/>
    <d v="2023-01-21T16:00:00"/>
    <x v="0"/>
    <n v="3"/>
    <x v="0"/>
    <s v="TVS"/>
    <x v="1"/>
    <x v="2"/>
    <n v="78682"/>
    <n v="9"/>
    <n v="92963"/>
    <n v="20728"/>
    <n v="4"/>
    <s v="Yes"/>
    <x v="1"/>
    <n v="72235"/>
  </r>
  <r>
    <n v="498"/>
    <d v="2023-01-21T17:00:00"/>
    <x v="0"/>
    <n v="3"/>
    <x v="0"/>
    <s v="Honda"/>
    <x v="1"/>
    <x v="1"/>
    <n v="22617"/>
    <n v="7"/>
    <n v="31563"/>
    <n v="47800"/>
    <n v="12"/>
    <s v="No"/>
    <x v="0"/>
    <n v="-16237"/>
  </r>
  <r>
    <n v="499"/>
    <d v="2023-01-21T18:00:00"/>
    <x v="0"/>
    <n v="3"/>
    <x v="0"/>
    <s v="Honda"/>
    <x v="1"/>
    <x v="0"/>
    <n v="59556"/>
    <n v="4"/>
    <n v="30840"/>
    <n v="25886"/>
    <n v="6"/>
    <s v="Yes"/>
    <x v="0"/>
    <n v="4954"/>
  </r>
  <r>
    <n v="500"/>
    <d v="2023-01-21T19:00:00"/>
    <x v="0"/>
    <n v="3"/>
    <x v="0"/>
    <s v="Honda"/>
    <x v="0"/>
    <x v="0"/>
    <n v="59206"/>
    <n v="6"/>
    <n v="40154"/>
    <n v="94614"/>
    <n v="3"/>
    <s v="Yes"/>
    <x v="0"/>
    <n v="-54460"/>
  </r>
  <r>
    <n v="501"/>
    <d v="2023-01-21T20:00:00"/>
    <x v="0"/>
    <n v="3"/>
    <x v="0"/>
    <s v="Bajaj"/>
    <x v="0"/>
    <x v="0"/>
    <n v="70929"/>
    <n v="6"/>
    <n v="49194"/>
    <n v="84909"/>
    <n v="10"/>
    <s v="No"/>
    <x v="0"/>
    <n v="-35715"/>
  </r>
  <r>
    <n v="502"/>
    <d v="2023-01-21T21:00:00"/>
    <x v="0"/>
    <n v="3"/>
    <x v="0"/>
    <s v="Honda"/>
    <x v="0"/>
    <x v="0"/>
    <n v="9976"/>
    <n v="4"/>
    <n v="178520"/>
    <n v="62236"/>
    <n v="1"/>
    <s v="Yes"/>
    <x v="0"/>
    <n v="116284"/>
  </r>
  <r>
    <n v="503"/>
    <d v="2023-01-21T22:00:00"/>
    <x v="0"/>
    <n v="3"/>
    <x v="0"/>
    <s v="Yamaha"/>
    <x v="0"/>
    <x v="3"/>
    <n v="83306"/>
    <n v="7"/>
    <n v="48528"/>
    <n v="60805"/>
    <n v="7"/>
    <s v="Yes"/>
    <x v="0"/>
    <n v="-12277"/>
  </r>
  <r>
    <n v="504"/>
    <d v="2023-01-21T23:00:00"/>
    <x v="0"/>
    <n v="3"/>
    <x v="0"/>
    <s v="TVS"/>
    <x v="0"/>
    <x v="3"/>
    <n v="55506"/>
    <n v="8"/>
    <n v="29352"/>
    <n v="133286"/>
    <n v="7"/>
    <s v="Yes"/>
    <x v="0"/>
    <n v="-103934"/>
  </r>
  <r>
    <n v="505"/>
    <d v="2023-01-22T00:00:00"/>
    <x v="0"/>
    <n v="4"/>
    <x v="0"/>
    <s v="TVS"/>
    <x v="0"/>
    <x v="2"/>
    <n v="87738"/>
    <n v="3"/>
    <n v="25184"/>
    <n v="47532"/>
    <n v="12"/>
    <s v="No"/>
    <x v="0"/>
    <n v="-22348"/>
  </r>
  <r>
    <n v="506"/>
    <d v="2023-01-22T01:00:00"/>
    <x v="0"/>
    <n v="4"/>
    <x v="0"/>
    <s v="Honda"/>
    <x v="0"/>
    <x v="3"/>
    <n v="70418"/>
    <n v="3"/>
    <n v="166456"/>
    <n v="127765"/>
    <n v="4"/>
    <s v="Yes"/>
    <x v="1"/>
    <n v="38691"/>
  </r>
  <r>
    <n v="507"/>
    <d v="2023-01-22T02:00:00"/>
    <x v="0"/>
    <n v="4"/>
    <x v="0"/>
    <s v="Bajaj"/>
    <x v="0"/>
    <x v="1"/>
    <n v="63655"/>
    <n v="7"/>
    <n v="39319"/>
    <n v="115696"/>
    <n v="9"/>
    <s v="No"/>
    <x v="0"/>
    <n v="-76377"/>
  </r>
  <r>
    <n v="508"/>
    <d v="2023-01-22T03:00:00"/>
    <x v="0"/>
    <n v="4"/>
    <x v="0"/>
    <s v="Bajaj"/>
    <x v="1"/>
    <x v="1"/>
    <n v="67821"/>
    <n v="0"/>
    <n v="145497"/>
    <n v="43688"/>
    <n v="12"/>
    <s v="No"/>
    <x v="0"/>
    <n v="101809"/>
  </r>
  <r>
    <n v="509"/>
    <d v="2023-01-22T04:00:00"/>
    <x v="0"/>
    <n v="4"/>
    <x v="0"/>
    <s v="Yamaha"/>
    <x v="0"/>
    <x v="0"/>
    <n v="46298"/>
    <n v="3"/>
    <n v="176521"/>
    <n v="26063"/>
    <n v="2"/>
    <s v="Yes"/>
    <x v="0"/>
    <n v="150458"/>
  </r>
  <r>
    <n v="510"/>
    <d v="2023-01-22T05:00:00"/>
    <x v="0"/>
    <n v="4"/>
    <x v="0"/>
    <s v="Honda"/>
    <x v="0"/>
    <x v="1"/>
    <n v="77771"/>
    <n v="5"/>
    <n v="81333"/>
    <n v="38089"/>
    <n v="13"/>
    <s v="No"/>
    <x v="0"/>
    <n v="43244"/>
  </r>
  <r>
    <n v="511"/>
    <d v="2023-01-22T06:00:00"/>
    <x v="0"/>
    <n v="4"/>
    <x v="0"/>
    <s v="TVS"/>
    <x v="0"/>
    <x v="2"/>
    <n v="30677"/>
    <n v="3"/>
    <n v="66205"/>
    <n v="70942"/>
    <n v="1"/>
    <s v="Yes"/>
    <x v="0"/>
    <n v="-4737"/>
  </r>
  <r>
    <n v="512"/>
    <d v="2023-01-22T07:00:00"/>
    <x v="0"/>
    <n v="4"/>
    <x v="0"/>
    <s v="Bajaj"/>
    <x v="1"/>
    <x v="3"/>
    <n v="96748"/>
    <n v="5"/>
    <n v="35426"/>
    <n v="66829"/>
    <n v="3"/>
    <s v="Yes"/>
    <x v="0"/>
    <n v="-31403"/>
  </r>
  <r>
    <n v="513"/>
    <d v="2023-01-22T08:00:00"/>
    <x v="0"/>
    <n v="4"/>
    <x v="0"/>
    <s v="Honda"/>
    <x v="0"/>
    <x v="3"/>
    <n v="82715"/>
    <n v="4"/>
    <n v="32504"/>
    <n v="65553"/>
    <n v="7"/>
    <s v="Yes"/>
    <x v="0"/>
    <n v="-33049"/>
  </r>
  <r>
    <n v="514"/>
    <d v="2023-01-22T09:00:00"/>
    <x v="0"/>
    <n v="4"/>
    <x v="0"/>
    <s v="Bajaj"/>
    <x v="0"/>
    <x v="3"/>
    <n v="43513"/>
    <n v="8"/>
    <n v="141775"/>
    <n v="48585"/>
    <n v="9"/>
    <s v="No"/>
    <x v="0"/>
    <n v="93190"/>
  </r>
  <r>
    <n v="515"/>
    <d v="2023-01-22T10:00:00"/>
    <x v="0"/>
    <n v="4"/>
    <x v="0"/>
    <s v="Bajaj"/>
    <x v="0"/>
    <x v="1"/>
    <n v="83100"/>
    <n v="9"/>
    <n v="58368"/>
    <n v="86739"/>
    <n v="2"/>
    <s v="Yes"/>
    <x v="1"/>
    <n v="-28371"/>
  </r>
  <r>
    <n v="516"/>
    <d v="2023-01-22T11:00:00"/>
    <x v="0"/>
    <n v="4"/>
    <x v="0"/>
    <s v="TVS"/>
    <x v="0"/>
    <x v="3"/>
    <n v="96599"/>
    <n v="8"/>
    <n v="128841"/>
    <n v="74004"/>
    <n v="6"/>
    <s v="Yes"/>
    <x v="1"/>
    <n v="54837"/>
  </r>
  <r>
    <n v="517"/>
    <d v="2023-01-22T12:00:00"/>
    <x v="0"/>
    <n v="4"/>
    <x v="0"/>
    <s v="Hero"/>
    <x v="0"/>
    <x v="0"/>
    <n v="53950"/>
    <n v="3"/>
    <n v="141744"/>
    <n v="134250"/>
    <n v="3"/>
    <s v="Yes"/>
    <x v="0"/>
    <n v="7494"/>
  </r>
  <r>
    <n v="518"/>
    <d v="2023-01-22T13:00:00"/>
    <x v="0"/>
    <n v="4"/>
    <x v="0"/>
    <s v="Yamaha"/>
    <x v="0"/>
    <x v="0"/>
    <n v="99128"/>
    <n v="3"/>
    <n v="33724"/>
    <n v="134411"/>
    <n v="5"/>
    <s v="Yes"/>
    <x v="0"/>
    <n v="-100687"/>
  </r>
  <r>
    <n v="519"/>
    <d v="2023-01-22T14:00:00"/>
    <x v="0"/>
    <n v="4"/>
    <x v="0"/>
    <s v="Yamaha"/>
    <x v="0"/>
    <x v="0"/>
    <n v="48428"/>
    <n v="7"/>
    <n v="161156"/>
    <n v="17438"/>
    <n v="12"/>
    <s v="No"/>
    <x v="0"/>
    <n v="143718"/>
  </r>
  <r>
    <n v="520"/>
    <d v="2023-01-22T15:00:00"/>
    <x v="0"/>
    <n v="4"/>
    <x v="0"/>
    <s v="TVS"/>
    <x v="0"/>
    <x v="1"/>
    <n v="92903"/>
    <n v="9"/>
    <n v="107297"/>
    <n v="108095"/>
    <n v="9"/>
    <s v="No"/>
    <x v="0"/>
    <n v="-798"/>
  </r>
  <r>
    <n v="521"/>
    <d v="2023-01-22T16:00:00"/>
    <x v="0"/>
    <n v="4"/>
    <x v="0"/>
    <s v="Bajaj"/>
    <x v="0"/>
    <x v="3"/>
    <n v="45882"/>
    <n v="3"/>
    <n v="150099"/>
    <n v="38212"/>
    <n v="3"/>
    <s v="Yes"/>
    <x v="0"/>
    <n v="111887"/>
  </r>
  <r>
    <n v="522"/>
    <d v="2023-01-22T17:00:00"/>
    <x v="0"/>
    <n v="4"/>
    <x v="0"/>
    <s v="Honda"/>
    <x v="1"/>
    <x v="1"/>
    <n v="99790"/>
    <n v="1"/>
    <n v="103872"/>
    <n v="65362"/>
    <n v="1"/>
    <s v="Yes"/>
    <x v="0"/>
    <n v="38510"/>
  </r>
  <r>
    <n v="523"/>
    <d v="2023-01-22T18:00:00"/>
    <x v="0"/>
    <n v="4"/>
    <x v="0"/>
    <s v="Bajaj"/>
    <x v="0"/>
    <x v="3"/>
    <n v="85538"/>
    <n v="1"/>
    <n v="176944"/>
    <n v="87177"/>
    <n v="5"/>
    <s v="Yes"/>
    <x v="0"/>
    <n v="89767"/>
  </r>
  <r>
    <n v="524"/>
    <d v="2023-01-22T19:00:00"/>
    <x v="0"/>
    <n v="4"/>
    <x v="0"/>
    <s v="TVS"/>
    <x v="0"/>
    <x v="2"/>
    <n v="1260"/>
    <n v="0"/>
    <n v="95333"/>
    <n v="31983"/>
    <n v="1"/>
    <s v="Yes"/>
    <x v="0"/>
    <n v="63350"/>
  </r>
  <r>
    <n v="525"/>
    <d v="2023-01-22T20:00:00"/>
    <x v="0"/>
    <n v="4"/>
    <x v="0"/>
    <s v="Yamaha"/>
    <x v="0"/>
    <x v="2"/>
    <n v="24642"/>
    <n v="4"/>
    <n v="27596"/>
    <n v="29026"/>
    <n v="8"/>
    <s v="No"/>
    <x v="0"/>
    <n v="-1430"/>
  </r>
  <r>
    <n v="526"/>
    <d v="2023-01-22T21:00:00"/>
    <x v="0"/>
    <n v="4"/>
    <x v="0"/>
    <s v="Bajaj"/>
    <x v="0"/>
    <x v="1"/>
    <n v="17790"/>
    <n v="5"/>
    <n v="42167"/>
    <n v="135168"/>
    <n v="7"/>
    <s v="Yes"/>
    <x v="0"/>
    <n v="-93001"/>
  </r>
  <r>
    <n v="527"/>
    <d v="2023-01-22T22:00:00"/>
    <x v="0"/>
    <n v="4"/>
    <x v="0"/>
    <s v="Yamaha"/>
    <x v="0"/>
    <x v="0"/>
    <n v="71535"/>
    <n v="8"/>
    <n v="112844"/>
    <n v="65998"/>
    <n v="11"/>
    <s v="No"/>
    <x v="0"/>
    <n v="46846"/>
  </r>
  <r>
    <n v="528"/>
    <d v="2023-01-22T23:00:00"/>
    <x v="0"/>
    <n v="4"/>
    <x v="0"/>
    <s v="Honda"/>
    <x v="0"/>
    <x v="1"/>
    <n v="864"/>
    <n v="4"/>
    <n v="114751"/>
    <n v="139735"/>
    <n v="2"/>
    <s v="Yes"/>
    <x v="0"/>
    <n v="-24984"/>
  </r>
  <r>
    <n v="529"/>
    <d v="2023-01-23T00:00:00"/>
    <x v="0"/>
    <n v="4"/>
    <x v="0"/>
    <s v="Yamaha"/>
    <x v="0"/>
    <x v="0"/>
    <n v="57421"/>
    <n v="5"/>
    <n v="154817"/>
    <n v="70744"/>
    <n v="14"/>
    <s v="No"/>
    <x v="0"/>
    <n v="84073"/>
  </r>
  <r>
    <n v="530"/>
    <d v="2023-01-23T01:00:00"/>
    <x v="0"/>
    <n v="4"/>
    <x v="0"/>
    <s v="Yamaha"/>
    <x v="0"/>
    <x v="3"/>
    <n v="20297"/>
    <n v="5"/>
    <n v="105520"/>
    <n v="72013"/>
    <n v="11"/>
    <s v="No"/>
    <x v="0"/>
    <n v="33507"/>
  </r>
  <r>
    <n v="531"/>
    <d v="2023-01-23T02:00:00"/>
    <x v="0"/>
    <n v="4"/>
    <x v="0"/>
    <s v="Hero"/>
    <x v="0"/>
    <x v="0"/>
    <n v="33035"/>
    <n v="2"/>
    <n v="83326"/>
    <n v="66039"/>
    <n v="9"/>
    <s v="No"/>
    <x v="0"/>
    <n v="17287"/>
  </r>
  <r>
    <n v="532"/>
    <d v="2023-01-23T03:00:00"/>
    <x v="0"/>
    <n v="4"/>
    <x v="0"/>
    <s v="Hero"/>
    <x v="0"/>
    <x v="0"/>
    <n v="46800"/>
    <n v="3"/>
    <n v="102670"/>
    <n v="64831"/>
    <n v="5"/>
    <s v="Yes"/>
    <x v="0"/>
    <n v="37839"/>
  </r>
  <r>
    <n v="533"/>
    <d v="2023-01-23T04:00:00"/>
    <x v="0"/>
    <n v="4"/>
    <x v="0"/>
    <s v="Hero"/>
    <x v="1"/>
    <x v="3"/>
    <n v="47676"/>
    <n v="0"/>
    <n v="166854"/>
    <n v="100172"/>
    <n v="7"/>
    <s v="Yes"/>
    <x v="0"/>
    <n v="66682"/>
  </r>
  <r>
    <n v="534"/>
    <d v="2023-01-23T05:00:00"/>
    <x v="0"/>
    <n v="4"/>
    <x v="0"/>
    <s v="Yamaha"/>
    <x v="0"/>
    <x v="2"/>
    <n v="16605"/>
    <n v="3"/>
    <n v="49022"/>
    <n v="49603"/>
    <n v="4"/>
    <s v="Yes"/>
    <x v="0"/>
    <n v="-581"/>
  </r>
  <r>
    <n v="535"/>
    <d v="2023-01-23T06:00:00"/>
    <x v="0"/>
    <n v="4"/>
    <x v="0"/>
    <s v="TVS"/>
    <x v="0"/>
    <x v="3"/>
    <n v="8439"/>
    <n v="0"/>
    <n v="109458"/>
    <n v="92758"/>
    <n v="12"/>
    <s v="No"/>
    <x v="1"/>
    <n v="16700"/>
  </r>
  <r>
    <n v="536"/>
    <d v="2023-01-23T07:00:00"/>
    <x v="0"/>
    <n v="4"/>
    <x v="0"/>
    <s v="Yamaha"/>
    <x v="0"/>
    <x v="1"/>
    <n v="79972"/>
    <n v="4"/>
    <n v="170690"/>
    <n v="82713"/>
    <n v="13"/>
    <s v="No"/>
    <x v="0"/>
    <n v="87977"/>
  </r>
  <r>
    <n v="537"/>
    <d v="2023-01-23T08:00:00"/>
    <x v="0"/>
    <n v="4"/>
    <x v="0"/>
    <s v="TVS"/>
    <x v="0"/>
    <x v="1"/>
    <n v="42529"/>
    <n v="7"/>
    <n v="173317"/>
    <n v="121446"/>
    <n v="1"/>
    <s v="Yes"/>
    <x v="0"/>
    <n v="51871"/>
  </r>
  <r>
    <n v="538"/>
    <d v="2023-01-23T09:00:00"/>
    <x v="0"/>
    <n v="4"/>
    <x v="0"/>
    <s v="TVS"/>
    <x v="0"/>
    <x v="1"/>
    <n v="16363"/>
    <n v="7"/>
    <n v="108796"/>
    <n v="113452"/>
    <n v="14"/>
    <s v="No"/>
    <x v="0"/>
    <n v="-4656"/>
  </r>
  <r>
    <n v="539"/>
    <d v="2023-01-23T10:00:00"/>
    <x v="0"/>
    <n v="4"/>
    <x v="0"/>
    <s v="Hero"/>
    <x v="0"/>
    <x v="1"/>
    <n v="78597"/>
    <n v="4"/>
    <n v="166099"/>
    <n v="131183"/>
    <n v="8"/>
    <s v="No"/>
    <x v="0"/>
    <n v="34916"/>
  </r>
  <r>
    <n v="540"/>
    <d v="2023-01-23T11:00:00"/>
    <x v="0"/>
    <n v="4"/>
    <x v="0"/>
    <s v="Bajaj"/>
    <x v="1"/>
    <x v="1"/>
    <n v="10947"/>
    <n v="9"/>
    <n v="170058"/>
    <n v="28105"/>
    <n v="13"/>
    <s v="No"/>
    <x v="0"/>
    <n v="141953"/>
  </r>
  <r>
    <n v="541"/>
    <d v="2023-01-23T12:00:00"/>
    <x v="0"/>
    <n v="4"/>
    <x v="0"/>
    <s v="Honda"/>
    <x v="0"/>
    <x v="2"/>
    <n v="96660"/>
    <n v="1"/>
    <n v="135704"/>
    <n v="115048"/>
    <n v="1"/>
    <s v="Yes"/>
    <x v="0"/>
    <n v="20656"/>
  </r>
  <r>
    <n v="542"/>
    <d v="2023-01-23T13:00:00"/>
    <x v="0"/>
    <n v="4"/>
    <x v="0"/>
    <s v="Hero"/>
    <x v="0"/>
    <x v="2"/>
    <n v="47440"/>
    <n v="5"/>
    <n v="159598"/>
    <n v="82182"/>
    <n v="3"/>
    <s v="Yes"/>
    <x v="0"/>
    <n v="77416"/>
  </r>
  <r>
    <n v="543"/>
    <d v="2023-01-23T14:00:00"/>
    <x v="0"/>
    <n v="4"/>
    <x v="0"/>
    <s v="Hero"/>
    <x v="0"/>
    <x v="0"/>
    <n v="78447"/>
    <n v="0"/>
    <n v="69361"/>
    <n v="67147"/>
    <n v="6"/>
    <s v="Yes"/>
    <x v="0"/>
    <n v="2214"/>
  </r>
  <r>
    <n v="544"/>
    <d v="2023-01-23T15:00:00"/>
    <x v="0"/>
    <n v="4"/>
    <x v="0"/>
    <s v="Bajaj"/>
    <x v="0"/>
    <x v="1"/>
    <n v="85501"/>
    <n v="6"/>
    <n v="63286"/>
    <n v="136331"/>
    <n v="8"/>
    <s v="No"/>
    <x v="0"/>
    <n v="-73045"/>
  </r>
  <r>
    <n v="545"/>
    <d v="2023-01-23T16:00:00"/>
    <x v="0"/>
    <n v="4"/>
    <x v="0"/>
    <s v="Honda"/>
    <x v="0"/>
    <x v="3"/>
    <n v="20142"/>
    <n v="3"/>
    <n v="54533"/>
    <n v="90400"/>
    <n v="8"/>
    <s v="No"/>
    <x v="0"/>
    <n v="-35867"/>
  </r>
  <r>
    <n v="546"/>
    <d v="2023-01-23T17:00:00"/>
    <x v="0"/>
    <n v="4"/>
    <x v="0"/>
    <s v="Yamaha"/>
    <x v="0"/>
    <x v="1"/>
    <n v="97298"/>
    <n v="4"/>
    <n v="174388"/>
    <n v="61434"/>
    <n v="2"/>
    <s v="Yes"/>
    <x v="0"/>
    <n v="112954"/>
  </r>
  <r>
    <n v="547"/>
    <d v="2023-01-23T18:00:00"/>
    <x v="0"/>
    <n v="4"/>
    <x v="0"/>
    <s v="Yamaha"/>
    <x v="0"/>
    <x v="2"/>
    <n v="96399"/>
    <n v="5"/>
    <n v="164771"/>
    <n v="41515"/>
    <n v="9"/>
    <s v="No"/>
    <x v="0"/>
    <n v="123256"/>
  </r>
  <r>
    <n v="548"/>
    <d v="2023-01-23T19:00:00"/>
    <x v="0"/>
    <n v="4"/>
    <x v="0"/>
    <s v="Hero"/>
    <x v="0"/>
    <x v="1"/>
    <n v="68143"/>
    <n v="0"/>
    <n v="152441"/>
    <n v="104298"/>
    <n v="4"/>
    <s v="Yes"/>
    <x v="0"/>
    <n v="48143"/>
  </r>
  <r>
    <n v="549"/>
    <d v="2023-01-23T20:00:00"/>
    <x v="0"/>
    <n v="4"/>
    <x v="0"/>
    <s v="Honda"/>
    <x v="0"/>
    <x v="2"/>
    <n v="8428"/>
    <n v="8"/>
    <n v="122079"/>
    <n v="73001"/>
    <n v="4"/>
    <s v="Yes"/>
    <x v="1"/>
    <n v="49078"/>
  </r>
  <r>
    <n v="550"/>
    <d v="2023-01-23T21:00:00"/>
    <x v="0"/>
    <n v="4"/>
    <x v="0"/>
    <s v="Hero"/>
    <x v="0"/>
    <x v="0"/>
    <n v="48502"/>
    <n v="9"/>
    <n v="125960"/>
    <n v="116971"/>
    <n v="14"/>
    <s v="No"/>
    <x v="1"/>
    <n v="8989"/>
  </r>
  <r>
    <n v="551"/>
    <d v="2023-01-23T22:00:00"/>
    <x v="0"/>
    <n v="4"/>
    <x v="0"/>
    <s v="TVS"/>
    <x v="0"/>
    <x v="0"/>
    <n v="85353"/>
    <n v="3"/>
    <n v="83465"/>
    <n v="73397"/>
    <n v="2"/>
    <s v="Yes"/>
    <x v="0"/>
    <n v="10068"/>
  </r>
  <r>
    <n v="552"/>
    <d v="2023-01-23T23:00:00"/>
    <x v="0"/>
    <n v="4"/>
    <x v="0"/>
    <s v="Hero"/>
    <x v="1"/>
    <x v="0"/>
    <n v="25517"/>
    <n v="7"/>
    <n v="172745"/>
    <n v="76415"/>
    <n v="1"/>
    <s v="Yes"/>
    <x v="0"/>
    <n v="96330"/>
  </r>
  <r>
    <n v="553"/>
    <d v="2023-01-24T00:00:00"/>
    <x v="0"/>
    <n v="4"/>
    <x v="0"/>
    <s v="Hero"/>
    <x v="0"/>
    <x v="2"/>
    <n v="79564"/>
    <n v="4"/>
    <n v="48395"/>
    <n v="31960"/>
    <n v="10"/>
    <s v="No"/>
    <x v="0"/>
    <n v="16435"/>
  </r>
  <r>
    <n v="554"/>
    <d v="2023-01-24T01:00:00"/>
    <x v="0"/>
    <n v="4"/>
    <x v="0"/>
    <s v="Yamaha"/>
    <x v="1"/>
    <x v="1"/>
    <n v="13813"/>
    <n v="7"/>
    <n v="129162"/>
    <n v="124591"/>
    <n v="7"/>
    <s v="Yes"/>
    <x v="1"/>
    <n v="4571"/>
  </r>
  <r>
    <n v="555"/>
    <d v="2023-01-24T02:00:00"/>
    <x v="0"/>
    <n v="4"/>
    <x v="0"/>
    <s v="Yamaha"/>
    <x v="0"/>
    <x v="1"/>
    <n v="2059"/>
    <n v="0"/>
    <n v="155704"/>
    <n v="108143"/>
    <n v="11"/>
    <s v="No"/>
    <x v="0"/>
    <n v="47561"/>
  </r>
  <r>
    <n v="556"/>
    <d v="2023-01-24T03:00:00"/>
    <x v="0"/>
    <n v="4"/>
    <x v="0"/>
    <s v="Yamaha"/>
    <x v="0"/>
    <x v="3"/>
    <n v="51393"/>
    <n v="7"/>
    <n v="179779"/>
    <n v="96838"/>
    <n v="10"/>
    <s v="No"/>
    <x v="0"/>
    <n v="82941"/>
  </r>
  <r>
    <n v="557"/>
    <d v="2023-01-24T04:00:00"/>
    <x v="0"/>
    <n v="4"/>
    <x v="0"/>
    <s v="TVS"/>
    <x v="0"/>
    <x v="2"/>
    <n v="15667"/>
    <n v="3"/>
    <n v="100937"/>
    <n v="60778"/>
    <n v="3"/>
    <s v="Yes"/>
    <x v="0"/>
    <n v="40159"/>
  </r>
  <r>
    <n v="558"/>
    <d v="2023-01-24T05:00:00"/>
    <x v="0"/>
    <n v="4"/>
    <x v="0"/>
    <s v="Yamaha"/>
    <x v="0"/>
    <x v="3"/>
    <n v="81379"/>
    <n v="1"/>
    <n v="154647"/>
    <n v="45941"/>
    <n v="4"/>
    <s v="Yes"/>
    <x v="0"/>
    <n v="108706"/>
  </r>
  <r>
    <n v="559"/>
    <d v="2023-01-24T06:00:00"/>
    <x v="0"/>
    <n v="4"/>
    <x v="0"/>
    <s v="Honda"/>
    <x v="0"/>
    <x v="0"/>
    <n v="39098"/>
    <n v="5"/>
    <n v="145650"/>
    <n v="111857"/>
    <n v="11"/>
    <s v="No"/>
    <x v="0"/>
    <n v="33793"/>
  </r>
  <r>
    <n v="560"/>
    <d v="2023-01-24T07:00:00"/>
    <x v="0"/>
    <n v="4"/>
    <x v="0"/>
    <s v="Bajaj"/>
    <x v="0"/>
    <x v="1"/>
    <n v="8023"/>
    <n v="1"/>
    <n v="155744"/>
    <n v="110849"/>
    <n v="9"/>
    <s v="No"/>
    <x v="0"/>
    <n v="44895"/>
  </r>
  <r>
    <n v="561"/>
    <d v="2023-01-24T08:00:00"/>
    <x v="0"/>
    <n v="4"/>
    <x v="0"/>
    <s v="Honda"/>
    <x v="0"/>
    <x v="2"/>
    <n v="50277"/>
    <n v="4"/>
    <n v="116512"/>
    <n v="118083"/>
    <n v="6"/>
    <s v="Yes"/>
    <x v="0"/>
    <n v="-1571"/>
  </r>
  <r>
    <n v="562"/>
    <d v="2023-01-24T09:00:00"/>
    <x v="0"/>
    <n v="4"/>
    <x v="0"/>
    <s v="Honda"/>
    <x v="0"/>
    <x v="3"/>
    <n v="28939"/>
    <n v="1"/>
    <n v="164830"/>
    <n v="55955"/>
    <n v="14"/>
    <s v="No"/>
    <x v="0"/>
    <n v="108875"/>
  </r>
  <r>
    <n v="563"/>
    <d v="2023-01-24T10:00:00"/>
    <x v="0"/>
    <n v="4"/>
    <x v="0"/>
    <s v="Yamaha"/>
    <x v="0"/>
    <x v="3"/>
    <n v="81560"/>
    <n v="2"/>
    <n v="92009"/>
    <n v="93565"/>
    <n v="1"/>
    <s v="Yes"/>
    <x v="0"/>
    <n v="-1556"/>
  </r>
  <r>
    <n v="564"/>
    <d v="2023-01-24T11:00:00"/>
    <x v="0"/>
    <n v="4"/>
    <x v="0"/>
    <s v="Bajaj"/>
    <x v="0"/>
    <x v="3"/>
    <n v="13785"/>
    <n v="5"/>
    <n v="169353"/>
    <n v="116276"/>
    <n v="9"/>
    <s v="No"/>
    <x v="0"/>
    <n v="53077"/>
  </r>
  <r>
    <n v="565"/>
    <d v="2023-01-24T12:00:00"/>
    <x v="0"/>
    <n v="4"/>
    <x v="0"/>
    <s v="Bajaj"/>
    <x v="1"/>
    <x v="1"/>
    <n v="11473"/>
    <n v="0"/>
    <n v="57548"/>
    <n v="71908"/>
    <n v="9"/>
    <s v="No"/>
    <x v="0"/>
    <n v="-14360"/>
  </r>
  <r>
    <n v="566"/>
    <d v="2023-01-24T13:00:00"/>
    <x v="0"/>
    <n v="4"/>
    <x v="0"/>
    <s v="Bajaj"/>
    <x v="0"/>
    <x v="1"/>
    <n v="23194"/>
    <n v="5"/>
    <n v="43371"/>
    <n v="79067"/>
    <n v="5"/>
    <s v="Yes"/>
    <x v="0"/>
    <n v="-35696"/>
  </r>
  <r>
    <n v="567"/>
    <d v="2023-01-24T14:00:00"/>
    <x v="0"/>
    <n v="4"/>
    <x v="0"/>
    <s v="TVS"/>
    <x v="0"/>
    <x v="1"/>
    <n v="36274"/>
    <n v="2"/>
    <n v="130977"/>
    <n v="133636"/>
    <n v="8"/>
    <s v="No"/>
    <x v="0"/>
    <n v="-2659"/>
  </r>
  <r>
    <n v="568"/>
    <d v="2023-01-24T15:00:00"/>
    <x v="0"/>
    <n v="4"/>
    <x v="0"/>
    <s v="Yamaha"/>
    <x v="0"/>
    <x v="2"/>
    <n v="4802"/>
    <n v="6"/>
    <n v="175716"/>
    <n v="70696"/>
    <n v="7"/>
    <s v="Yes"/>
    <x v="0"/>
    <n v="105020"/>
  </r>
  <r>
    <n v="569"/>
    <d v="2023-01-24T16:00:00"/>
    <x v="0"/>
    <n v="4"/>
    <x v="0"/>
    <s v="Bajaj"/>
    <x v="0"/>
    <x v="1"/>
    <n v="22891"/>
    <n v="1"/>
    <n v="179946"/>
    <n v="33429"/>
    <n v="11"/>
    <s v="No"/>
    <x v="0"/>
    <n v="146517"/>
  </r>
  <r>
    <n v="570"/>
    <d v="2023-01-24T17:00:00"/>
    <x v="0"/>
    <n v="4"/>
    <x v="0"/>
    <s v="TVS"/>
    <x v="0"/>
    <x v="2"/>
    <n v="5111"/>
    <n v="5"/>
    <n v="39281"/>
    <n v="109048"/>
    <n v="8"/>
    <s v="No"/>
    <x v="0"/>
    <n v="-69767"/>
  </r>
  <r>
    <n v="571"/>
    <d v="2023-01-24T18:00:00"/>
    <x v="0"/>
    <n v="4"/>
    <x v="0"/>
    <s v="Hero"/>
    <x v="0"/>
    <x v="3"/>
    <n v="9872"/>
    <n v="7"/>
    <n v="178361"/>
    <n v="91676"/>
    <n v="9"/>
    <s v="No"/>
    <x v="0"/>
    <n v="86685"/>
  </r>
  <r>
    <n v="572"/>
    <d v="2023-01-24T19:00:00"/>
    <x v="0"/>
    <n v="4"/>
    <x v="0"/>
    <s v="Hero"/>
    <x v="0"/>
    <x v="3"/>
    <n v="24812"/>
    <n v="0"/>
    <n v="161126"/>
    <n v="131315"/>
    <n v="14"/>
    <s v="No"/>
    <x v="0"/>
    <n v="29811"/>
  </r>
  <r>
    <n v="573"/>
    <d v="2023-01-24T20:00:00"/>
    <x v="0"/>
    <n v="4"/>
    <x v="0"/>
    <s v="TVS"/>
    <x v="0"/>
    <x v="0"/>
    <n v="14580"/>
    <n v="8"/>
    <n v="125020"/>
    <n v="29847"/>
    <n v="2"/>
    <s v="Yes"/>
    <x v="0"/>
    <n v="95173"/>
  </r>
  <r>
    <n v="574"/>
    <d v="2023-01-24T21:00:00"/>
    <x v="0"/>
    <n v="4"/>
    <x v="0"/>
    <s v="TVS"/>
    <x v="0"/>
    <x v="1"/>
    <n v="81118"/>
    <n v="4"/>
    <n v="132508"/>
    <n v="62191"/>
    <n v="10"/>
    <s v="No"/>
    <x v="0"/>
    <n v="70317"/>
  </r>
  <r>
    <n v="575"/>
    <d v="2023-01-24T22:00:00"/>
    <x v="0"/>
    <n v="4"/>
    <x v="0"/>
    <s v="Yamaha"/>
    <x v="0"/>
    <x v="3"/>
    <n v="96713"/>
    <n v="4"/>
    <n v="91846"/>
    <n v="49256"/>
    <n v="5"/>
    <s v="Yes"/>
    <x v="0"/>
    <n v="42590"/>
  </r>
  <r>
    <n v="576"/>
    <d v="2023-01-24T23:00:00"/>
    <x v="0"/>
    <n v="4"/>
    <x v="0"/>
    <s v="Yamaha"/>
    <x v="1"/>
    <x v="1"/>
    <n v="21374"/>
    <n v="4"/>
    <n v="119682"/>
    <n v="43774"/>
    <n v="8"/>
    <s v="No"/>
    <x v="0"/>
    <n v="75908"/>
  </r>
  <r>
    <n v="577"/>
    <d v="2023-01-25T00:00:00"/>
    <x v="0"/>
    <n v="4"/>
    <x v="0"/>
    <s v="Hero"/>
    <x v="0"/>
    <x v="2"/>
    <n v="63037"/>
    <n v="5"/>
    <n v="54312"/>
    <n v="24127"/>
    <n v="3"/>
    <s v="Yes"/>
    <x v="0"/>
    <n v="30185"/>
  </r>
  <r>
    <n v="578"/>
    <d v="2023-01-25T01:00:00"/>
    <x v="0"/>
    <n v="4"/>
    <x v="0"/>
    <s v="Bajaj"/>
    <x v="0"/>
    <x v="3"/>
    <n v="74414"/>
    <n v="1"/>
    <n v="139186"/>
    <n v="133251"/>
    <n v="11"/>
    <s v="No"/>
    <x v="0"/>
    <n v="5935"/>
  </r>
  <r>
    <n v="579"/>
    <d v="2023-01-25T02:00:00"/>
    <x v="0"/>
    <n v="4"/>
    <x v="0"/>
    <s v="Hero"/>
    <x v="0"/>
    <x v="1"/>
    <n v="2097"/>
    <n v="5"/>
    <n v="29257"/>
    <n v="43205"/>
    <n v="11"/>
    <s v="No"/>
    <x v="0"/>
    <n v="-13948"/>
  </r>
  <r>
    <n v="580"/>
    <d v="2023-01-25T03:00:00"/>
    <x v="0"/>
    <n v="4"/>
    <x v="0"/>
    <s v="Bajaj"/>
    <x v="0"/>
    <x v="3"/>
    <n v="12100"/>
    <n v="3"/>
    <n v="171918"/>
    <n v="123210"/>
    <n v="6"/>
    <s v="Yes"/>
    <x v="0"/>
    <n v="48708"/>
  </r>
  <r>
    <n v="581"/>
    <d v="2023-01-25T04:00:00"/>
    <x v="0"/>
    <n v="4"/>
    <x v="0"/>
    <s v="Bajaj"/>
    <x v="1"/>
    <x v="3"/>
    <n v="4247"/>
    <n v="7"/>
    <n v="178555"/>
    <n v="115106"/>
    <n v="6"/>
    <s v="Yes"/>
    <x v="0"/>
    <n v="63449"/>
  </r>
  <r>
    <n v="582"/>
    <d v="2023-01-25T05:00:00"/>
    <x v="0"/>
    <n v="4"/>
    <x v="0"/>
    <s v="Yamaha"/>
    <x v="0"/>
    <x v="1"/>
    <n v="79915"/>
    <n v="8"/>
    <n v="51558"/>
    <n v="96163"/>
    <n v="7"/>
    <s v="Yes"/>
    <x v="0"/>
    <n v="-44605"/>
  </r>
  <r>
    <n v="583"/>
    <d v="2023-01-25T06:00:00"/>
    <x v="0"/>
    <n v="4"/>
    <x v="0"/>
    <s v="Honda"/>
    <x v="0"/>
    <x v="3"/>
    <n v="79053"/>
    <n v="8"/>
    <n v="68188"/>
    <n v="73764"/>
    <n v="13"/>
    <s v="No"/>
    <x v="1"/>
    <n v="-5576"/>
  </r>
  <r>
    <n v="584"/>
    <d v="2023-01-25T07:00:00"/>
    <x v="0"/>
    <n v="4"/>
    <x v="0"/>
    <s v="Honda"/>
    <x v="1"/>
    <x v="3"/>
    <n v="25315"/>
    <n v="7"/>
    <n v="169084"/>
    <n v="133279"/>
    <n v="11"/>
    <s v="No"/>
    <x v="0"/>
    <n v="35805"/>
  </r>
  <r>
    <n v="585"/>
    <d v="2023-01-25T08:00:00"/>
    <x v="0"/>
    <n v="4"/>
    <x v="0"/>
    <s v="TVS"/>
    <x v="0"/>
    <x v="3"/>
    <n v="85000"/>
    <n v="2"/>
    <n v="58236"/>
    <n v="116824"/>
    <n v="3"/>
    <s v="Yes"/>
    <x v="0"/>
    <n v="-58588"/>
  </r>
  <r>
    <n v="586"/>
    <d v="2023-01-25T09:00:00"/>
    <x v="0"/>
    <n v="4"/>
    <x v="0"/>
    <s v="Yamaha"/>
    <x v="0"/>
    <x v="3"/>
    <n v="94848"/>
    <n v="9"/>
    <n v="70076"/>
    <n v="53664"/>
    <n v="8"/>
    <s v="No"/>
    <x v="0"/>
    <n v="16412"/>
  </r>
  <r>
    <n v="587"/>
    <d v="2023-01-25T10:00:00"/>
    <x v="0"/>
    <n v="4"/>
    <x v="0"/>
    <s v="Bajaj"/>
    <x v="0"/>
    <x v="2"/>
    <n v="25214"/>
    <n v="3"/>
    <n v="73402"/>
    <n v="71795"/>
    <n v="8"/>
    <s v="No"/>
    <x v="0"/>
    <n v="1607"/>
  </r>
  <r>
    <n v="588"/>
    <d v="2023-01-25T11:00:00"/>
    <x v="0"/>
    <n v="4"/>
    <x v="0"/>
    <s v="Honda"/>
    <x v="0"/>
    <x v="3"/>
    <n v="19390"/>
    <n v="0"/>
    <n v="119467"/>
    <n v="136729"/>
    <n v="9"/>
    <s v="No"/>
    <x v="1"/>
    <n v="-17262"/>
  </r>
  <r>
    <n v="589"/>
    <d v="2023-01-25T12:00:00"/>
    <x v="0"/>
    <n v="4"/>
    <x v="0"/>
    <s v="Bajaj"/>
    <x v="0"/>
    <x v="0"/>
    <n v="62009"/>
    <n v="8"/>
    <n v="105337"/>
    <n v="47333"/>
    <n v="8"/>
    <s v="No"/>
    <x v="0"/>
    <n v="58004"/>
  </r>
  <r>
    <n v="590"/>
    <d v="2023-01-25T13:00:00"/>
    <x v="0"/>
    <n v="4"/>
    <x v="0"/>
    <s v="Honda"/>
    <x v="1"/>
    <x v="3"/>
    <n v="62324"/>
    <n v="4"/>
    <n v="140827"/>
    <n v="128548"/>
    <n v="3"/>
    <s v="Yes"/>
    <x v="0"/>
    <n v="12279"/>
  </r>
  <r>
    <n v="591"/>
    <d v="2023-01-25T14:00:00"/>
    <x v="0"/>
    <n v="4"/>
    <x v="0"/>
    <s v="Honda"/>
    <x v="1"/>
    <x v="1"/>
    <n v="5225"/>
    <n v="5"/>
    <n v="99264"/>
    <n v="51079"/>
    <n v="6"/>
    <s v="Yes"/>
    <x v="0"/>
    <n v="48185"/>
  </r>
  <r>
    <n v="592"/>
    <d v="2023-01-25T15:00:00"/>
    <x v="0"/>
    <n v="4"/>
    <x v="0"/>
    <s v="Honda"/>
    <x v="0"/>
    <x v="0"/>
    <n v="43705"/>
    <n v="2"/>
    <n v="42335"/>
    <n v="99225"/>
    <n v="9"/>
    <s v="No"/>
    <x v="0"/>
    <n v="-56890"/>
  </r>
  <r>
    <n v="593"/>
    <d v="2023-01-25T16:00:00"/>
    <x v="0"/>
    <n v="4"/>
    <x v="0"/>
    <s v="Yamaha"/>
    <x v="0"/>
    <x v="2"/>
    <n v="21184"/>
    <n v="9"/>
    <n v="68773"/>
    <n v="39259"/>
    <n v="1"/>
    <s v="Yes"/>
    <x v="0"/>
    <n v="29514"/>
  </r>
  <r>
    <n v="594"/>
    <d v="2023-01-25T17:00:00"/>
    <x v="0"/>
    <n v="4"/>
    <x v="0"/>
    <s v="Hero"/>
    <x v="0"/>
    <x v="0"/>
    <n v="92361"/>
    <n v="7"/>
    <n v="53570"/>
    <n v="41571"/>
    <n v="3"/>
    <s v="Yes"/>
    <x v="0"/>
    <n v="11999"/>
  </r>
  <r>
    <n v="595"/>
    <d v="2023-01-25T18:00:00"/>
    <x v="0"/>
    <n v="4"/>
    <x v="0"/>
    <s v="Bajaj"/>
    <x v="1"/>
    <x v="0"/>
    <n v="58411"/>
    <n v="6"/>
    <n v="112995"/>
    <n v="66119"/>
    <n v="2"/>
    <s v="Yes"/>
    <x v="0"/>
    <n v="46876"/>
  </r>
  <r>
    <n v="596"/>
    <d v="2023-01-25T19:00:00"/>
    <x v="0"/>
    <n v="4"/>
    <x v="0"/>
    <s v="Yamaha"/>
    <x v="0"/>
    <x v="0"/>
    <n v="98578"/>
    <n v="0"/>
    <n v="65658"/>
    <n v="23009"/>
    <n v="12"/>
    <s v="No"/>
    <x v="0"/>
    <n v="42649"/>
  </r>
  <r>
    <n v="597"/>
    <d v="2023-01-25T20:00:00"/>
    <x v="0"/>
    <n v="4"/>
    <x v="0"/>
    <s v="Yamaha"/>
    <x v="0"/>
    <x v="1"/>
    <n v="13592"/>
    <n v="9"/>
    <n v="145640"/>
    <n v="125210"/>
    <n v="8"/>
    <s v="No"/>
    <x v="0"/>
    <n v="20430"/>
  </r>
  <r>
    <n v="598"/>
    <d v="2023-01-25T21:00:00"/>
    <x v="0"/>
    <n v="4"/>
    <x v="0"/>
    <s v="Yamaha"/>
    <x v="0"/>
    <x v="1"/>
    <n v="96418"/>
    <n v="4"/>
    <n v="97613"/>
    <n v="125531"/>
    <n v="6"/>
    <s v="Yes"/>
    <x v="0"/>
    <n v="-27918"/>
  </r>
  <r>
    <n v="599"/>
    <d v="2023-01-25T22:00:00"/>
    <x v="0"/>
    <n v="4"/>
    <x v="0"/>
    <s v="Yamaha"/>
    <x v="0"/>
    <x v="1"/>
    <n v="40270"/>
    <n v="9"/>
    <n v="83194"/>
    <n v="76829"/>
    <n v="10"/>
    <s v="No"/>
    <x v="0"/>
    <n v="6365"/>
  </r>
  <r>
    <n v="600"/>
    <d v="2023-01-25T23:00:00"/>
    <x v="0"/>
    <n v="4"/>
    <x v="0"/>
    <s v="Yamaha"/>
    <x v="0"/>
    <x v="2"/>
    <n v="25957"/>
    <n v="8"/>
    <n v="136872"/>
    <n v="53230"/>
    <n v="11"/>
    <s v="No"/>
    <x v="0"/>
    <n v="83642"/>
  </r>
  <r>
    <n v="601"/>
    <d v="2023-01-26T00:00:00"/>
    <x v="0"/>
    <n v="4"/>
    <x v="0"/>
    <s v="TVS"/>
    <x v="0"/>
    <x v="1"/>
    <n v="72167"/>
    <n v="5"/>
    <n v="133558"/>
    <n v="126364"/>
    <n v="11"/>
    <s v="No"/>
    <x v="0"/>
    <n v="7194"/>
  </r>
  <r>
    <n v="602"/>
    <d v="2023-01-26T01:00:00"/>
    <x v="0"/>
    <n v="4"/>
    <x v="0"/>
    <s v="Bajaj"/>
    <x v="0"/>
    <x v="1"/>
    <n v="91251"/>
    <n v="7"/>
    <n v="93582"/>
    <n v="71049"/>
    <n v="8"/>
    <s v="No"/>
    <x v="0"/>
    <n v="22533"/>
  </r>
  <r>
    <n v="603"/>
    <d v="2023-01-26T02:00:00"/>
    <x v="0"/>
    <n v="4"/>
    <x v="0"/>
    <s v="Yamaha"/>
    <x v="0"/>
    <x v="0"/>
    <n v="63394"/>
    <n v="9"/>
    <n v="168775"/>
    <n v="116762"/>
    <n v="2"/>
    <s v="Yes"/>
    <x v="0"/>
    <n v="52013"/>
  </r>
  <r>
    <n v="604"/>
    <d v="2023-01-26T03:00:00"/>
    <x v="0"/>
    <n v="4"/>
    <x v="0"/>
    <s v="Bajaj"/>
    <x v="0"/>
    <x v="1"/>
    <n v="61805"/>
    <n v="0"/>
    <n v="74456"/>
    <n v="138273"/>
    <n v="11"/>
    <s v="No"/>
    <x v="0"/>
    <n v="-63817"/>
  </r>
  <r>
    <n v="605"/>
    <d v="2023-01-26T04:00:00"/>
    <x v="0"/>
    <n v="4"/>
    <x v="0"/>
    <s v="TVS"/>
    <x v="0"/>
    <x v="3"/>
    <n v="13112"/>
    <n v="9"/>
    <n v="80491"/>
    <n v="134466"/>
    <n v="6"/>
    <s v="Yes"/>
    <x v="0"/>
    <n v="-53975"/>
  </r>
  <r>
    <n v="606"/>
    <d v="2023-01-26T05:00:00"/>
    <x v="0"/>
    <n v="4"/>
    <x v="0"/>
    <s v="TVS"/>
    <x v="1"/>
    <x v="1"/>
    <n v="79127"/>
    <n v="6"/>
    <n v="33043"/>
    <n v="51498"/>
    <n v="7"/>
    <s v="Yes"/>
    <x v="0"/>
    <n v="-18455"/>
  </r>
  <r>
    <n v="607"/>
    <d v="2023-01-26T06:00:00"/>
    <x v="0"/>
    <n v="4"/>
    <x v="0"/>
    <s v="Bajaj"/>
    <x v="0"/>
    <x v="2"/>
    <n v="37589"/>
    <n v="2"/>
    <n v="128212"/>
    <n v="134053"/>
    <n v="8"/>
    <s v="No"/>
    <x v="1"/>
    <n v="-5841"/>
  </r>
  <r>
    <n v="608"/>
    <d v="2023-01-26T07:00:00"/>
    <x v="0"/>
    <n v="4"/>
    <x v="0"/>
    <s v="Honda"/>
    <x v="0"/>
    <x v="2"/>
    <n v="95795"/>
    <n v="8"/>
    <n v="93340"/>
    <n v="43820"/>
    <n v="9"/>
    <s v="No"/>
    <x v="0"/>
    <n v="49520"/>
  </r>
  <r>
    <n v="609"/>
    <d v="2023-01-26T08:00:00"/>
    <x v="0"/>
    <n v="4"/>
    <x v="0"/>
    <s v="Hero"/>
    <x v="0"/>
    <x v="3"/>
    <n v="52637"/>
    <n v="5"/>
    <n v="166248"/>
    <n v="55315"/>
    <n v="5"/>
    <s v="Yes"/>
    <x v="0"/>
    <n v="110933"/>
  </r>
  <r>
    <n v="610"/>
    <d v="2023-01-26T09:00:00"/>
    <x v="0"/>
    <n v="4"/>
    <x v="0"/>
    <s v="Honda"/>
    <x v="0"/>
    <x v="2"/>
    <n v="1059"/>
    <n v="4"/>
    <n v="160008"/>
    <n v="110018"/>
    <n v="11"/>
    <s v="No"/>
    <x v="0"/>
    <n v="49990"/>
  </r>
  <r>
    <n v="611"/>
    <d v="2023-01-26T10:00:00"/>
    <x v="0"/>
    <n v="4"/>
    <x v="0"/>
    <s v="Honda"/>
    <x v="0"/>
    <x v="2"/>
    <n v="66749"/>
    <n v="7"/>
    <n v="56174"/>
    <n v="47795"/>
    <n v="3"/>
    <s v="Yes"/>
    <x v="0"/>
    <n v="8379"/>
  </r>
  <r>
    <n v="612"/>
    <d v="2023-01-26T11:00:00"/>
    <x v="0"/>
    <n v="4"/>
    <x v="0"/>
    <s v="Honda"/>
    <x v="1"/>
    <x v="0"/>
    <n v="37861"/>
    <n v="7"/>
    <n v="107632"/>
    <n v="128812"/>
    <n v="2"/>
    <s v="Yes"/>
    <x v="1"/>
    <n v="-21180"/>
  </r>
  <r>
    <n v="613"/>
    <d v="2023-01-26T12:00:00"/>
    <x v="0"/>
    <n v="4"/>
    <x v="0"/>
    <s v="Yamaha"/>
    <x v="0"/>
    <x v="3"/>
    <n v="81220"/>
    <n v="2"/>
    <n v="113768"/>
    <n v="100411"/>
    <n v="8"/>
    <s v="No"/>
    <x v="1"/>
    <n v="13357"/>
  </r>
  <r>
    <n v="614"/>
    <d v="2023-01-26T13:00:00"/>
    <x v="0"/>
    <n v="4"/>
    <x v="0"/>
    <s v="TVS"/>
    <x v="0"/>
    <x v="0"/>
    <n v="15761"/>
    <n v="1"/>
    <n v="150775"/>
    <n v="54191"/>
    <n v="1"/>
    <s v="Yes"/>
    <x v="0"/>
    <n v="96584"/>
  </r>
  <r>
    <n v="615"/>
    <d v="2023-01-26T14:00:00"/>
    <x v="0"/>
    <n v="4"/>
    <x v="0"/>
    <s v="Honda"/>
    <x v="0"/>
    <x v="0"/>
    <n v="20872"/>
    <n v="1"/>
    <n v="133177"/>
    <n v="69453"/>
    <n v="10"/>
    <s v="No"/>
    <x v="0"/>
    <n v="63724"/>
  </r>
  <r>
    <n v="616"/>
    <d v="2023-01-26T15:00:00"/>
    <x v="0"/>
    <n v="4"/>
    <x v="0"/>
    <s v="TVS"/>
    <x v="1"/>
    <x v="1"/>
    <n v="55855"/>
    <n v="4"/>
    <n v="50909"/>
    <n v="27453"/>
    <n v="6"/>
    <s v="Yes"/>
    <x v="0"/>
    <n v="23456"/>
  </r>
  <r>
    <n v="617"/>
    <d v="2023-01-26T16:00:00"/>
    <x v="0"/>
    <n v="4"/>
    <x v="0"/>
    <s v="Bajaj"/>
    <x v="0"/>
    <x v="3"/>
    <n v="98176"/>
    <n v="9"/>
    <n v="69158"/>
    <n v="135848"/>
    <n v="2"/>
    <s v="Yes"/>
    <x v="0"/>
    <n v="-66690"/>
  </r>
  <r>
    <n v="618"/>
    <d v="2023-01-26T17:00:00"/>
    <x v="0"/>
    <n v="4"/>
    <x v="0"/>
    <s v="Hero"/>
    <x v="0"/>
    <x v="1"/>
    <n v="99060"/>
    <n v="6"/>
    <n v="164438"/>
    <n v="65325"/>
    <n v="3"/>
    <s v="Yes"/>
    <x v="0"/>
    <n v="99113"/>
  </r>
  <r>
    <n v="619"/>
    <d v="2023-01-26T18:00:00"/>
    <x v="0"/>
    <n v="4"/>
    <x v="0"/>
    <s v="Bajaj"/>
    <x v="0"/>
    <x v="1"/>
    <n v="58420"/>
    <n v="7"/>
    <n v="149296"/>
    <n v="64490"/>
    <n v="8"/>
    <s v="No"/>
    <x v="0"/>
    <n v="84806"/>
  </r>
  <r>
    <n v="620"/>
    <d v="2023-01-26T19:00:00"/>
    <x v="0"/>
    <n v="4"/>
    <x v="0"/>
    <s v="Bajaj"/>
    <x v="0"/>
    <x v="0"/>
    <n v="33044"/>
    <n v="9"/>
    <n v="84331"/>
    <n v="89796"/>
    <n v="1"/>
    <s v="Yes"/>
    <x v="0"/>
    <n v="-5465"/>
  </r>
  <r>
    <n v="621"/>
    <d v="2023-01-26T20:00:00"/>
    <x v="0"/>
    <n v="4"/>
    <x v="0"/>
    <s v="Yamaha"/>
    <x v="0"/>
    <x v="2"/>
    <n v="537"/>
    <n v="7"/>
    <n v="173530"/>
    <n v="129165"/>
    <n v="6"/>
    <s v="Yes"/>
    <x v="0"/>
    <n v="44365"/>
  </r>
  <r>
    <n v="622"/>
    <d v="2023-01-26T21:00:00"/>
    <x v="0"/>
    <n v="4"/>
    <x v="0"/>
    <s v="Hero"/>
    <x v="1"/>
    <x v="3"/>
    <n v="43532"/>
    <n v="7"/>
    <n v="112367"/>
    <n v="64993"/>
    <n v="3"/>
    <s v="Yes"/>
    <x v="0"/>
    <n v="47374"/>
  </r>
  <r>
    <n v="623"/>
    <d v="2023-01-26T22:00:00"/>
    <x v="0"/>
    <n v="4"/>
    <x v="0"/>
    <s v="Bajaj"/>
    <x v="0"/>
    <x v="2"/>
    <n v="78733"/>
    <n v="9"/>
    <n v="90382"/>
    <n v="125780"/>
    <n v="6"/>
    <s v="Yes"/>
    <x v="1"/>
    <n v="-35398"/>
  </r>
  <r>
    <n v="624"/>
    <d v="2023-01-26T23:00:00"/>
    <x v="0"/>
    <n v="4"/>
    <x v="0"/>
    <s v="Bajaj"/>
    <x v="0"/>
    <x v="0"/>
    <n v="41920"/>
    <n v="2"/>
    <n v="99319"/>
    <n v="60706"/>
    <n v="3"/>
    <s v="Yes"/>
    <x v="1"/>
    <n v="38613"/>
  </r>
  <r>
    <n v="625"/>
    <d v="2023-01-27T00:00:00"/>
    <x v="0"/>
    <n v="4"/>
    <x v="0"/>
    <s v="Hero"/>
    <x v="0"/>
    <x v="0"/>
    <n v="97743"/>
    <n v="1"/>
    <n v="36170"/>
    <n v="129981"/>
    <n v="11"/>
    <s v="No"/>
    <x v="0"/>
    <n v="-93811"/>
  </r>
  <r>
    <n v="626"/>
    <d v="2023-01-27T01:00:00"/>
    <x v="0"/>
    <n v="4"/>
    <x v="0"/>
    <s v="Hero"/>
    <x v="1"/>
    <x v="0"/>
    <n v="92052"/>
    <n v="3"/>
    <n v="144952"/>
    <n v="57817"/>
    <n v="11"/>
    <s v="No"/>
    <x v="0"/>
    <n v="87135"/>
  </r>
  <r>
    <n v="627"/>
    <d v="2023-01-27T02:00:00"/>
    <x v="0"/>
    <n v="4"/>
    <x v="0"/>
    <s v="Bajaj"/>
    <x v="0"/>
    <x v="0"/>
    <n v="35100"/>
    <n v="0"/>
    <n v="105145"/>
    <n v="79544"/>
    <n v="8"/>
    <s v="No"/>
    <x v="0"/>
    <n v="25601"/>
  </r>
  <r>
    <n v="628"/>
    <d v="2023-01-27T03:00:00"/>
    <x v="0"/>
    <n v="4"/>
    <x v="0"/>
    <s v="Hero"/>
    <x v="0"/>
    <x v="0"/>
    <n v="48785"/>
    <n v="2"/>
    <n v="130626"/>
    <n v="106434"/>
    <n v="5"/>
    <s v="Yes"/>
    <x v="0"/>
    <n v="24192"/>
  </r>
  <r>
    <n v="629"/>
    <d v="2023-01-27T04:00:00"/>
    <x v="0"/>
    <n v="4"/>
    <x v="0"/>
    <s v="Bajaj"/>
    <x v="0"/>
    <x v="0"/>
    <n v="62508"/>
    <n v="8"/>
    <n v="41208"/>
    <n v="70710"/>
    <n v="4"/>
    <s v="Yes"/>
    <x v="0"/>
    <n v="-29502"/>
  </r>
  <r>
    <n v="630"/>
    <d v="2023-01-27T05:00:00"/>
    <x v="0"/>
    <n v="4"/>
    <x v="0"/>
    <s v="Bajaj"/>
    <x v="0"/>
    <x v="2"/>
    <n v="90020"/>
    <n v="6"/>
    <n v="165111"/>
    <n v="65799"/>
    <n v="9"/>
    <s v="No"/>
    <x v="0"/>
    <n v="99312"/>
  </r>
  <r>
    <n v="631"/>
    <d v="2023-01-27T06:00:00"/>
    <x v="0"/>
    <n v="4"/>
    <x v="0"/>
    <s v="Yamaha"/>
    <x v="0"/>
    <x v="1"/>
    <n v="5667"/>
    <n v="6"/>
    <n v="39990"/>
    <n v="134586"/>
    <n v="5"/>
    <s v="Yes"/>
    <x v="1"/>
    <n v="-94596"/>
  </r>
  <r>
    <n v="632"/>
    <d v="2023-01-27T07:00:00"/>
    <x v="0"/>
    <n v="4"/>
    <x v="0"/>
    <s v="Honda"/>
    <x v="0"/>
    <x v="2"/>
    <n v="932"/>
    <n v="0"/>
    <n v="162513"/>
    <n v="75964"/>
    <n v="12"/>
    <s v="No"/>
    <x v="0"/>
    <n v="86549"/>
  </r>
  <r>
    <n v="633"/>
    <d v="2023-01-27T08:00:00"/>
    <x v="0"/>
    <n v="4"/>
    <x v="0"/>
    <s v="Bajaj"/>
    <x v="1"/>
    <x v="3"/>
    <n v="70187"/>
    <n v="6"/>
    <n v="154327"/>
    <n v="68678"/>
    <n v="14"/>
    <s v="No"/>
    <x v="0"/>
    <n v="85649"/>
  </r>
  <r>
    <n v="634"/>
    <d v="2023-01-27T09:00:00"/>
    <x v="0"/>
    <n v="4"/>
    <x v="0"/>
    <s v="TVS"/>
    <x v="0"/>
    <x v="2"/>
    <n v="72447"/>
    <n v="9"/>
    <n v="104314"/>
    <n v="86150"/>
    <n v="4"/>
    <s v="Yes"/>
    <x v="0"/>
    <n v="18164"/>
  </r>
  <r>
    <n v="635"/>
    <d v="2023-01-27T10:00:00"/>
    <x v="0"/>
    <n v="4"/>
    <x v="0"/>
    <s v="Honda"/>
    <x v="0"/>
    <x v="0"/>
    <n v="96824"/>
    <n v="6"/>
    <n v="51862"/>
    <n v="112379"/>
    <n v="8"/>
    <s v="No"/>
    <x v="0"/>
    <n v="-60517"/>
  </r>
  <r>
    <n v="636"/>
    <d v="2023-01-27T11:00:00"/>
    <x v="0"/>
    <n v="4"/>
    <x v="0"/>
    <s v="Honda"/>
    <x v="0"/>
    <x v="2"/>
    <n v="51403"/>
    <n v="3"/>
    <n v="118949"/>
    <n v="75438"/>
    <n v="8"/>
    <s v="No"/>
    <x v="0"/>
    <n v="43511"/>
  </r>
  <r>
    <n v="637"/>
    <d v="2023-01-27T12:00:00"/>
    <x v="0"/>
    <n v="4"/>
    <x v="0"/>
    <s v="Honda"/>
    <x v="0"/>
    <x v="1"/>
    <n v="92659"/>
    <n v="6"/>
    <n v="155223"/>
    <n v="124987"/>
    <n v="8"/>
    <s v="No"/>
    <x v="0"/>
    <n v="30236"/>
  </r>
  <r>
    <n v="638"/>
    <d v="2023-01-27T13:00:00"/>
    <x v="0"/>
    <n v="4"/>
    <x v="0"/>
    <s v="Yamaha"/>
    <x v="0"/>
    <x v="3"/>
    <n v="54649"/>
    <n v="7"/>
    <n v="28956"/>
    <n v="92223"/>
    <n v="4"/>
    <s v="Yes"/>
    <x v="1"/>
    <n v="-63267"/>
  </r>
  <r>
    <n v="639"/>
    <d v="2023-01-27T14:00:00"/>
    <x v="0"/>
    <n v="4"/>
    <x v="0"/>
    <s v="Bajaj"/>
    <x v="0"/>
    <x v="2"/>
    <n v="88140"/>
    <n v="2"/>
    <n v="113789"/>
    <n v="76926"/>
    <n v="13"/>
    <s v="No"/>
    <x v="0"/>
    <n v="36863"/>
  </r>
  <r>
    <n v="640"/>
    <d v="2023-01-27T15:00:00"/>
    <x v="0"/>
    <n v="4"/>
    <x v="0"/>
    <s v="Yamaha"/>
    <x v="0"/>
    <x v="1"/>
    <n v="57268"/>
    <n v="9"/>
    <n v="114451"/>
    <n v="18801"/>
    <n v="1"/>
    <s v="Yes"/>
    <x v="0"/>
    <n v="95650"/>
  </r>
  <r>
    <n v="641"/>
    <d v="2023-01-27T16:00:00"/>
    <x v="0"/>
    <n v="4"/>
    <x v="0"/>
    <s v="Bajaj"/>
    <x v="0"/>
    <x v="2"/>
    <n v="60684"/>
    <n v="1"/>
    <n v="142782"/>
    <n v="56048"/>
    <n v="2"/>
    <s v="Yes"/>
    <x v="0"/>
    <n v="86734"/>
  </r>
  <r>
    <n v="642"/>
    <d v="2023-01-27T17:00:00"/>
    <x v="0"/>
    <n v="4"/>
    <x v="0"/>
    <s v="Yamaha"/>
    <x v="0"/>
    <x v="3"/>
    <n v="66292"/>
    <n v="6"/>
    <n v="27365"/>
    <n v="55144"/>
    <n v="4"/>
    <s v="Yes"/>
    <x v="0"/>
    <n v="-27779"/>
  </r>
  <r>
    <n v="643"/>
    <d v="2023-01-27T18:00:00"/>
    <x v="0"/>
    <n v="4"/>
    <x v="0"/>
    <s v="Yamaha"/>
    <x v="0"/>
    <x v="2"/>
    <n v="33939"/>
    <n v="4"/>
    <n v="97204"/>
    <n v="109478"/>
    <n v="10"/>
    <s v="No"/>
    <x v="0"/>
    <n v="-12274"/>
  </r>
  <r>
    <n v="644"/>
    <d v="2023-01-27T19:00:00"/>
    <x v="0"/>
    <n v="4"/>
    <x v="0"/>
    <s v="TVS"/>
    <x v="0"/>
    <x v="0"/>
    <n v="33757"/>
    <n v="4"/>
    <n v="161072"/>
    <n v="25148"/>
    <n v="2"/>
    <s v="Yes"/>
    <x v="0"/>
    <n v="135924"/>
  </r>
  <r>
    <n v="645"/>
    <d v="2023-01-27T20:00:00"/>
    <x v="0"/>
    <n v="4"/>
    <x v="0"/>
    <s v="Yamaha"/>
    <x v="0"/>
    <x v="2"/>
    <n v="45174"/>
    <n v="4"/>
    <n v="82072"/>
    <n v="127364"/>
    <n v="11"/>
    <s v="No"/>
    <x v="0"/>
    <n v="-45292"/>
  </r>
  <r>
    <n v="646"/>
    <d v="2023-01-27T21:00:00"/>
    <x v="0"/>
    <n v="4"/>
    <x v="0"/>
    <s v="Hero"/>
    <x v="0"/>
    <x v="1"/>
    <n v="51748"/>
    <n v="6"/>
    <n v="77499"/>
    <n v="97819"/>
    <n v="10"/>
    <s v="No"/>
    <x v="0"/>
    <n v="-20320"/>
  </r>
  <r>
    <n v="647"/>
    <d v="2023-01-27T22:00:00"/>
    <x v="0"/>
    <n v="4"/>
    <x v="0"/>
    <s v="TVS"/>
    <x v="0"/>
    <x v="2"/>
    <n v="84102"/>
    <n v="8"/>
    <n v="94211"/>
    <n v="34861"/>
    <n v="14"/>
    <s v="No"/>
    <x v="0"/>
    <n v="59350"/>
  </r>
  <r>
    <n v="648"/>
    <d v="2023-01-27T23:00:00"/>
    <x v="0"/>
    <n v="4"/>
    <x v="0"/>
    <s v="Yamaha"/>
    <x v="0"/>
    <x v="1"/>
    <n v="45871"/>
    <n v="7"/>
    <n v="168979"/>
    <n v="115048"/>
    <n v="14"/>
    <s v="No"/>
    <x v="0"/>
    <n v="53931"/>
  </r>
  <r>
    <n v="649"/>
    <d v="2023-01-28T00:00:00"/>
    <x v="0"/>
    <n v="4"/>
    <x v="0"/>
    <s v="Honda"/>
    <x v="0"/>
    <x v="3"/>
    <n v="98782"/>
    <n v="5"/>
    <n v="173408"/>
    <n v="76717"/>
    <n v="3"/>
    <s v="Yes"/>
    <x v="0"/>
    <n v="96691"/>
  </r>
  <r>
    <n v="650"/>
    <d v="2023-01-28T01:00:00"/>
    <x v="0"/>
    <n v="4"/>
    <x v="0"/>
    <s v="Hero"/>
    <x v="0"/>
    <x v="2"/>
    <n v="68496"/>
    <n v="6"/>
    <n v="110220"/>
    <n v="37480"/>
    <n v="9"/>
    <s v="No"/>
    <x v="0"/>
    <n v="72740"/>
  </r>
  <r>
    <n v="651"/>
    <d v="2023-01-28T02:00:00"/>
    <x v="0"/>
    <n v="4"/>
    <x v="0"/>
    <s v="Hero"/>
    <x v="0"/>
    <x v="3"/>
    <n v="37797"/>
    <n v="8"/>
    <n v="118847"/>
    <n v="33637"/>
    <n v="9"/>
    <s v="No"/>
    <x v="0"/>
    <n v="85210"/>
  </r>
  <r>
    <n v="652"/>
    <d v="2023-01-28T03:00:00"/>
    <x v="0"/>
    <n v="4"/>
    <x v="0"/>
    <s v="Hero"/>
    <x v="0"/>
    <x v="3"/>
    <n v="54773"/>
    <n v="5"/>
    <n v="134459"/>
    <n v="59621"/>
    <n v="14"/>
    <s v="No"/>
    <x v="0"/>
    <n v="74838"/>
  </r>
  <r>
    <n v="653"/>
    <d v="2023-01-28T04:00:00"/>
    <x v="0"/>
    <n v="4"/>
    <x v="0"/>
    <s v="TVS"/>
    <x v="1"/>
    <x v="2"/>
    <n v="61756"/>
    <n v="0"/>
    <n v="102755"/>
    <n v="75304"/>
    <n v="11"/>
    <s v="No"/>
    <x v="0"/>
    <n v="27451"/>
  </r>
  <r>
    <n v="654"/>
    <d v="2023-01-28T05:00:00"/>
    <x v="0"/>
    <n v="4"/>
    <x v="0"/>
    <s v="Yamaha"/>
    <x v="0"/>
    <x v="1"/>
    <n v="35243"/>
    <n v="3"/>
    <n v="93783"/>
    <n v="62431"/>
    <n v="9"/>
    <s v="No"/>
    <x v="0"/>
    <n v="31352"/>
  </r>
  <r>
    <n v="655"/>
    <d v="2023-01-28T06:00:00"/>
    <x v="0"/>
    <n v="4"/>
    <x v="0"/>
    <s v="Yamaha"/>
    <x v="0"/>
    <x v="3"/>
    <n v="69252"/>
    <n v="7"/>
    <n v="152851"/>
    <n v="114937"/>
    <n v="7"/>
    <s v="Yes"/>
    <x v="0"/>
    <n v="37914"/>
  </r>
  <r>
    <n v="656"/>
    <d v="2023-01-28T07:00:00"/>
    <x v="0"/>
    <n v="4"/>
    <x v="0"/>
    <s v="Honda"/>
    <x v="0"/>
    <x v="3"/>
    <n v="80303"/>
    <n v="6"/>
    <n v="31472"/>
    <n v="103921"/>
    <n v="4"/>
    <s v="Yes"/>
    <x v="0"/>
    <n v="-72449"/>
  </r>
  <r>
    <n v="657"/>
    <d v="2023-01-28T08:00:00"/>
    <x v="0"/>
    <n v="4"/>
    <x v="0"/>
    <s v="Honda"/>
    <x v="0"/>
    <x v="2"/>
    <n v="75617"/>
    <n v="2"/>
    <n v="178452"/>
    <n v="71172"/>
    <n v="1"/>
    <s v="Yes"/>
    <x v="0"/>
    <n v="107280"/>
  </r>
  <r>
    <n v="658"/>
    <d v="2023-01-28T09:00:00"/>
    <x v="0"/>
    <n v="4"/>
    <x v="0"/>
    <s v="Hero"/>
    <x v="0"/>
    <x v="2"/>
    <n v="70551"/>
    <n v="9"/>
    <n v="128152"/>
    <n v="40437"/>
    <n v="3"/>
    <s v="Yes"/>
    <x v="0"/>
    <n v="87715"/>
  </r>
  <r>
    <n v="659"/>
    <d v="2023-01-28T10:00:00"/>
    <x v="0"/>
    <n v="4"/>
    <x v="0"/>
    <s v="Honda"/>
    <x v="0"/>
    <x v="2"/>
    <n v="22576"/>
    <n v="2"/>
    <n v="177931"/>
    <n v="23149"/>
    <n v="14"/>
    <s v="No"/>
    <x v="0"/>
    <n v="154782"/>
  </r>
  <r>
    <n v="660"/>
    <d v="2023-01-28T11:00:00"/>
    <x v="0"/>
    <n v="4"/>
    <x v="0"/>
    <s v="TVS"/>
    <x v="0"/>
    <x v="2"/>
    <n v="75812"/>
    <n v="2"/>
    <n v="164334"/>
    <n v="29671"/>
    <n v="8"/>
    <s v="No"/>
    <x v="0"/>
    <n v="134663"/>
  </r>
  <r>
    <n v="661"/>
    <d v="2023-01-28T12:00:00"/>
    <x v="0"/>
    <n v="4"/>
    <x v="0"/>
    <s v="Yamaha"/>
    <x v="0"/>
    <x v="2"/>
    <n v="87983"/>
    <n v="0"/>
    <n v="167138"/>
    <n v="118005"/>
    <n v="4"/>
    <s v="Yes"/>
    <x v="0"/>
    <n v="49133"/>
  </r>
  <r>
    <n v="662"/>
    <d v="2023-01-28T13:00:00"/>
    <x v="0"/>
    <n v="4"/>
    <x v="0"/>
    <s v="Hero"/>
    <x v="0"/>
    <x v="0"/>
    <n v="3463"/>
    <n v="9"/>
    <n v="171626"/>
    <n v="38119"/>
    <n v="10"/>
    <s v="No"/>
    <x v="0"/>
    <n v="133507"/>
  </r>
  <r>
    <n v="663"/>
    <d v="2023-01-28T14:00:00"/>
    <x v="0"/>
    <n v="4"/>
    <x v="0"/>
    <s v="Honda"/>
    <x v="0"/>
    <x v="2"/>
    <n v="72822"/>
    <n v="0"/>
    <n v="32008"/>
    <n v="61117"/>
    <n v="10"/>
    <s v="No"/>
    <x v="0"/>
    <n v="-29109"/>
  </r>
  <r>
    <n v="664"/>
    <d v="2023-01-28T15:00:00"/>
    <x v="0"/>
    <n v="4"/>
    <x v="0"/>
    <s v="TVS"/>
    <x v="1"/>
    <x v="1"/>
    <n v="14366"/>
    <n v="5"/>
    <n v="112851"/>
    <n v="114317"/>
    <n v="2"/>
    <s v="Yes"/>
    <x v="0"/>
    <n v="-1466"/>
  </r>
  <r>
    <n v="665"/>
    <d v="2023-01-28T16:00:00"/>
    <x v="0"/>
    <n v="4"/>
    <x v="0"/>
    <s v="TVS"/>
    <x v="0"/>
    <x v="3"/>
    <n v="32805"/>
    <n v="0"/>
    <n v="105799"/>
    <n v="31279"/>
    <n v="14"/>
    <s v="No"/>
    <x v="0"/>
    <n v="74520"/>
  </r>
  <r>
    <n v="666"/>
    <d v="2023-01-28T17:00:00"/>
    <x v="0"/>
    <n v="4"/>
    <x v="0"/>
    <s v="Honda"/>
    <x v="0"/>
    <x v="1"/>
    <n v="62903"/>
    <n v="4"/>
    <n v="41238"/>
    <n v="83835"/>
    <n v="8"/>
    <s v="No"/>
    <x v="0"/>
    <n v="-42597"/>
  </r>
  <r>
    <n v="667"/>
    <d v="2023-01-28T18:00:00"/>
    <x v="0"/>
    <n v="4"/>
    <x v="0"/>
    <s v="Yamaha"/>
    <x v="0"/>
    <x v="1"/>
    <n v="83396"/>
    <n v="3"/>
    <n v="42153"/>
    <n v="114810"/>
    <n v="7"/>
    <s v="Yes"/>
    <x v="0"/>
    <n v="-72657"/>
  </r>
  <r>
    <n v="668"/>
    <d v="2023-01-28T19:00:00"/>
    <x v="0"/>
    <n v="4"/>
    <x v="0"/>
    <s v="Honda"/>
    <x v="1"/>
    <x v="0"/>
    <n v="33313"/>
    <n v="4"/>
    <n v="84353"/>
    <n v="19803"/>
    <n v="11"/>
    <s v="No"/>
    <x v="0"/>
    <n v="64550"/>
  </r>
  <r>
    <n v="669"/>
    <d v="2023-01-28T20:00:00"/>
    <x v="0"/>
    <n v="4"/>
    <x v="0"/>
    <s v="Hero"/>
    <x v="0"/>
    <x v="2"/>
    <n v="67229"/>
    <n v="6"/>
    <n v="77092"/>
    <n v="97897"/>
    <n v="10"/>
    <s v="No"/>
    <x v="0"/>
    <n v="-20805"/>
  </r>
  <r>
    <n v="670"/>
    <d v="2023-01-28T21:00:00"/>
    <x v="0"/>
    <n v="4"/>
    <x v="0"/>
    <s v="Honda"/>
    <x v="0"/>
    <x v="3"/>
    <n v="61186"/>
    <n v="5"/>
    <n v="74104"/>
    <n v="75805"/>
    <n v="9"/>
    <s v="No"/>
    <x v="0"/>
    <n v="-1701"/>
  </r>
  <r>
    <n v="671"/>
    <d v="2023-01-28T22:00:00"/>
    <x v="0"/>
    <n v="4"/>
    <x v="0"/>
    <s v="TVS"/>
    <x v="0"/>
    <x v="1"/>
    <n v="5012"/>
    <n v="8"/>
    <n v="53887"/>
    <n v="33201"/>
    <n v="2"/>
    <s v="Yes"/>
    <x v="0"/>
    <n v="20686"/>
  </r>
  <r>
    <n v="672"/>
    <d v="2023-01-28T23:00:00"/>
    <x v="0"/>
    <n v="4"/>
    <x v="0"/>
    <s v="Honda"/>
    <x v="0"/>
    <x v="2"/>
    <n v="23166"/>
    <n v="5"/>
    <n v="29355"/>
    <n v="43634"/>
    <n v="5"/>
    <s v="Yes"/>
    <x v="1"/>
    <n v="-14279"/>
  </r>
  <r>
    <n v="673"/>
    <d v="2023-01-29T00:00:00"/>
    <x v="0"/>
    <n v="5"/>
    <x v="0"/>
    <s v="Yamaha"/>
    <x v="0"/>
    <x v="2"/>
    <n v="17130"/>
    <n v="8"/>
    <n v="58701"/>
    <n v="29760"/>
    <n v="6"/>
    <s v="Yes"/>
    <x v="1"/>
    <n v="28941"/>
  </r>
  <r>
    <n v="674"/>
    <d v="2023-01-29T01:00:00"/>
    <x v="0"/>
    <n v="5"/>
    <x v="0"/>
    <s v="Bajaj"/>
    <x v="0"/>
    <x v="0"/>
    <n v="75019"/>
    <n v="3"/>
    <n v="96442"/>
    <n v="25826"/>
    <n v="13"/>
    <s v="No"/>
    <x v="0"/>
    <n v="70616"/>
  </r>
  <r>
    <n v="675"/>
    <d v="2023-01-29T02:00:00"/>
    <x v="0"/>
    <n v="5"/>
    <x v="0"/>
    <s v="Honda"/>
    <x v="0"/>
    <x v="0"/>
    <n v="1136"/>
    <n v="0"/>
    <n v="37279"/>
    <n v="101821"/>
    <n v="2"/>
    <s v="Yes"/>
    <x v="0"/>
    <n v="-64542"/>
  </r>
  <r>
    <n v="676"/>
    <d v="2023-01-29T03:00:00"/>
    <x v="0"/>
    <n v="5"/>
    <x v="0"/>
    <s v="Yamaha"/>
    <x v="0"/>
    <x v="0"/>
    <n v="4275"/>
    <n v="0"/>
    <n v="145738"/>
    <n v="127125"/>
    <n v="2"/>
    <s v="Yes"/>
    <x v="0"/>
    <n v="18613"/>
  </r>
  <r>
    <n v="677"/>
    <d v="2023-01-29T04:00:00"/>
    <x v="0"/>
    <n v="5"/>
    <x v="0"/>
    <s v="Yamaha"/>
    <x v="0"/>
    <x v="3"/>
    <n v="68457"/>
    <n v="9"/>
    <n v="164333"/>
    <n v="60775"/>
    <n v="13"/>
    <s v="No"/>
    <x v="0"/>
    <n v="103558"/>
  </r>
  <r>
    <n v="678"/>
    <d v="2023-01-29T05:00:00"/>
    <x v="0"/>
    <n v="5"/>
    <x v="0"/>
    <s v="TVS"/>
    <x v="0"/>
    <x v="1"/>
    <n v="65091"/>
    <n v="6"/>
    <n v="160546"/>
    <n v="129090"/>
    <n v="14"/>
    <s v="No"/>
    <x v="1"/>
    <n v="31456"/>
  </r>
  <r>
    <n v="679"/>
    <d v="2023-01-29T06:00:00"/>
    <x v="0"/>
    <n v="5"/>
    <x v="0"/>
    <s v="Yamaha"/>
    <x v="0"/>
    <x v="0"/>
    <n v="79061"/>
    <n v="2"/>
    <n v="116414"/>
    <n v="89676"/>
    <n v="14"/>
    <s v="No"/>
    <x v="0"/>
    <n v="26738"/>
  </r>
  <r>
    <n v="680"/>
    <d v="2023-01-29T07:00:00"/>
    <x v="0"/>
    <n v="5"/>
    <x v="0"/>
    <s v="Yamaha"/>
    <x v="0"/>
    <x v="0"/>
    <n v="75316"/>
    <n v="1"/>
    <n v="53390"/>
    <n v="21798"/>
    <n v="10"/>
    <s v="No"/>
    <x v="0"/>
    <n v="31592"/>
  </r>
  <r>
    <n v="681"/>
    <d v="2023-01-29T08:00:00"/>
    <x v="0"/>
    <n v="5"/>
    <x v="0"/>
    <s v="Yamaha"/>
    <x v="0"/>
    <x v="0"/>
    <n v="11851"/>
    <n v="5"/>
    <n v="107174"/>
    <n v="130161"/>
    <n v="14"/>
    <s v="No"/>
    <x v="0"/>
    <n v="-22987"/>
  </r>
  <r>
    <n v="682"/>
    <d v="2023-01-29T09:00:00"/>
    <x v="0"/>
    <n v="5"/>
    <x v="0"/>
    <s v="Yamaha"/>
    <x v="1"/>
    <x v="1"/>
    <n v="55684"/>
    <n v="5"/>
    <n v="29787"/>
    <n v="81103"/>
    <n v="4"/>
    <s v="Yes"/>
    <x v="0"/>
    <n v="-51316"/>
  </r>
  <r>
    <n v="683"/>
    <d v="2023-01-29T10:00:00"/>
    <x v="0"/>
    <n v="5"/>
    <x v="0"/>
    <s v="Hero"/>
    <x v="0"/>
    <x v="1"/>
    <n v="96207"/>
    <n v="6"/>
    <n v="68724"/>
    <n v="92160"/>
    <n v="8"/>
    <s v="No"/>
    <x v="0"/>
    <n v="-23436"/>
  </r>
  <r>
    <n v="684"/>
    <d v="2023-01-29T11:00:00"/>
    <x v="0"/>
    <n v="5"/>
    <x v="0"/>
    <s v="Hero"/>
    <x v="0"/>
    <x v="0"/>
    <n v="69680"/>
    <n v="4"/>
    <n v="35663"/>
    <n v="92751"/>
    <n v="14"/>
    <s v="No"/>
    <x v="0"/>
    <n v="-57088"/>
  </r>
  <r>
    <n v="685"/>
    <d v="2023-01-29T12:00:00"/>
    <x v="0"/>
    <n v="5"/>
    <x v="0"/>
    <s v="TVS"/>
    <x v="0"/>
    <x v="0"/>
    <n v="82178"/>
    <n v="7"/>
    <n v="172192"/>
    <n v="88502"/>
    <n v="13"/>
    <s v="No"/>
    <x v="0"/>
    <n v="83690"/>
  </r>
  <r>
    <n v="686"/>
    <d v="2023-01-29T13:00:00"/>
    <x v="0"/>
    <n v="5"/>
    <x v="0"/>
    <s v="Honda"/>
    <x v="1"/>
    <x v="2"/>
    <n v="73809"/>
    <n v="6"/>
    <n v="178812"/>
    <n v="66410"/>
    <n v="11"/>
    <s v="No"/>
    <x v="0"/>
    <n v="112402"/>
  </r>
  <r>
    <n v="687"/>
    <d v="2023-01-29T14:00:00"/>
    <x v="0"/>
    <n v="5"/>
    <x v="0"/>
    <s v="Yamaha"/>
    <x v="0"/>
    <x v="0"/>
    <n v="94502"/>
    <n v="1"/>
    <n v="158107"/>
    <n v="55888"/>
    <n v="5"/>
    <s v="Yes"/>
    <x v="0"/>
    <n v="102219"/>
  </r>
  <r>
    <n v="688"/>
    <d v="2023-01-29T15:00:00"/>
    <x v="0"/>
    <n v="5"/>
    <x v="0"/>
    <s v="Honda"/>
    <x v="0"/>
    <x v="3"/>
    <n v="11278"/>
    <n v="0"/>
    <n v="125271"/>
    <n v="64047"/>
    <n v="9"/>
    <s v="No"/>
    <x v="0"/>
    <n v="61224"/>
  </r>
  <r>
    <n v="689"/>
    <d v="2023-01-29T16:00:00"/>
    <x v="0"/>
    <n v="5"/>
    <x v="0"/>
    <s v="Honda"/>
    <x v="0"/>
    <x v="3"/>
    <n v="13001"/>
    <n v="8"/>
    <n v="92388"/>
    <n v="110289"/>
    <n v="4"/>
    <s v="Yes"/>
    <x v="0"/>
    <n v="-17901"/>
  </r>
  <r>
    <n v="690"/>
    <d v="2023-01-29T17:00:00"/>
    <x v="0"/>
    <n v="5"/>
    <x v="0"/>
    <s v="TVS"/>
    <x v="0"/>
    <x v="0"/>
    <n v="2608"/>
    <n v="4"/>
    <n v="77335"/>
    <n v="124640"/>
    <n v="3"/>
    <s v="Yes"/>
    <x v="0"/>
    <n v="-47305"/>
  </r>
  <r>
    <n v="691"/>
    <d v="2023-01-29T18:00:00"/>
    <x v="0"/>
    <n v="5"/>
    <x v="0"/>
    <s v="Yamaha"/>
    <x v="0"/>
    <x v="1"/>
    <n v="95405"/>
    <n v="4"/>
    <n v="68315"/>
    <n v="117614"/>
    <n v="10"/>
    <s v="No"/>
    <x v="0"/>
    <n v="-49299"/>
  </r>
  <r>
    <n v="692"/>
    <d v="2023-01-29T19:00:00"/>
    <x v="0"/>
    <n v="5"/>
    <x v="0"/>
    <s v="Yamaha"/>
    <x v="0"/>
    <x v="2"/>
    <n v="36882"/>
    <n v="9"/>
    <n v="129922"/>
    <n v="60955"/>
    <n v="8"/>
    <s v="No"/>
    <x v="0"/>
    <n v="68967"/>
  </r>
  <r>
    <n v="693"/>
    <d v="2023-01-29T20:00:00"/>
    <x v="0"/>
    <n v="5"/>
    <x v="0"/>
    <s v="Bajaj"/>
    <x v="0"/>
    <x v="1"/>
    <n v="91854"/>
    <n v="3"/>
    <n v="71627"/>
    <n v="127393"/>
    <n v="1"/>
    <s v="Yes"/>
    <x v="0"/>
    <n v="-55766"/>
  </r>
  <r>
    <n v="694"/>
    <d v="2023-01-29T21:00:00"/>
    <x v="0"/>
    <n v="5"/>
    <x v="0"/>
    <s v="Honda"/>
    <x v="1"/>
    <x v="0"/>
    <n v="76287"/>
    <n v="1"/>
    <n v="164375"/>
    <n v="16982"/>
    <n v="9"/>
    <s v="No"/>
    <x v="1"/>
    <n v="147393"/>
  </r>
  <r>
    <n v="695"/>
    <d v="2023-01-29T22:00:00"/>
    <x v="0"/>
    <n v="5"/>
    <x v="0"/>
    <s v="Honda"/>
    <x v="0"/>
    <x v="3"/>
    <n v="23841"/>
    <n v="4"/>
    <n v="74334"/>
    <n v="48864"/>
    <n v="4"/>
    <s v="Yes"/>
    <x v="0"/>
    <n v="25470"/>
  </r>
  <r>
    <n v="696"/>
    <d v="2023-01-29T23:00:00"/>
    <x v="0"/>
    <n v="5"/>
    <x v="0"/>
    <s v="Hero"/>
    <x v="0"/>
    <x v="2"/>
    <n v="77714"/>
    <n v="1"/>
    <n v="90700"/>
    <n v="136298"/>
    <n v="11"/>
    <s v="No"/>
    <x v="1"/>
    <n v="-45598"/>
  </r>
  <r>
    <n v="697"/>
    <d v="2023-01-30T00:00:00"/>
    <x v="0"/>
    <n v="5"/>
    <x v="0"/>
    <s v="Bajaj"/>
    <x v="0"/>
    <x v="1"/>
    <n v="14867"/>
    <n v="6"/>
    <n v="64726"/>
    <n v="94118"/>
    <n v="9"/>
    <s v="No"/>
    <x v="0"/>
    <n v="-29392"/>
  </r>
  <r>
    <n v="698"/>
    <d v="2023-01-30T01:00:00"/>
    <x v="0"/>
    <n v="5"/>
    <x v="0"/>
    <s v="Hero"/>
    <x v="0"/>
    <x v="1"/>
    <n v="95708"/>
    <n v="8"/>
    <n v="55694"/>
    <n v="100490"/>
    <n v="8"/>
    <s v="No"/>
    <x v="0"/>
    <n v="-44796"/>
  </r>
  <r>
    <n v="699"/>
    <d v="2023-01-30T02:00:00"/>
    <x v="0"/>
    <n v="5"/>
    <x v="0"/>
    <s v="Hero"/>
    <x v="0"/>
    <x v="0"/>
    <n v="70368"/>
    <n v="8"/>
    <n v="88545"/>
    <n v="54265"/>
    <n v="3"/>
    <s v="Yes"/>
    <x v="0"/>
    <n v="34280"/>
  </r>
  <r>
    <n v="700"/>
    <d v="2023-01-30T03:00:00"/>
    <x v="0"/>
    <n v="5"/>
    <x v="0"/>
    <s v="Hero"/>
    <x v="0"/>
    <x v="2"/>
    <n v="12502"/>
    <n v="5"/>
    <n v="172997"/>
    <n v="61313"/>
    <n v="3"/>
    <s v="Yes"/>
    <x v="0"/>
    <n v="111684"/>
  </r>
  <r>
    <n v="701"/>
    <d v="2023-01-30T04:00:00"/>
    <x v="0"/>
    <n v="5"/>
    <x v="0"/>
    <s v="TVS"/>
    <x v="0"/>
    <x v="3"/>
    <n v="86320"/>
    <n v="0"/>
    <n v="31033"/>
    <n v="59350"/>
    <n v="14"/>
    <s v="No"/>
    <x v="0"/>
    <n v="-28317"/>
  </r>
  <r>
    <n v="702"/>
    <d v="2023-01-30T05:00:00"/>
    <x v="0"/>
    <n v="5"/>
    <x v="0"/>
    <s v="TVS"/>
    <x v="1"/>
    <x v="0"/>
    <n v="60449"/>
    <n v="5"/>
    <n v="87461"/>
    <n v="30378"/>
    <n v="9"/>
    <s v="No"/>
    <x v="0"/>
    <n v="57083"/>
  </r>
  <r>
    <n v="703"/>
    <d v="2023-01-30T06:00:00"/>
    <x v="0"/>
    <n v="5"/>
    <x v="0"/>
    <s v="Hero"/>
    <x v="1"/>
    <x v="2"/>
    <n v="16200"/>
    <n v="4"/>
    <n v="27665"/>
    <n v="124168"/>
    <n v="3"/>
    <s v="Yes"/>
    <x v="0"/>
    <n v="-96503"/>
  </r>
  <r>
    <n v="704"/>
    <d v="2023-01-30T07:00:00"/>
    <x v="0"/>
    <n v="5"/>
    <x v="0"/>
    <s v="Bajaj"/>
    <x v="0"/>
    <x v="1"/>
    <n v="79805"/>
    <n v="3"/>
    <n v="52025"/>
    <n v="133334"/>
    <n v="4"/>
    <s v="Yes"/>
    <x v="0"/>
    <n v="-81309"/>
  </r>
  <r>
    <n v="705"/>
    <d v="2023-01-30T08:00:00"/>
    <x v="0"/>
    <n v="5"/>
    <x v="0"/>
    <s v="Honda"/>
    <x v="0"/>
    <x v="0"/>
    <n v="63043"/>
    <n v="5"/>
    <n v="179605"/>
    <n v="132107"/>
    <n v="9"/>
    <s v="No"/>
    <x v="0"/>
    <n v="47498"/>
  </r>
  <r>
    <n v="706"/>
    <d v="2023-01-30T09:00:00"/>
    <x v="0"/>
    <n v="5"/>
    <x v="0"/>
    <s v="Bajaj"/>
    <x v="1"/>
    <x v="1"/>
    <n v="29818"/>
    <n v="5"/>
    <n v="102661"/>
    <n v="84815"/>
    <n v="12"/>
    <s v="No"/>
    <x v="0"/>
    <n v="17846"/>
  </r>
  <r>
    <n v="707"/>
    <d v="2023-01-30T10:00:00"/>
    <x v="0"/>
    <n v="5"/>
    <x v="0"/>
    <s v="Yamaha"/>
    <x v="0"/>
    <x v="1"/>
    <n v="90359"/>
    <n v="5"/>
    <n v="145473"/>
    <n v="42924"/>
    <n v="4"/>
    <s v="Yes"/>
    <x v="0"/>
    <n v="102549"/>
  </r>
  <r>
    <n v="708"/>
    <d v="2023-01-30T11:00:00"/>
    <x v="0"/>
    <n v="5"/>
    <x v="0"/>
    <s v="TVS"/>
    <x v="1"/>
    <x v="0"/>
    <n v="28110"/>
    <n v="1"/>
    <n v="45998"/>
    <n v="97593"/>
    <n v="11"/>
    <s v="No"/>
    <x v="0"/>
    <n v="-51595"/>
  </r>
  <r>
    <n v="709"/>
    <d v="2023-01-30T12:00:00"/>
    <x v="0"/>
    <n v="5"/>
    <x v="0"/>
    <s v="Honda"/>
    <x v="0"/>
    <x v="0"/>
    <n v="72999"/>
    <n v="6"/>
    <n v="86248"/>
    <n v="132490"/>
    <n v="3"/>
    <s v="Yes"/>
    <x v="0"/>
    <n v="-46242"/>
  </r>
  <r>
    <n v="710"/>
    <d v="2023-01-30T13:00:00"/>
    <x v="0"/>
    <n v="5"/>
    <x v="0"/>
    <s v="Honda"/>
    <x v="0"/>
    <x v="0"/>
    <n v="73874"/>
    <n v="3"/>
    <n v="129493"/>
    <n v="22312"/>
    <n v="14"/>
    <s v="No"/>
    <x v="1"/>
    <n v="107181"/>
  </r>
  <r>
    <n v="711"/>
    <d v="2023-01-30T14:00:00"/>
    <x v="0"/>
    <n v="5"/>
    <x v="0"/>
    <s v="Yamaha"/>
    <x v="0"/>
    <x v="0"/>
    <n v="65726"/>
    <n v="8"/>
    <n v="48057"/>
    <n v="45353"/>
    <n v="7"/>
    <s v="Yes"/>
    <x v="0"/>
    <n v="2704"/>
  </r>
  <r>
    <n v="712"/>
    <d v="2023-01-30T15:00:00"/>
    <x v="0"/>
    <n v="5"/>
    <x v="0"/>
    <s v="Yamaha"/>
    <x v="0"/>
    <x v="0"/>
    <n v="45667"/>
    <n v="9"/>
    <n v="104244"/>
    <n v="128744"/>
    <n v="6"/>
    <s v="Yes"/>
    <x v="0"/>
    <n v="-24500"/>
  </r>
  <r>
    <n v="713"/>
    <d v="2023-01-30T16:00:00"/>
    <x v="0"/>
    <n v="5"/>
    <x v="0"/>
    <s v="Hero"/>
    <x v="0"/>
    <x v="1"/>
    <n v="78279"/>
    <n v="1"/>
    <n v="122031"/>
    <n v="115673"/>
    <n v="1"/>
    <s v="Yes"/>
    <x v="0"/>
    <n v="6358"/>
  </r>
  <r>
    <n v="714"/>
    <d v="2023-01-30T17:00:00"/>
    <x v="0"/>
    <n v="5"/>
    <x v="0"/>
    <s v="TVS"/>
    <x v="0"/>
    <x v="3"/>
    <n v="28439"/>
    <n v="4"/>
    <n v="137713"/>
    <n v="101450"/>
    <n v="14"/>
    <s v="No"/>
    <x v="0"/>
    <n v="36263"/>
  </r>
  <r>
    <n v="715"/>
    <d v="2023-01-30T18:00:00"/>
    <x v="0"/>
    <n v="5"/>
    <x v="0"/>
    <s v="TVS"/>
    <x v="0"/>
    <x v="3"/>
    <n v="61865"/>
    <n v="3"/>
    <n v="130887"/>
    <n v="31192"/>
    <n v="10"/>
    <s v="No"/>
    <x v="0"/>
    <n v="99695"/>
  </r>
  <r>
    <n v="716"/>
    <d v="2023-01-30T19:00:00"/>
    <x v="0"/>
    <n v="5"/>
    <x v="0"/>
    <s v="Bajaj"/>
    <x v="0"/>
    <x v="0"/>
    <n v="67881"/>
    <n v="8"/>
    <n v="92173"/>
    <n v="32450"/>
    <n v="8"/>
    <s v="No"/>
    <x v="0"/>
    <n v="59723"/>
  </r>
  <r>
    <n v="717"/>
    <d v="2023-01-30T20:00:00"/>
    <x v="0"/>
    <n v="5"/>
    <x v="0"/>
    <s v="Hero"/>
    <x v="0"/>
    <x v="1"/>
    <n v="47210"/>
    <n v="3"/>
    <n v="63734"/>
    <n v="20432"/>
    <n v="1"/>
    <s v="Yes"/>
    <x v="0"/>
    <n v="43302"/>
  </r>
  <r>
    <n v="718"/>
    <d v="2023-01-30T21:00:00"/>
    <x v="0"/>
    <n v="5"/>
    <x v="0"/>
    <s v="Hero"/>
    <x v="1"/>
    <x v="3"/>
    <n v="17266"/>
    <n v="7"/>
    <n v="87072"/>
    <n v="72225"/>
    <n v="4"/>
    <s v="Yes"/>
    <x v="0"/>
    <n v="14847"/>
  </r>
  <r>
    <n v="719"/>
    <d v="2023-01-30T22:00:00"/>
    <x v="0"/>
    <n v="5"/>
    <x v="0"/>
    <s v="Hero"/>
    <x v="0"/>
    <x v="3"/>
    <n v="13280"/>
    <n v="7"/>
    <n v="119194"/>
    <n v="111548"/>
    <n v="6"/>
    <s v="Yes"/>
    <x v="0"/>
    <n v="7646"/>
  </r>
  <r>
    <n v="720"/>
    <d v="2023-01-30T23:00:00"/>
    <x v="0"/>
    <n v="5"/>
    <x v="0"/>
    <s v="Hero"/>
    <x v="0"/>
    <x v="3"/>
    <n v="48958"/>
    <n v="5"/>
    <n v="164741"/>
    <n v="113991"/>
    <n v="6"/>
    <s v="Yes"/>
    <x v="1"/>
    <n v="50750"/>
  </r>
  <r>
    <n v="721"/>
    <d v="2023-01-31T00:00:00"/>
    <x v="0"/>
    <n v="5"/>
    <x v="0"/>
    <s v="TVS"/>
    <x v="0"/>
    <x v="1"/>
    <n v="56721"/>
    <n v="5"/>
    <n v="138272"/>
    <n v="93711"/>
    <n v="7"/>
    <s v="Yes"/>
    <x v="0"/>
    <n v="44561"/>
  </r>
  <r>
    <n v="722"/>
    <d v="2023-01-31T01:00:00"/>
    <x v="0"/>
    <n v="5"/>
    <x v="0"/>
    <s v="TVS"/>
    <x v="0"/>
    <x v="0"/>
    <n v="2009"/>
    <n v="7"/>
    <n v="92902"/>
    <n v="80604"/>
    <n v="14"/>
    <s v="No"/>
    <x v="0"/>
    <n v="12298"/>
  </r>
  <r>
    <n v="723"/>
    <d v="2023-01-31T02:00:00"/>
    <x v="0"/>
    <n v="5"/>
    <x v="0"/>
    <s v="Hero"/>
    <x v="1"/>
    <x v="0"/>
    <n v="89993"/>
    <n v="9"/>
    <n v="147247"/>
    <n v="25295"/>
    <n v="11"/>
    <s v="No"/>
    <x v="0"/>
    <n v="121952"/>
  </r>
  <r>
    <n v="724"/>
    <d v="2023-01-31T03:00:00"/>
    <x v="0"/>
    <n v="5"/>
    <x v="0"/>
    <s v="Bajaj"/>
    <x v="0"/>
    <x v="0"/>
    <n v="34846"/>
    <n v="8"/>
    <n v="174982"/>
    <n v="21774"/>
    <n v="12"/>
    <s v="No"/>
    <x v="0"/>
    <n v="153208"/>
  </r>
  <r>
    <n v="725"/>
    <d v="2023-01-31T04:00:00"/>
    <x v="0"/>
    <n v="5"/>
    <x v="0"/>
    <s v="Honda"/>
    <x v="0"/>
    <x v="2"/>
    <n v="83299"/>
    <n v="4"/>
    <n v="81959"/>
    <n v="130107"/>
    <n v="14"/>
    <s v="No"/>
    <x v="1"/>
    <n v="-48148"/>
  </r>
  <r>
    <n v="726"/>
    <d v="2023-01-31T05:00:00"/>
    <x v="0"/>
    <n v="5"/>
    <x v="0"/>
    <s v="Honda"/>
    <x v="0"/>
    <x v="2"/>
    <n v="47374"/>
    <n v="0"/>
    <n v="121623"/>
    <n v="27190"/>
    <n v="5"/>
    <s v="Yes"/>
    <x v="0"/>
    <n v="94433"/>
  </r>
  <r>
    <n v="727"/>
    <d v="2023-01-31T06:00:00"/>
    <x v="0"/>
    <n v="5"/>
    <x v="0"/>
    <s v="Bajaj"/>
    <x v="0"/>
    <x v="2"/>
    <n v="26648"/>
    <n v="0"/>
    <n v="156438"/>
    <n v="46286"/>
    <n v="5"/>
    <s v="Yes"/>
    <x v="0"/>
    <n v="110152"/>
  </r>
  <r>
    <n v="728"/>
    <d v="2023-01-31T07:00:00"/>
    <x v="0"/>
    <n v="5"/>
    <x v="0"/>
    <s v="Hero"/>
    <x v="0"/>
    <x v="1"/>
    <n v="32033"/>
    <n v="1"/>
    <n v="73415"/>
    <n v="91325"/>
    <n v="4"/>
    <s v="Yes"/>
    <x v="0"/>
    <n v="-17910"/>
  </r>
  <r>
    <n v="729"/>
    <d v="2023-01-31T08:00:00"/>
    <x v="0"/>
    <n v="5"/>
    <x v="0"/>
    <s v="TVS"/>
    <x v="1"/>
    <x v="3"/>
    <n v="78967"/>
    <n v="9"/>
    <n v="149716"/>
    <n v="109450"/>
    <n v="6"/>
    <s v="Yes"/>
    <x v="0"/>
    <n v="40266"/>
  </r>
  <r>
    <n v="730"/>
    <d v="2023-01-31T09:00:00"/>
    <x v="0"/>
    <n v="5"/>
    <x v="0"/>
    <s v="Honda"/>
    <x v="0"/>
    <x v="3"/>
    <n v="1859"/>
    <n v="9"/>
    <n v="146209"/>
    <n v="112480"/>
    <n v="7"/>
    <s v="Yes"/>
    <x v="0"/>
    <n v="33729"/>
  </r>
  <r>
    <n v="731"/>
    <d v="2023-01-31T10:00:00"/>
    <x v="0"/>
    <n v="5"/>
    <x v="0"/>
    <s v="Yamaha"/>
    <x v="0"/>
    <x v="1"/>
    <n v="90568"/>
    <n v="4"/>
    <n v="34907"/>
    <n v="87427"/>
    <n v="10"/>
    <s v="No"/>
    <x v="0"/>
    <n v="-52520"/>
  </r>
  <r>
    <n v="732"/>
    <d v="2023-01-31T11:00:00"/>
    <x v="0"/>
    <n v="5"/>
    <x v="0"/>
    <s v="Yamaha"/>
    <x v="0"/>
    <x v="1"/>
    <n v="60813"/>
    <n v="3"/>
    <n v="120825"/>
    <n v="102513"/>
    <n v="10"/>
    <s v="No"/>
    <x v="0"/>
    <n v="18312"/>
  </r>
  <r>
    <n v="733"/>
    <d v="2023-01-31T12:00:00"/>
    <x v="0"/>
    <n v="5"/>
    <x v="0"/>
    <s v="Bajaj"/>
    <x v="0"/>
    <x v="0"/>
    <n v="20844"/>
    <n v="0"/>
    <n v="57780"/>
    <n v="79014"/>
    <n v="1"/>
    <s v="Yes"/>
    <x v="0"/>
    <n v="-21234"/>
  </r>
  <r>
    <n v="734"/>
    <d v="2023-01-31T13:00:00"/>
    <x v="0"/>
    <n v="5"/>
    <x v="0"/>
    <s v="Hero"/>
    <x v="0"/>
    <x v="0"/>
    <n v="70278"/>
    <n v="3"/>
    <n v="60085"/>
    <n v="110887"/>
    <n v="9"/>
    <s v="No"/>
    <x v="0"/>
    <n v="-50802"/>
  </r>
  <r>
    <n v="735"/>
    <d v="2023-01-31T14:00:00"/>
    <x v="0"/>
    <n v="5"/>
    <x v="0"/>
    <s v="Honda"/>
    <x v="0"/>
    <x v="2"/>
    <n v="21101"/>
    <n v="3"/>
    <n v="45426"/>
    <n v="90852"/>
    <n v="14"/>
    <s v="No"/>
    <x v="0"/>
    <n v="-45426"/>
  </r>
  <r>
    <n v="736"/>
    <d v="2023-01-31T15:00:00"/>
    <x v="0"/>
    <n v="5"/>
    <x v="0"/>
    <s v="Hero"/>
    <x v="0"/>
    <x v="2"/>
    <n v="19616"/>
    <n v="9"/>
    <n v="32485"/>
    <n v="70256"/>
    <n v="8"/>
    <s v="No"/>
    <x v="0"/>
    <n v="-37771"/>
  </r>
  <r>
    <n v="737"/>
    <d v="2023-01-31T16:00:00"/>
    <x v="0"/>
    <n v="5"/>
    <x v="0"/>
    <s v="Honda"/>
    <x v="0"/>
    <x v="1"/>
    <n v="57485"/>
    <n v="3"/>
    <n v="74527"/>
    <n v="133580"/>
    <n v="7"/>
    <s v="Yes"/>
    <x v="0"/>
    <n v="-59053"/>
  </r>
  <r>
    <n v="738"/>
    <d v="2023-01-31T17:00:00"/>
    <x v="0"/>
    <n v="5"/>
    <x v="0"/>
    <s v="Bajaj"/>
    <x v="0"/>
    <x v="2"/>
    <n v="31282"/>
    <n v="0"/>
    <n v="149604"/>
    <n v="113743"/>
    <n v="9"/>
    <s v="No"/>
    <x v="1"/>
    <n v="35861"/>
  </r>
  <r>
    <n v="739"/>
    <d v="2023-01-31T18:00:00"/>
    <x v="0"/>
    <n v="5"/>
    <x v="0"/>
    <s v="Bajaj"/>
    <x v="0"/>
    <x v="3"/>
    <n v="50319"/>
    <n v="8"/>
    <n v="116005"/>
    <n v="73630"/>
    <n v="3"/>
    <s v="Yes"/>
    <x v="0"/>
    <n v="42375"/>
  </r>
  <r>
    <n v="740"/>
    <d v="2023-01-31T19:00:00"/>
    <x v="0"/>
    <n v="5"/>
    <x v="0"/>
    <s v="Yamaha"/>
    <x v="0"/>
    <x v="1"/>
    <n v="84916"/>
    <n v="2"/>
    <n v="83528"/>
    <n v="130896"/>
    <n v="10"/>
    <s v="No"/>
    <x v="1"/>
    <n v="-47368"/>
  </r>
  <r>
    <n v="741"/>
    <d v="2023-01-31T20:00:00"/>
    <x v="0"/>
    <n v="5"/>
    <x v="0"/>
    <s v="Hero"/>
    <x v="0"/>
    <x v="1"/>
    <n v="69535"/>
    <n v="3"/>
    <n v="145631"/>
    <n v="106190"/>
    <n v="4"/>
    <s v="Yes"/>
    <x v="0"/>
    <n v="39441"/>
  </r>
  <r>
    <n v="742"/>
    <d v="2023-01-31T21:00:00"/>
    <x v="0"/>
    <n v="5"/>
    <x v="0"/>
    <s v="Yamaha"/>
    <x v="1"/>
    <x v="3"/>
    <n v="97623"/>
    <n v="4"/>
    <n v="52799"/>
    <n v="77771"/>
    <n v="7"/>
    <s v="Yes"/>
    <x v="0"/>
    <n v="-24972"/>
  </r>
  <r>
    <n v="743"/>
    <d v="2023-01-31T22:00:00"/>
    <x v="0"/>
    <n v="5"/>
    <x v="0"/>
    <s v="Hero"/>
    <x v="0"/>
    <x v="0"/>
    <n v="44958"/>
    <n v="6"/>
    <n v="172159"/>
    <n v="66715"/>
    <n v="6"/>
    <s v="Yes"/>
    <x v="0"/>
    <n v="105444"/>
  </r>
  <r>
    <n v="744"/>
    <d v="2023-01-31T23:00:00"/>
    <x v="0"/>
    <n v="5"/>
    <x v="0"/>
    <s v="Yamaha"/>
    <x v="0"/>
    <x v="0"/>
    <n v="92056"/>
    <n v="5"/>
    <n v="163518"/>
    <n v="22466"/>
    <n v="14"/>
    <s v="No"/>
    <x v="0"/>
    <n v="141052"/>
  </r>
  <r>
    <n v="745"/>
    <d v="2023-02-01T00:00:00"/>
    <x v="1"/>
    <n v="5"/>
    <x v="0"/>
    <s v="TVS"/>
    <x v="0"/>
    <x v="3"/>
    <n v="8580"/>
    <n v="4"/>
    <n v="119817"/>
    <n v="32637"/>
    <n v="13"/>
    <s v="No"/>
    <x v="0"/>
    <n v="87180"/>
  </r>
  <r>
    <n v="746"/>
    <d v="2023-02-01T01:00:00"/>
    <x v="1"/>
    <n v="5"/>
    <x v="0"/>
    <s v="TVS"/>
    <x v="0"/>
    <x v="3"/>
    <n v="89243"/>
    <n v="7"/>
    <n v="83260"/>
    <n v="83745"/>
    <n v="2"/>
    <s v="Yes"/>
    <x v="0"/>
    <n v="-485"/>
  </r>
  <r>
    <n v="747"/>
    <d v="2023-02-01T02:00:00"/>
    <x v="1"/>
    <n v="5"/>
    <x v="0"/>
    <s v="TVS"/>
    <x v="0"/>
    <x v="2"/>
    <n v="34457"/>
    <n v="0"/>
    <n v="170949"/>
    <n v="51317"/>
    <n v="2"/>
    <s v="Yes"/>
    <x v="0"/>
    <n v="119632"/>
  </r>
  <r>
    <n v="748"/>
    <d v="2023-02-01T03:00:00"/>
    <x v="1"/>
    <n v="5"/>
    <x v="0"/>
    <s v="TVS"/>
    <x v="0"/>
    <x v="1"/>
    <n v="14408"/>
    <n v="6"/>
    <n v="37943"/>
    <n v="64766"/>
    <n v="10"/>
    <s v="No"/>
    <x v="0"/>
    <n v="-26823"/>
  </r>
  <r>
    <n v="749"/>
    <d v="2023-02-01T04:00:00"/>
    <x v="1"/>
    <n v="5"/>
    <x v="0"/>
    <s v="Honda"/>
    <x v="0"/>
    <x v="2"/>
    <n v="96688"/>
    <n v="5"/>
    <n v="166378"/>
    <n v="18078"/>
    <n v="7"/>
    <s v="Yes"/>
    <x v="0"/>
    <n v="148300"/>
  </r>
  <r>
    <n v="750"/>
    <d v="2023-02-01T05:00:00"/>
    <x v="1"/>
    <n v="5"/>
    <x v="0"/>
    <s v="TVS"/>
    <x v="0"/>
    <x v="3"/>
    <n v="96380"/>
    <n v="4"/>
    <n v="146401"/>
    <n v="42299"/>
    <n v="9"/>
    <s v="No"/>
    <x v="0"/>
    <n v="104102"/>
  </r>
  <r>
    <n v="751"/>
    <d v="2023-02-01T06:00:00"/>
    <x v="1"/>
    <n v="5"/>
    <x v="0"/>
    <s v="Bajaj"/>
    <x v="0"/>
    <x v="2"/>
    <n v="91070"/>
    <n v="6"/>
    <n v="176527"/>
    <n v="116794"/>
    <n v="11"/>
    <s v="No"/>
    <x v="0"/>
    <n v="59733"/>
  </r>
  <r>
    <n v="752"/>
    <d v="2023-02-01T07:00:00"/>
    <x v="1"/>
    <n v="5"/>
    <x v="0"/>
    <s v="Bajaj"/>
    <x v="0"/>
    <x v="3"/>
    <n v="91824"/>
    <n v="2"/>
    <n v="52371"/>
    <n v="18543"/>
    <n v="12"/>
    <s v="No"/>
    <x v="0"/>
    <n v="33828"/>
  </r>
  <r>
    <n v="753"/>
    <d v="2023-02-01T08:00:00"/>
    <x v="1"/>
    <n v="5"/>
    <x v="0"/>
    <s v="Honda"/>
    <x v="0"/>
    <x v="2"/>
    <n v="78787"/>
    <n v="0"/>
    <n v="123746"/>
    <n v="137790"/>
    <n v="9"/>
    <s v="No"/>
    <x v="0"/>
    <n v="-14044"/>
  </r>
  <r>
    <n v="754"/>
    <d v="2023-02-01T09:00:00"/>
    <x v="1"/>
    <n v="5"/>
    <x v="0"/>
    <s v="TVS"/>
    <x v="0"/>
    <x v="2"/>
    <n v="47982"/>
    <n v="8"/>
    <n v="126248"/>
    <n v="109627"/>
    <n v="7"/>
    <s v="Yes"/>
    <x v="1"/>
    <n v="16621"/>
  </r>
  <r>
    <n v="755"/>
    <d v="2023-02-01T10:00:00"/>
    <x v="1"/>
    <n v="5"/>
    <x v="0"/>
    <s v="TVS"/>
    <x v="1"/>
    <x v="0"/>
    <n v="99829"/>
    <n v="1"/>
    <n v="160008"/>
    <n v="66052"/>
    <n v="11"/>
    <s v="No"/>
    <x v="1"/>
    <n v="93956"/>
  </r>
  <r>
    <n v="756"/>
    <d v="2023-02-01T11:00:00"/>
    <x v="1"/>
    <n v="5"/>
    <x v="0"/>
    <s v="TVS"/>
    <x v="0"/>
    <x v="3"/>
    <n v="98875"/>
    <n v="9"/>
    <n v="50727"/>
    <n v="109483"/>
    <n v="8"/>
    <s v="No"/>
    <x v="0"/>
    <n v="-58756"/>
  </r>
  <r>
    <n v="757"/>
    <d v="2023-02-01T12:00:00"/>
    <x v="1"/>
    <n v="5"/>
    <x v="0"/>
    <s v="Yamaha"/>
    <x v="0"/>
    <x v="2"/>
    <n v="38814"/>
    <n v="2"/>
    <n v="139000"/>
    <n v="37064"/>
    <n v="10"/>
    <s v="No"/>
    <x v="0"/>
    <n v="101936"/>
  </r>
  <r>
    <n v="758"/>
    <d v="2023-02-01T13:00:00"/>
    <x v="1"/>
    <n v="5"/>
    <x v="0"/>
    <s v="Hero"/>
    <x v="0"/>
    <x v="1"/>
    <n v="75421"/>
    <n v="7"/>
    <n v="88969"/>
    <n v="87287"/>
    <n v="3"/>
    <s v="Yes"/>
    <x v="0"/>
    <n v="1682"/>
  </r>
  <r>
    <n v="759"/>
    <d v="2023-02-01T14:00:00"/>
    <x v="1"/>
    <n v="5"/>
    <x v="0"/>
    <s v="Yamaha"/>
    <x v="1"/>
    <x v="2"/>
    <n v="84268"/>
    <n v="9"/>
    <n v="93531"/>
    <n v="95442"/>
    <n v="1"/>
    <s v="Yes"/>
    <x v="0"/>
    <n v="-1911"/>
  </r>
  <r>
    <n v="760"/>
    <d v="2023-02-01T15:00:00"/>
    <x v="1"/>
    <n v="5"/>
    <x v="0"/>
    <s v="Hero"/>
    <x v="0"/>
    <x v="2"/>
    <n v="16331"/>
    <n v="8"/>
    <n v="64097"/>
    <n v="135550"/>
    <n v="7"/>
    <s v="Yes"/>
    <x v="0"/>
    <n v="-71453"/>
  </r>
  <r>
    <n v="761"/>
    <d v="2023-02-01T16:00:00"/>
    <x v="1"/>
    <n v="5"/>
    <x v="0"/>
    <s v="TVS"/>
    <x v="0"/>
    <x v="1"/>
    <n v="20625"/>
    <n v="2"/>
    <n v="75859"/>
    <n v="98632"/>
    <n v="8"/>
    <s v="No"/>
    <x v="1"/>
    <n v="-22773"/>
  </r>
  <r>
    <n v="762"/>
    <d v="2023-02-01T17:00:00"/>
    <x v="1"/>
    <n v="5"/>
    <x v="0"/>
    <s v="TVS"/>
    <x v="0"/>
    <x v="3"/>
    <n v="62951"/>
    <n v="5"/>
    <n v="178222"/>
    <n v="29425"/>
    <n v="2"/>
    <s v="Yes"/>
    <x v="0"/>
    <n v="148797"/>
  </r>
  <r>
    <n v="763"/>
    <d v="2023-02-01T18:00:00"/>
    <x v="1"/>
    <n v="5"/>
    <x v="0"/>
    <s v="Yamaha"/>
    <x v="0"/>
    <x v="0"/>
    <n v="46208"/>
    <n v="6"/>
    <n v="178133"/>
    <n v="66481"/>
    <n v="9"/>
    <s v="No"/>
    <x v="0"/>
    <n v="111652"/>
  </r>
  <r>
    <n v="764"/>
    <d v="2023-02-01T19:00:00"/>
    <x v="1"/>
    <n v="5"/>
    <x v="0"/>
    <s v="Yamaha"/>
    <x v="0"/>
    <x v="0"/>
    <n v="18182"/>
    <n v="0"/>
    <n v="81790"/>
    <n v="92347"/>
    <n v="4"/>
    <s v="Yes"/>
    <x v="0"/>
    <n v="-10557"/>
  </r>
  <r>
    <n v="765"/>
    <d v="2023-02-01T20:00:00"/>
    <x v="1"/>
    <n v="5"/>
    <x v="0"/>
    <s v="Hero"/>
    <x v="0"/>
    <x v="0"/>
    <n v="83324"/>
    <n v="6"/>
    <n v="90696"/>
    <n v="98114"/>
    <n v="10"/>
    <s v="No"/>
    <x v="0"/>
    <n v="-7418"/>
  </r>
  <r>
    <n v="766"/>
    <d v="2023-02-01T21:00:00"/>
    <x v="1"/>
    <n v="5"/>
    <x v="0"/>
    <s v="Bajaj"/>
    <x v="0"/>
    <x v="1"/>
    <n v="36294"/>
    <n v="3"/>
    <n v="40648"/>
    <n v="87317"/>
    <n v="11"/>
    <s v="No"/>
    <x v="0"/>
    <n v="-46669"/>
  </r>
  <r>
    <n v="767"/>
    <d v="2023-02-01T22:00:00"/>
    <x v="1"/>
    <n v="5"/>
    <x v="0"/>
    <s v="Hero"/>
    <x v="0"/>
    <x v="2"/>
    <n v="59872"/>
    <n v="4"/>
    <n v="86779"/>
    <n v="137850"/>
    <n v="9"/>
    <s v="No"/>
    <x v="0"/>
    <n v="-51071"/>
  </r>
  <r>
    <n v="768"/>
    <d v="2023-02-01T23:00:00"/>
    <x v="1"/>
    <n v="5"/>
    <x v="0"/>
    <s v="Yamaha"/>
    <x v="1"/>
    <x v="3"/>
    <n v="39977"/>
    <n v="7"/>
    <n v="131371"/>
    <n v="101826"/>
    <n v="13"/>
    <s v="No"/>
    <x v="0"/>
    <n v="29545"/>
  </r>
  <r>
    <n v="769"/>
    <d v="2023-02-02T00:00:00"/>
    <x v="1"/>
    <n v="5"/>
    <x v="0"/>
    <s v="Yamaha"/>
    <x v="0"/>
    <x v="2"/>
    <n v="54363"/>
    <n v="3"/>
    <n v="61672"/>
    <n v="65530"/>
    <n v="3"/>
    <s v="Yes"/>
    <x v="0"/>
    <n v="-3858"/>
  </r>
  <r>
    <n v="770"/>
    <d v="2023-02-02T01:00:00"/>
    <x v="1"/>
    <n v="5"/>
    <x v="0"/>
    <s v="Honda"/>
    <x v="0"/>
    <x v="0"/>
    <n v="90441"/>
    <n v="3"/>
    <n v="94109"/>
    <n v="96099"/>
    <n v="8"/>
    <s v="No"/>
    <x v="1"/>
    <n v="-1990"/>
  </r>
  <r>
    <n v="771"/>
    <d v="2023-02-02T02:00:00"/>
    <x v="1"/>
    <n v="5"/>
    <x v="0"/>
    <s v="Yamaha"/>
    <x v="0"/>
    <x v="2"/>
    <n v="39237"/>
    <n v="7"/>
    <n v="59593"/>
    <n v="40888"/>
    <n v="11"/>
    <s v="No"/>
    <x v="0"/>
    <n v="18705"/>
  </r>
  <r>
    <n v="772"/>
    <d v="2023-02-02T03:00:00"/>
    <x v="1"/>
    <n v="5"/>
    <x v="0"/>
    <s v="Honda"/>
    <x v="0"/>
    <x v="1"/>
    <n v="3120"/>
    <n v="4"/>
    <n v="169858"/>
    <n v="42491"/>
    <n v="2"/>
    <s v="Yes"/>
    <x v="0"/>
    <n v="127367"/>
  </r>
  <r>
    <n v="773"/>
    <d v="2023-02-02T04:00:00"/>
    <x v="1"/>
    <n v="5"/>
    <x v="0"/>
    <s v="Bajaj"/>
    <x v="1"/>
    <x v="1"/>
    <n v="35557"/>
    <n v="5"/>
    <n v="34815"/>
    <n v="128101"/>
    <n v="14"/>
    <s v="No"/>
    <x v="0"/>
    <n v="-93286"/>
  </r>
  <r>
    <n v="774"/>
    <d v="2023-02-02T05:00:00"/>
    <x v="1"/>
    <n v="5"/>
    <x v="0"/>
    <s v="Hero"/>
    <x v="0"/>
    <x v="3"/>
    <n v="40638"/>
    <n v="4"/>
    <n v="178038"/>
    <n v="47352"/>
    <n v="3"/>
    <s v="Yes"/>
    <x v="0"/>
    <n v="130686"/>
  </r>
  <r>
    <n v="775"/>
    <d v="2023-02-02T06:00:00"/>
    <x v="1"/>
    <n v="5"/>
    <x v="0"/>
    <s v="Hero"/>
    <x v="0"/>
    <x v="3"/>
    <n v="79890"/>
    <n v="0"/>
    <n v="169866"/>
    <n v="130437"/>
    <n v="1"/>
    <s v="Yes"/>
    <x v="0"/>
    <n v="39429"/>
  </r>
  <r>
    <n v="776"/>
    <d v="2023-02-02T07:00:00"/>
    <x v="1"/>
    <n v="5"/>
    <x v="0"/>
    <s v="Honda"/>
    <x v="0"/>
    <x v="0"/>
    <n v="53524"/>
    <n v="6"/>
    <n v="46302"/>
    <n v="36676"/>
    <n v="5"/>
    <s v="Yes"/>
    <x v="0"/>
    <n v="9626"/>
  </r>
  <r>
    <n v="777"/>
    <d v="2023-02-02T08:00:00"/>
    <x v="1"/>
    <n v="5"/>
    <x v="0"/>
    <s v="Hero"/>
    <x v="0"/>
    <x v="3"/>
    <n v="10177"/>
    <n v="5"/>
    <n v="110140"/>
    <n v="80836"/>
    <n v="4"/>
    <s v="Yes"/>
    <x v="0"/>
    <n v="29304"/>
  </r>
  <r>
    <n v="778"/>
    <d v="2023-02-02T09:00:00"/>
    <x v="1"/>
    <n v="5"/>
    <x v="0"/>
    <s v="Yamaha"/>
    <x v="0"/>
    <x v="2"/>
    <n v="44611"/>
    <n v="1"/>
    <n v="98356"/>
    <n v="52463"/>
    <n v="13"/>
    <s v="No"/>
    <x v="0"/>
    <n v="45893"/>
  </r>
  <r>
    <n v="779"/>
    <d v="2023-02-02T10:00:00"/>
    <x v="1"/>
    <n v="5"/>
    <x v="0"/>
    <s v="TVS"/>
    <x v="0"/>
    <x v="1"/>
    <n v="24574"/>
    <n v="6"/>
    <n v="74282"/>
    <n v="125478"/>
    <n v="1"/>
    <s v="Yes"/>
    <x v="0"/>
    <n v="-51196"/>
  </r>
  <r>
    <n v="780"/>
    <d v="2023-02-02T11:00:00"/>
    <x v="1"/>
    <n v="5"/>
    <x v="0"/>
    <s v="Honda"/>
    <x v="0"/>
    <x v="1"/>
    <n v="18324"/>
    <n v="5"/>
    <n v="153451"/>
    <n v="63990"/>
    <n v="10"/>
    <s v="No"/>
    <x v="0"/>
    <n v="89461"/>
  </r>
  <r>
    <n v="781"/>
    <d v="2023-02-02T12:00:00"/>
    <x v="1"/>
    <n v="5"/>
    <x v="0"/>
    <s v="Hero"/>
    <x v="0"/>
    <x v="1"/>
    <n v="1265"/>
    <n v="4"/>
    <n v="146347"/>
    <n v="101544"/>
    <n v="9"/>
    <s v="No"/>
    <x v="1"/>
    <n v="44803"/>
  </r>
  <r>
    <n v="782"/>
    <d v="2023-02-02T13:00:00"/>
    <x v="1"/>
    <n v="5"/>
    <x v="0"/>
    <s v="Honda"/>
    <x v="0"/>
    <x v="3"/>
    <n v="45939"/>
    <n v="7"/>
    <n v="48814"/>
    <n v="78627"/>
    <n v="6"/>
    <s v="Yes"/>
    <x v="0"/>
    <n v="-29813"/>
  </r>
  <r>
    <n v="783"/>
    <d v="2023-02-02T14:00:00"/>
    <x v="1"/>
    <n v="5"/>
    <x v="0"/>
    <s v="Honda"/>
    <x v="1"/>
    <x v="1"/>
    <n v="97651"/>
    <n v="4"/>
    <n v="106673"/>
    <n v="35221"/>
    <n v="6"/>
    <s v="Yes"/>
    <x v="0"/>
    <n v="71452"/>
  </r>
  <r>
    <n v="784"/>
    <d v="2023-02-02T15:00:00"/>
    <x v="1"/>
    <n v="5"/>
    <x v="0"/>
    <s v="TVS"/>
    <x v="0"/>
    <x v="1"/>
    <n v="49426"/>
    <n v="1"/>
    <n v="76940"/>
    <n v="129965"/>
    <n v="14"/>
    <s v="No"/>
    <x v="0"/>
    <n v="-53025"/>
  </r>
  <r>
    <n v="785"/>
    <d v="2023-02-02T16:00:00"/>
    <x v="1"/>
    <n v="5"/>
    <x v="0"/>
    <s v="Yamaha"/>
    <x v="0"/>
    <x v="1"/>
    <n v="37360"/>
    <n v="5"/>
    <n v="111796"/>
    <n v="109870"/>
    <n v="11"/>
    <s v="No"/>
    <x v="0"/>
    <n v="1926"/>
  </r>
  <r>
    <n v="786"/>
    <d v="2023-02-02T17:00:00"/>
    <x v="1"/>
    <n v="5"/>
    <x v="0"/>
    <s v="Honda"/>
    <x v="0"/>
    <x v="0"/>
    <n v="13475"/>
    <n v="0"/>
    <n v="61476"/>
    <n v="124054"/>
    <n v="2"/>
    <s v="Yes"/>
    <x v="0"/>
    <n v="-62578"/>
  </r>
  <r>
    <n v="787"/>
    <d v="2023-02-02T18:00:00"/>
    <x v="1"/>
    <n v="5"/>
    <x v="0"/>
    <s v="Hero"/>
    <x v="0"/>
    <x v="0"/>
    <n v="75377"/>
    <n v="4"/>
    <n v="157841"/>
    <n v="100837"/>
    <n v="14"/>
    <s v="No"/>
    <x v="1"/>
    <n v="57004"/>
  </r>
  <r>
    <n v="788"/>
    <d v="2023-02-02T19:00:00"/>
    <x v="1"/>
    <n v="5"/>
    <x v="0"/>
    <s v="Bajaj"/>
    <x v="0"/>
    <x v="3"/>
    <n v="94177"/>
    <n v="5"/>
    <n v="67278"/>
    <n v="87843"/>
    <n v="7"/>
    <s v="Yes"/>
    <x v="0"/>
    <n v="-20565"/>
  </r>
  <r>
    <n v="789"/>
    <d v="2023-02-02T20:00:00"/>
    <x v="1"/>
    <n v="5"/>
    <x v="0"/>
    <s v="Honda"/>
    <x v="0"/>
    <x v="1"/>
    <n v="78370"/>
    <n v="6"/>
    <n v="40634"/>
    <n v="66313"/>
    <n v="12"/>
    <s v="No"/>
    <x v="0"/>
    <n v="-25679"/>
  </r>
  <r>
    <n v="790"/>
    <d v="2023-02-02T21:00:00"/>
    <x v="1"/>
    <n v="5"/>
    <x v="0"/>
    <s v="Honda"/>
    <x v="0"/>
    <x v="3"/>
    <n v="81871"/>
    <n v="1"/>
    <n v="151259"/>
    <n v="44251"/>
    <n v="12"/>
    <s v="No"/>
    <x v="1"/>
    <n v="107008"/>
  </r>
  <r>
    <n v="791"/>
    <d v="2023-02-02T22:00:00"/>
    <x v="1"/>
    <n v="5"/>
    <x v="0"/>
    <s v="TVS"/>
    <x v="0"/>
    <x v="1"/>
    <n v="27048"/>
    <n v="0"/>
    <n v="167037"/>
    <n v="61586"/>
    <n v="9"/>
    <s v="No"/>
    <x v="0"/>
    <n v="105451"/>
  </r>
  <r>
    <n v="792"/>
    <d v="2023-02-02T23:00:00"/>
    <x v="1"/>
    <n v="5"/>
    <x v="0"/>
    <s v="Yamaha"/>
    <x v="0"/>
    <x v="1"/>
    <n v="91075"/>
    <n v="5"/>
    <n v="77196"/>
    <n v="114693"/>
    <n v="6"/>
    <s v="Yes"/>
    <x v="0"/>
    <n v="-37497"/>
  </r>
  <r>
    <n v="793"/>
    <d v="2023-02-03T00:00:00"/>
    <x v="1"/>
    <n v="5"/>
    <x v="0"/>
    <s v="Bajaj"/>
    <x v="1"/>
    <x v="1"/>
    <n v="98566"/>
    <n v="2"/>
    <n v="123679"/>
    <n v="89418"/>
    <n v="11"/>
    <s v="No"/>
    <x v="0"/>
    <n v="34261"/>
  </r>
  <r>
    <n v="794"/>
    <d v="2023-02-03T01:00:00"/>
    <x v="1"/>
    <n v="5"/>
    <x v="0"/>
    <s v="Hero"/>
    <x v="0"/>
    <x v="3"/>
    <n v="39236"/>
    <n v="4"/>
    <n v="155861"/>
    <n v="68884"/>
    <n v="8"/>
    <s v="No"/>
    <x v="0"/>
    <n v="86977"/>
  </r>
  <r>
    <n v="795"/>
    <d v="2023-02-03T02:00:00"/>
    <x v="1"/>
    <n v="5"/>
    <x v="0"/>
    <s v="Bajaj"/>
    <x v="0"/>
    <x v="3"/>
    <n v="62062"/>
    <n v="1"/>
    <n v="44420"/>
    <n v="67620"/>
    <n v="12"/>
    <s v="No"/>
    <x v="0"/>
    <n v="-23200"/>
  </r>
  <r>
    <n v="796"/>
    <d v="2023-02-03T03:00:00"/>
    <x v="1"/>
    <n v="5"/>
    <x v="0"/>
    <s v="Hero"/>
    <x v="0"/>
    <x v="1"/>
    <n v="40909"/>
    <n v="0"/>
    <n v="31218"/>
    <n v="25040"/>
    <n v="5"/>
    <s v="Yes"/>
    <x v="0"/>
    <n v="6178"/>
  </r>
  <r>
    <n v="797"/>
    <d v="2023-02-03T04:00:00"/>
    <x v="1"/>
    <n v="5"/>
    <x v="0"/>
    <s v="Yamaha"/>
    <x v="0"/>
    <x v="2"/>
    <n v="84601"/>
    <n v="0"/>
    <n v="149283"/>
    <n v="86677"/>
    <n v="2"/>
    <s v="Yes"/>
    <x v="0"/>
    <n v="62606"/>
  </r>
  <r>
    <n v="798"/>
    <d v="2023-02-03T05:00:00"/>
    <x v="1"/>
    <n v="5"/>
    <x v="0"/>
    <s v="Hero"/>
    <x v="0"/>
    <x v="3"/>
    <n v="10334"/>
    <n v="3"/>
    <n v="89057"/>
    <n v="60878"/>
    <n v="13"/>
    <s v="No"/>
    <x v="0"/>
    <n v="28179"/>
  </r>
  <r>
    <n v="799"/>
    <d v="2023-02-03T06:00:00"/>
    <x v="1"/>
    <n v="5"/>
    <x v="0"/>
    <s v="TVS"/>
    <x v="0"/>
    <x v="0"/>
    <n v="1340"/>
    <n v="9"/>
    <n v="103609"/>
    <n v="20969"/>
    <n v="4"/>
    <s v="Yes"/>
    <x v="0"/>
    <n v="82640"/>
  </r>
  <r>
    <n v="800"/>
    <d v="2023-02-03T07:00:00"/>
    <x v="1"/>
    <n v="5"/>
    <x v="0"/>
    <s v="TVS"/>
    <x v="0"/>
    <x v="3"/>
    <n v="79909"/>
    <n v="1"/>
    <n v="167298"/>
    <n v="28162"/>
    <n v="12"/>
    <s v="No"/>
    <x v="0"/>
    <n v="139136"/>
  </r>
  <r>
    <n v="801"/>
    <d v="2023-02-03T08:00:00"/>
    <x v="1"/>
    <n v="5"/>
    <x v="0"/>
    <s v="TVS"/>
    <x v="0"/>
    <x v="1"/>
    <n v="32068"/>
    <n v="0"/>
    <n v="148108"/>
    <n v="80435"/>
    <n v="1"/>
    <s v="Yes"/>
    <x v="0"/>
    <n v="67673"/>
  </r>
  <r>
    <n v="802"/>
    <d v="2023-02-03T09:00:00"/>
    <x v="1"/>
    <n v="5"/>
    <x v="0"/>
    <s v="TVS"/>
    <x v="0"/>
    <x v="2"/>
    <n v="11346"/>
    <n v="5"/>
    <n v="35046"/>
    <n v="133504"/>
    <n v="1"/>
    <s v="Yes"/>
    <x v="0"/>
    <n v="-98458"/>
  </r>
  <r>
    <n v="803"/>
    <d v="2023-02-03T10:00:00"/>
    <x v="1"/>
    <n v="5"/>
    <x v="0"/>
    <s v="Bajaj"/>
    <x v="0"/>
    <x v="1"/>
    <n v="6399"/>
    <n v="3"/>
    <n v="142462"/>
    <n v="89667"/>
    <n v="6"/>
    <s v="Yes"/>
    <x v="0"/>
    <n v="52795"/>
  </r>
  <r>
    <n v="804"/>
    <d v="2023-02-03T11:00:00"/>
    <x v="1"/>
    <n v="5"/>
    <x v="0"/>
    <s v="Yamaha"/>
    <x v="1"/>
    <x v="0"/>
    <n v="86538"/>
    <n v="9"/>
    <n v="134345"/>
    <n v="20037"/>
    <n v="2"/>
    <s v="Yes"/>
    <x v="0"/>
    <n v="114308"/>
  </r>
  <r>
    <n v="805"/>
    <d v="2023-02-03T12:00:00"/>
    <x v="1"/>
    <n v="5"/>
    <x v="0"/>
    <s v="Hero"/>
    <x v="0"/>
    <x v="3"/>
    <n v="66601"/>
    <n v="6"/>
    <n v="62117"/>
    <n v="75526"/>
    <n v="6"/>
    <s v="Yes"/>
    <x v="0"/>
    <n v="-13409"/>
  </r>
  <r>
    <n v="806"/>
    <d v="2023-02-03T13:00:00"/>
    <x v="1"/>
    <n v="5"/>
    <x v="0"/>
    <s v="Hero"/>
    <x v="0"/>
    <x v="3"/>
    <n v="39273"/>
    <n v="5"/>
    <n v="154980"/>
    <n v="102914"/>
    <n v="1"/>
    <s v="Yes"/>
    <x v="0"/>
    <n v="52066"/>
  </r>
  <r>
    <n v="807"/>
    <d v="2023-02-03T14:00:00"/>
    <x v="1"/>
    <n v="5"/>
    <x v="0"/>
    <s v="TVS"/>
    <x v="0"/>
    <x v="1"/>
    <n v="75223"/>
    <n v="4"/>
    <n v="161037"/>
    <n v="29693"/>
    <n v="11"/>
    <s v="No"/>
    <x v="0"/>
    <n v="131344"/>
  </r>
  <r>
    <n v="808"/>
    <d v="2023-02-03T15:00:00"/>
    <x v="1"/>
    <n v="5"/>
    <x v="0"/>
    <s v="TVS"/>
    <x v="0"/>
    <x v="1"/>
    <n v="73262"/>
    <n v="9"/>
    <n v="42373"/>
    <n v="107162"/>
    <n v="10"/>
    <s v="No"/>
    <x v="0"/>
    <n v="-64789"/>
  </r>
  <r>
    <n v="809"/>
    <d v="2023-02-03T16:00:00"/>
    <x v="1"/>
    <n v="5"/>
    <x v="0"/>
    <s v="Honda"/>
    <x v="0"/>
    <x v="0"/>
    <n v="4811"/>
    <n v="1"/>
    <n v="70452"/>
    <n v="74090"/>
    <n v="3"/>
    <s v="Yes"/>
    <x v="0"/>
    <n v="-3638"/>
  </r>
  <r>
    <n v="810"/>
    <d v="2023-02-03T17:00:00"/>
    <x v="1"/>
    <n v="5"/>
    <x v="0"/>
    <s v="Yamaha"/>
    <x v="0"/>
    <x v="2"/>
    <n v="57388"/>
    <n v="4"/>
    <n v="31654"/>
    <n v="17451"/>
    <n v="14"/>
    <s v="No"/>
    <x v="1"/>
    <n v="14203"/>
  </r>
  <r>
    <n v="811"/>
    <d v="2023-02-03T18:00:00"/>
    <x v="1"/>
    <n v="5"/>
    <x v="0"/>
    <s v="Bajaj"/>
    <x v="0"/>
    <x v="0"/>
    <n v="42116"/>
    <n v="8"/>
    <n v="148319"/>
    <n v="80560"/>
    <n v="9"/>
    <s v="No"/>
    <x v="0"/>
    <n v="67759"/>
  </r>
  <r>
    <n v="812"/>
    <d v="2023-02-03T19:00:00"/>
    <x v="1"/>
    <n v="5"/>
    <x v="0"/>
    <s v="Hero"/>
    <x v="0"/>
    <x v="2"/>
    <n v="52634"/>
    <n v="8"/>
    <n v="130646"/>
    <n v="20962"/>
    <n v="2"/>
    <s v="Yes"/>
    <x v="0"/>
    <n v="109684"/>
  </r>
  <r>
    <n v="813"/>
    <d v="2023-02-03T20:00:00"/>
    <x v="1"/>
    <n v="5"/>
    <x v="0"/>
    <s v="Honda"/>
    <x v="0"/>
    <x v="3"/>
    <n v="91725"/>
    <n v="1"/>
    <n v="51583"/>
    <n v="115860"/>
    <n v="8"/>
    <s v="No"/>
    <x v="0"/>
    <n v="-64277"/>
  </r>
  <r>
    <n v="814"/>
    <d v="2023-02-03T21:00:00"/>
    <x v="1"/>
    <n v="5"/>
    <x v="0"/>
    <s v="Honda"/>
    <x v="0"/>
    <x v="2"/>
    <n v="6583"/>
    <n v="6"/>
    <n v="119242"/>
    <n v="111951"/>
    <n v="6"/>
    <s v="Yes"/>
    <x v="1"/>
    <n v="7291"/>
  </r>
  <r>
    <n v="815"/>
    <d v="2023-02-03T22:00:00"/>
    <x v="1"/>
    <n v="5"/>
    <x v="0"/>
    <s v="Hero"/>
    <x v="0"/>
    <x v="2"/>
    <n v="13098"/>
    <n v="9"/>
    <n v="162432"/>
    <n v="104552"/>
    <n v="12"/>
    <s v="No"/>
    <x v="0"/>
    <n v="57880"/>
  </r>
  <r>
    <n v="816"/>
    <d v="2023-02-03T23:00:00"/>
    <x v="1"/>
    <n v="5"/>
    <x v="0"/>
    <s v="Bajaj"/>
    <x v="0"/>
    <x v="3"/>
    <n v="82976"/>
    <n v="3"/>
    <n v="78968"/>
    <n v="31444"/>
    <n v="6"/>
    <s v="Yes"/>
    <x v="0"/>
    <n v="47524"/>
  </r>
  <r>
    <n v="817"/>
    <d v="2023-02-04T00:00:00"/>
    <x v="1"/>
    <n v="5"/>
    <x v="0"/>
    <s v="Honda"/>
    <x v="0"/>
    <x v="3"/>
    <n v="92916"/>
    <n v="2"/>
    <n v="159815"/>
    <n v="55443"/>
    <n v="7"/>
    <s v="Yes"/>
    <x v="0"/>
    <n v="104372"/>
  </r>
  <r>
    <n v="818"/>
    <d v="2023-02-04T01:00:00"/>
    <x v="1"/>
    <n v="5"/>
    <x v="0"/>
    <s v="Honda"/>
    <x v="1"/>
    <x v="3"/>
    <n v="3080"/>
    <n v="0"/>
    <n v="163231"/>
    <n v="31506"/>
    <n v="5"/>
    <s v="Yes"/>
    <x v="0"/>
    <n v="131725"/>
  </r>
  <r>
    <n v="819"/>
    <d v="2023-02-04T02:00:00"/>
    <x v="1"/>
    <n v="5"/>
    <x v="0"/>
    <s v="Yamaha"/>
    <x v="1"/>
    <x v="0"/>
    <n v="57895"/>
    <n v="2"/>
    <n v="156590"/>
    <n v="53384"/>
    <n v="12"/>
    <s v="No"/>
    <x v="0"/>
    <n v="103206"/>
  </r>
  <r>
    <n v="820"/>
    <d v="2023-02-04T03:00:00"/>
    <x v="1"/>
    <n v="5"/>
    <x v="0"/>
    <s v="Bajaj"/>
    <x v="0"/>
    <x v="3"/>
    <n v="42821"/>
    <n v="8"/>
    <n v="41652"/>
    <n v="123598"/>
    <n v="11"/>
    <s v="No"/>
    <x v="0"/>
    <n v="-81946"/>
  </r>
  <r>
    <n v="821"/>
    <d v="2023-02-04T04:00:00"/>
    <x v="1"/>
    <n v="5"/>
    <x v="0"/>
    <s v="Honda"/>
    <x v="0"/>
    <x v="1"/>
    <n v="9886"/>
    <n v="8"/>
    <n v="138114"/>
    <n v="130874"/>
    <n v="4"/>
    <s v="Yes"/>
    <x v="1"/>
    <n v="7240"/>
  </r>
  <r>
    <n v="822"/>
    <d v="2023-02-04T05:00:00"/>
    <x v="1"/>
    <n v="5"/>
    <x v="0"/>
    <s v="Bajaj"/>
    <x v="0"/>
    <x v="3"/>
    <n v="53671"/>
    <n v="6"/>
    <n v="127489"/>
    <n v="112229"/>
    <n v="6"/>
    <s v="Yes"/>
    <x v="0"/>
    <n v="15260"/>
  </r>
  <r>
    <n v="823"/>
    <d v="2023-02-04T06:00:00"/>
    <x v="1"/>
    <n v="5"/>
    <x v="0"/>
    <s v="Hero"/>
    <x v="1"/>
    <x v="3"/>
    <n v="20022"/>
    <n v="2"/>
    <n v="102001"/>
    <n v="127314"/>
    <n v="8"/>
    <s v="No"/>
    <x v="1"/>
    <n v="-25313"/>
  </r>
  <r>
    <n v="824"/>
    <d v="2023-02-04T07:00:00"/>
    <x v="1"/>
    <n v="5"/>
    <x v="0"/>
    <s v="TVS"/>
    <x v="1"/>
    <x v="3"/>
    <n v="66032"/>
    <n v="2"/>
    <n v="149269"/>
    <n v="134846"/>
    <n v="4"/>
    <s v="Yes"/>
    <x v="0"/>
    <n v="14423"/>
  </r>
  <r>
    <n v="825"/>
    <d v="2023-02-04T08:00:00"/>
    <x v="1"/>
    <n v="5"/>
    <x v="0"/>
    <s v="Honda"/>
    <x v="0"/>
    <x v="2"/>
    <n v="92260"/>
    <n v="3"/>
    <n v="101757"/>
    <n v="39248"/>
    <n v="5"/>
    <s v="Yes"/>
    <x v="0"/>
    <n v="62509"/>
  </r>
  <r>
    <n v="826"/>
    <d v="2023-02-04T09:00:00"/>
    <x v="1"/>
    <n v="5"/>
    <x v="0"/>
    <s v="Yamaha"/>
    <x v="0"/>
    <x v="0"/>
    <n v="15135"/>
    <n v="6"/>
    <n v="49395"/>
    <n v="61162"/>
    <n v="7"/>
    <s v="Yes"/>
    <x v="0"/>
    <n v="-11767"/>
  </r>
  <r>
    <n v="827"/>
    <d v="2023-02-04T10:00:00"/>
    <x v="1"/>
    <n v="5"/>
    <x v="0"/>
    <s v="Hero"/>
    <x v="0"/>
    <x v="3"/>
    <n v="1171"/>
    <n v="6"/>
    <n v="158407"/>
    <n v="57690"/>
    <n v="6"/>
    <s v="Yes"/>
    <x v="0"/>
    <n v="100717"/>
  </r>
  <r>
    <n v="828"/>
    <d v="2023-02-04T11:00:00"/>
    <x v="1"/>
    <n v="5"/>
    <x v="0"/>
    <s v="Bajaj"/>
    <x v="0"/>
    <x v="0"/>
    <n v="34045"/>
    <n v="1"/>
    <n v="126978"/>
    <n v="84625"/>
    <n v="13"/>
    <s v="No"/>
    <x v="0"/>
    <n v="42353"/>
  </r>
  <r>
    <n v="829"/>
    <d v="2023-02-04T12:00:00"/>
    <x v="1"/>
    <n v="5"/>
    <x v="0"/>
    <s v="Hero"/>
    <x v="0"/>
    <x v="1"/>
    <n v="54579"/>
    <n v="4"/>
    <n v="156572"/>
    <n v="127752"/>
    <n v="4"/>
    <s v="Yes"/>
    <x v="0"/>
    <n v="28820"/>
  </r>
  <r>
    <n v="830"/>
    <d v="2023-02-04T13:00:00"/>
    <x v="1"/>
    <n v="5"/>
    <x v="0"/>
    <s v="Honda"/>
    <x v="1"/>
    <x v="1"/>
    <n v="27355"/>
    <n v="6"/>
    <n v="149541"/>
    <n v="83008"/>
    <n v="13"/>
    <s v="No"/>
    <x v="0"/>
    <n v="66533"/>
  </r>
  <r>
    <n v="831"/>
    <d v="2023-02-04T14:00:00"/>
    <x v="1"/>
    <n v="5"/>
    <x v="0"/>
    <s v="Bajaj"/>
    <x v="0"/>
    <x v="3"/>
    <n v="36290"/>
    <n v="6"/>
    <n v="33083"/>
    <n v="75309"/>
    <n v="4"/>
    <s v="Yes"/>
    <x v="0"/>
    <n v="-42226"/>
  </r>
  <r>
    <n v="832"/>
    <d v="2023-02-04T15:00:00"/>
    <x v="1"/>
    <n v="5"/>
    <x v="0"/>
    <s v="TVS"/>
    <x v="0"/>
    <x v="1"/>
    <n v="51512"/>
    <n v="5"/>
    <n v="131598"/>
    <n v="58237"/>
    <n v="10"/>
    <s v="No"/>
    <x v="0"/>
    <n v="73361"/>
  </r>
  <r>
    <n v="833"/>
    <d v="2023-02-04T16:00:00"/>
    <x v="1"/>
    <n v="5"/>
    <x v="0"/>
    <s v="Hero"/>
    <x v="1"/>
    <x v="0"/>
    <n v="14760"/>
    <n v="9"/>
    <n v="161615"/>
    <n v="120754"/>
    <n v="4"/>
    <s v="Yes"/>
    <x v="0"/>
    <n v="40861"/>
  </r>
  <r>
    <n v="834"/>
    <d v="2023-02-04T17:00:00"/>
    <x v="1"/>
    <n v="5"/>
    <x v="0"/>
    <s v="Honda"/>
    <x v="0"/>
    <x v="2"/>
    <n v="65639"/>
    <n v="9"/>
    <n v="121171"/>
    <n v="50732"/>
    <n v="1"/>
    <s v="Yes"/>
    <x v="1"/>
    <n v="70439"/>
  </r>
  <r>
    <n v="835"/>
    <d v="2023-02-04T18:00:00"/>
    <x v="1"/>
    <n v="5"/>
    <x v="0"/>
    <s v="Yamaha"/>
    <x v="0"/>
    <x v="3"/>
    <n v="1574"/>
    <n v="7"/>
    <n v="145423"/>
    <n v="23104"/>
    <n v="5"/>
    <s v="Yes"/>
    <x v="1"/>
    <n v="122319"/>
  </r>
  <r>
    <n v="836"/>
    <d v="2023-02-04T19:00:00"/>
    <x v="1"/>
    <n v="5"/>
    <x v="0"/>
    <s v="Bajaj"/>
    <x v="0"/>
    <x v="1"/>
    <n v="43176"/>
    <n v="2"/>
    <n v="31613"/>
    <n v="98230"/>
    <n v="8"/>
    <s v="No"/>
    <x v="0"/>
    <n v="-66617"/>
  </r>
  <r>
    <n v="837"/>
    <d v="2023-02-04T20:00:00"/>
    <x v="1"/>
    <n v="5"/>
    <x v="0"/>
    <s v="Hero"/>
    <x v="0"/>
    <x v="0"/>
    <n v="9975"/>
    <n v="0"/>
    <n v="135033"/>
    <n v="105266"/>
    <n v="7"/>
    <s v="Yes"/>
    <x v="0"/>
    <n v="29767"/>
  </r>
  <r>
    <n v="838"/>
    <d v="2023-02-04T21:00:00"/>
    <x v="1"/>
    <n v="5"/>
    <x v="0"/>
    <s v="Hero"/>
    <x v="0"/>
    <x v="0"/>
    <n v="78914"/>
    <n v="2"/>
    <n v="101202"/>
    <n v="49980"/>
    <n v="5"/>
    <s v="Yes"/>
    <x v="1"/>
    <n v="51222"/>
  </r>
  <r>
    <n v="839"/>
    <d v="2023-02-04T22:00:00"/>
    <x v="1"/>
    <n v="5"/>
    <x v="0"/>
    <s v="TVS"/>
    <x v="0"/>
    <x v="1"/>
    <n v="15620"/>
    <n v="1"/>
    <n v="110666"/>
    <n v="89990"/>
    <n v="3"/>
    <s v="Yes"/>
    <x v="0"/>
    <n v="20676"/>
  </r>
  <r>
    <n v="840"/>
    <d v="2023-02-04T23:00:00"/>
    <x v="1"/>
    <n v="5"/>
    <x v="0"/>
    <s v="TVS"/>
    <x v="0"/>
    <x v="0"/>
    <n v="23647"/>
    <n v="1"/>
    <n v="47068"/>
    <n v="54560"/>
    <n v="11"/>
    <s v="No"/>
    <x v="0"/>
    <n v="-7492"/>
  </r>
  <r>
    <n v="841"/>
    <d v="2023-02-05T00:00:00"/>
    <x v="1"/>
    <n v="6"/>
    <x v="0"/>
    <s v="Yamaha"/>
    <x v="0"/>
    <x v="0"/>
    <n v="2486"/>
    <n v="1"/>
    <n v="74057"/>
    <n v="24554"/>
    <n v="1"/>
    <s v="Yes"/>
    <x v="0"/>
    <n v="49503"/>
  </r>
  <r>
    <n v="842"/>
    <d v="2023-02-05T01:00:00"/>
    <x v="1"/>
    <n v="6"/>
    <x v="0"/>
    <s v="Yamaha"/>
    <x v="0"/>
    <x v="3"/>
    <n v="32930"/>
    <n v="4"/>
    <n v="43946"/>
    <n v="106049"/>
    <n v="13"/>
    <s v="No"/>
    <x v="0"/>
    <n v="-62103"/>
  </r>
  <r>
    <n v="843"/>
    <d v="2023-02-05T02:00:00"/>
    <x v="1"/>
    <n v="6"/>
    <x v="0"/>
    <s v="Honda"/>
    <x v="0"/>
    <x v="0"/>
    <n v="55979"/>
    <n v="0"/>
    <n v="176619"/>
    <n v="122007"/>
    <n v="7"/>
    <s v="Yes"/>
    <x v="0"/>
    <n v="54612"/>
  </r>
  <r>
    <n v="844"/>
    <d v="2023-02-05T03:00:00"/>
    <x v="1"/>
    <n v="6"/>
    <x v="0"/>
    <s v="Honda"/>
    <x v="0"/>
    <x v="1"/>
    <n v="83466"/>
    <n v="9"/>
    <n v="110237"/>
    <n v="60987"/>
    <n v="13"/>
    <s v="No"/>
    <x v="0"/>
    <n v="49250"/>
  </r>
  <r>
    <n v="845"/>
    <d v="2023-02-05T04:00:00"/>
    <x v="1"/>
    <n v="6"/>
    <x v="0"/>
    <s v="Yamaha"/>
    <x v="0"/>
    <x v="3"/>
    <n v="2676"/>
    <n v="3"/>
    <n v="30769"/>
    <n v="45985"/>
    <n v="11"/>
    <s v="No"/>
    <x v="0"/>
    <n v="-15216"/>
  </r>
  <r>
    <n v="846"/>
    <d v="2023-02-05T05:00:00"/>
    <x v="1"/>
    <n v="6"/>
    <x v="0"/>
    <s v="Yamaha"/>
    <x v="0"/>
    <x v="1"/>
    <n v="84758"/>
    <n v="9"/>
    <n v="86340"/>
    <n v="105298"/>
    <n v="3"/>
    <s v="Yes"/>
    <x v="1"/>
    <n v="-18958"/>
  </r>
  <r>
    <n v="847"/>
    <d v="2023-02-05T06:00:00"/>
    <x v="1"/>
    <n v="6"/>
    <x v="0"/>
    <s v="Bajaj"/>
    <x v="0"/>
    <x v="2"/>
    <n v="84653"/>
    <n v="4"/>
    <n v="104199"/>
    <n v="63167"/>
    <n v="4"/>
    <s v="Yes"/>
    <x v="0"/>
    <n v="41032"/>
  </r>
  <r>
    <n v="848"/>
    <d v="2023-02-05T07:00:00"/>
    <x v="1"/>
    <n v="6"/>
    <x v="0"/>
    <s v="TVS"/>
    <x v="0"/>
    <x v="1"/>
    <n v="62418"/>
    <n v="1"/>
    <n v="129222"/>
    <n v="131533"/>
    <n v="14"/>
    <s v="No"/>
    <x v="0"/>
    <n v="-2311"/>
  </r>
  <r>
    <n v="849"/>
    <d v="2023-02-05T08:00:00"/>
    <x v="1"/>
    <n v="6"/>
    <x v="0"/>
    <s v="Honda"/>
    <x v="0"/>
    <x v="1"/>
    <n v="27615"/>
    <n v="4"/>
    <n v="58434"/>
    <n v="55428"/>
    <n v="5"/>
    <s v="Yes"/>
    <x v="0"/>
    <n v="3006"/>
  </r>
  <r>
    <n v="850"/>
    <d v="2023-02-05T09:00:00"/>
    <x v="1"/>
    <n v="6"/>
    <x v="0"/>
    <s v="TVS"/>
    <x v="0"/>
    <x v="3"/>
    <n v="77942"/>
    <n v="9"/>
    <n v="47102"/>
    <n v="82238"/>
    <n v="13"/>
    <s v="No"/>
    <x v="0"/>
    <n v="-35136"/>
  </r>
  <r>
    <n v="851"/>
    <d v="2023-02-05T10:00:00"/>
    <x v="1"/>
    <n v="6"/>
    <x v="0"/>
    <s v="TVS"/>
    <x v="0"/>
    <x v="0"/>
    <n v="40502"/>
    <n v="3"/>
    <n v="46536"/>
    <n v="130078"/>
    <n v="12"/>
    <s v="No"/>
    <x v="0"/>
    <n v="-83542"/>
  </r>
  <r>
    <n v="852"/>
    <d v="2023-02-05T11:00:00"/>
    <x v="1"/>
    <n v="6"/>
    <x v="0"/>
    <s v="Yamaha"/>
    <x v="1"/>
    <x v="1"/>
    <n v="57624"/>
    <n v="7"/>
    <n v="129639"/>
    <n v="77723"/>
    <n v="8"/>
    <s v="No"/>
    <x v="0"/>
    <n v="51916"/>
  </r>
  <r>
    <n v="853"/>
    <d v="2023-02-05T12:00:00"/>
    <x v="1"/>
    <n v="6"/>
    <x v="0"/>
    <s v="Bajaj"/>
    <x v="0"/>
    <x v="3"/>
    <n v="7110"/>
    <n v="0"/>
    <n v="75775"/>
    <n v="32038"/>
    <n v="13"/>
    <s v="No"/>
    <x v="0"/>
    <n v="43737"/>
  </r>
  <r>
    <n v="854"/>
    <d v="2023-02-05T13:00:00"/>
    <x v="1"/>
    <n v="6"/>
    <x v="0"/>
    <s v="Hero"/>
    <x v="0"/>
    <x v="2"/>
    <n v="50252"/>
    <n v="4"/>
    <n v="56147"/>
    <n v="37219"/>
    <n v="7"/>
    <s v="Yes"/>
    <x v="0"/>
    <n v="18928"/>
  </r>
  <r>
    <n v="855"/>
    <d v="2023-02-05T14:00:00"/>
    <x v="1"/>
    <n v="6"/>
    <x v="0"/>
    <s v="Bajaj"/>
    <x v="0"/>
    <x v="3"/>
    <n v="79447"/>
    <n v="9"/>
    <n v="75526"/>
    <n v="19271"/>
    <n v="9"/>
    <s v="No"/>
    <x v="0"/>
    <n v="56255"/>
  </r>
  <r>
    <n v="856"/>
    <d v="2023-02-05T15:00:00"/>
    <x v="1"/>
    <n v="6"/>
    <x v="0"/>
    <s v="Bajaj"/>
    <x v="0"/>
    <x v="3"/>
    <n v="75216"/>
    <n v="0"/>
    <n v="179731"/>
    <n v="42397"/>
    <n v="11"/>
    <s v="No"/>
    <x v="0"/>
    <n v="137334"/>
  </r>
  <r>
    <n v="857"/>
    <d v="2023-02-05T16:00:00"/>
    <x v="1"/>
    <n v="6"/>
    <x v="0"/>
    <s v="TVS"/>
    <x v="0"/>
    <x v="0"/>
    <n v="48493"/>
    <n v="9"/>
    <n v="129663"/>
    <n v="89491"/>
    <n v="3"/>
    <s v="Yes"/>
    <x v="0"/>
    <n v="40172"/>
  </r>
  <r>
    <n v="858"/>
    <d v="2023-02-05T17:00:00"/>
    <x v="1"/>
    <n v="6"/>
    <x v="0"/>
    <s v="Bajaj"/>
    <x v="0"/>
    <x v="1"/>
    <n v="10573"/>
    <n v="9"/>
    <n v="137180"/>
    <n v="133088"/>
    <n v="14"/>
    <s v="No"/>
    <x v="0"/>
    <n v="4092"/>
  </r>
  <r>
    <n v="859"/>
    <d v="2023-02-05T18:00:00"/>
    <x v="1"/>
    <n v="6"/>
    <x v="0"/>
    <s v="Honda"/>
    <x v="0"/>
    <x v="2"/>
    <n v="37751"/>
    <n v="3"/>
    <n v="149233"/>
    <n v="44602"/>
    <n v="11"/>
    <s v="No"/>
    <x v="0"/>
    <n v="104631"/>
  </r>
  <r>
    <n v="860"/>
    <d v="2023-02-05T19:00:00"/>
    <x v="1"/>
    <n v="6"/>
    <x v="0"/>
    <s v="TVS"/>
    <x v="0"/>
    <x v="3"/>
    <n v="96996"/>
    <n v="7"/>
    <n v="48088"/>
    <n v="69471"/>
    <n v="10"/>
    <s v="No"/>
    <x v="0"/>
    <n v="-21383"/>
  </r>
  <r>
    <n v="861"/>
    <d v="2023-02-05T20:00:00"/>
    <x v="1"/>
    <n v="6"/>
    <x v="0"/>
    <s v="Honda"/>
    <x v="0"/>
    <x v="1"/>
    <n v="71937"/>
    <n v="0"/>
    <n v="93464"/>
    <n v="77150"/>
    <n v="1"/>
    <s v="Yes"/>
    <x v="0"/>
    <n v="16314"/>
  </r>
  <r>
    <n v="862"/>
    <d v="2023-02-05T21:00:00"/>
    <x v="1"/>
    <n v="6"/>
    <x v="0"/>
    <s v="Hero"/>
    <x v="0"/>
    <x v="1"/>
    <n v="39397"/>
    <n v="1"/>
    <n v="130921"/>
    <n v="59227"/>
    <n v="1"/>
    <s v="Yes"/>
    <x v="0"/>
    <n v="71694"/>
  </r>
  <r>
    <n v="863"/>
    <d v="2023-02-05T22:00:00"/>
    <x v="1"/>
    <n v="6"/>
    <x v="0"/>
    <s v="TVS"/>
    <x v="0"/>
    <x v="3"/>
    <n v="51406"/>
    <n v="0"/>
    <n v="84998"/>
    <n v="112081"/>
    <n v="12"/>
    <s v="No"/>
    <x v="0"/>
    <n v="-27083"/>
  </r>
  <r>
    <n v="864"/>
    <d v="2023-02-05T23:00:00"/>
    <x v="1"/>
    <n v="6"/>
    <x v="0"/>
    <s v="Hero"/>
    <x v="1"/>
    <x v="1"/>
    <n v="52116"/>
    <n v="6"/>
    <n v="65382"/>
    <n v="38116"/>
    <n v="10"/>
    <s v="No"/>
    <x v="0"/>
    <n v="27266"/>
  </r>
  <r>
    <n v="865"/>
    <d v="2023-02-06T00:00:00"/>
    <x v="1"/>
    <n v="6"/>
    <x v="0"/>
    <s v="TVS"/>
    <x v="0"/>
    <x v="3"/>
    <n v="4982"/>
    <n v="1"/>
    <n v="53184"/>
    <n v="21674"/>
    <n v="13"/>
    <s v="No"/>
    <x v="0"/>
    <n v="31510"/>
  </r>
  <r>
    <n v="866"/>
    <d v="2023-02-06T01:00:00"/>
    <x v="1"/>
    <n v="6"/>
    <x v="0"/>
    <s v="Yamaha"/>
    <x v="0"/>
    <x v="3"/>
    <n v="91464"/>
    <n v="0"/>
    <n v="176171"/>
    <n v="32469"/>
    <n v="14"/>
    <s v="No"/>
    <x v="0"/>
    <n v="143702"/>
  </r>
  <r>
    <n v="867"/>
    <d v="2023-02-06T02:00:00"/>
    <x v="1"/>
    <n v="6"/>
    <x v="0"/>
    <s v="Bajaj"/>
    <x v="0"/>
    <x v="3"/>
    <n v="73436"/>
    <n v="5"/>
    <n v="62739"/>
    <n v="20446"/>
    <n v="1"/>
    <s v="Yes"/>
    <x v="0"/>
    <n v="42293"/>
  </r>
  <r>
    <n v="868"/>
    <d v="2023-02-06T03:00:00"/>
    <x v="1"/>
    <n v="6"/>
    <x v="0"/>
    <s v="Yamaha"/>
    <x v="0"/>
    <x v="2"/>
    <n v="40074"/>
    <n v="5"/>
    <n v="152937"/>
    <n v="139809"/>
    <n v="2"/>
    <s v="Yes"/>
    <x v="0"/>
    <n v="13128"/>
  </r>
  <r>
    <n v="869"/>
    <d v="2023-02-06T04:00:00"/>
    <x v="1"/>
    <n v="6"/>
    <x v="0"/>
    <s v="Hero"/>
    <x v="0"/>
    <x v="3"/>
    <n v="43784"/>
    <n v="9"/>
    <n v="164461"/>
    <n v="35760"/>
    <n v="2"/>
    <s v="Yes"/>
    <x v="0"/>
    <n v="128701"/>
  </r>
  <r>
    <n v="870"/>
    <d v="2023-02-06T05:00:00"/>
    <x v="1"/>
    <n v="6"/>
    <x v="0"/>
    <s v="Bajaj"/>
    <x v="0"/>
    <x v="0"/>
    <n v="73432"/>
    <n v="1"/>
    <n v="42352"/>
    <n v="16963"/>
    <n v="7"/>
    <s v="Yes"/>
    <x v="0"/>
    <n v="25389"/>
  </r>
  <r>
    <n v="871"/>
    <d v="2023-02-06T06:00:00"/>
    <x v="1"/>
    <n v="6"/>
    <x v="0"/>
    <s v="TVS"/>
    <x v="0"/>
    <x v="1"/>
    <n v="7838"/>
    <n v="0"/>
    <n v="151788"/>
    <n v="123281"/>
    <n v="9"/>
    <s v="No"/>
    <x v="0"/>
    <n v="28507"/>
  </r>
  <r>
    <n v="872"/>
    <d v="2023-02-06T07:00:00"/>
    <x v="1"/>
    <n v="6"/>
    <x v="0"/>
    <s v="Bajaj"/>
    <x v="0"/>
    <x v="2"/>
    <n v="43218"/>
    <n v="9"/>
    <n v="142843"/>
    <n v="91002"/>
    <n v="8"/>
    <s v="No"/>
    <x v="0"/>
    <n v="51841"/>
  </r>
  <r>
    <n v="873"/>
    <d v="2023-02-06T08:00:00"/>
    <x v="1"/>
    <n v="6"/>
    <x v="0"/>
    <s v="Honda"/>
    <x v="0"/>
    <x v="1"/>
    <n v="13000"/>
    <n v="2"/>
    <n v="177220"/>
    <n v="42262"/>
    <n v="4"/>
    <s v="Yes"/>
    <x v="0"/>
    <n v="134958"/>
  </r>
  <r>
    <n v="874"/>
    <d v="2023-02-06T09:00:00"/>
    <x v="1"/>
    <n v="6"/>
    <x v="0"/>
    <s v="Bajaj"/>
    <x v="0"/>
    <x v="2"/>
    <n v="12045"/>
    <n v="9"/>
    <n v="56828"/>
    <n v="20177"/>
    <n v="2"/>
    <s v="Yes"/>
    <x v="0"/>
    <n v="36651"/>
  </r>
  <r>
    <n v="875"/>
    <d v="2023-02-06T10:00:00"/>
    <x v="1"/>
    <n v="6"/>
    <x v="0"/>
    <s v="Honda"/>
    <x v="1"/>
    <x v="0"/>
    <n v="61980"/>
    <n v="4"/>
    <n v="93040"/>
    <n v="26160"/>
    <n v="3"/>
    <s v="Yes"/>
    <x v="1"/>
    <n v="66880"/>
  </r>
  <r>
    <n v="876"/>
    <d v="2023-02-06T11:00:00"/>
    <x v="1"/>
    <n v="6"/>
    <x v="0"/>
    <s v="Bajaj"/>
    <x v="0"/>
    <x v="2"/>
    <n v="5741"/>
    <n v="5"/>
    <n v="119279"/>
    <n v="117876"/>
    <n v="10"/>
    <s v="No"/>
    <x v="0"/>
    <n v="1403"/>
  </r>
  <r>
    <n v="877"/>
    <d v="2023-02-06T12:00:00"/>
    <x v="1"/>
    <n v="6"/>
    <x v="0"/>
    <s v="Honda"/>
    <x v="0"/>
    <x v="2"/>
    <n v="89814"/>
    <n v="2"/>
    <n v="119430"/>
    <n v="22543"/>
    <n v="5"/>
    <s v="Yes"/>
    <x v="1"/>
    <n v="96887"/>
  </r>
  <r>
    <n v="878"/>
    <d v="2023-02-06T13:00:00"/>
    <x v="1"/>
    <n v="6"/>
    <x v="0"/>
    <s v="Hero"/>
    <x v="0"/>
    <x v="2"/>
    <n v="23321"/>
    <n v="8"/>
    <n v="140957"/>
    <n v="122211"/>
    <n v="9"/>
    <s v="No"/>
    <x v="0"/>
    <n v="18746"/>
  </r>
  <r>
    <n v="879"/>
    <d v="2023-02-06T14:00:00"/>
    <x v="1"/>
    <n v="6"/>
    <x v="0"/>
    <s v="Yamaha"/>
    <x v="0"/>
    <x v="1"/>
    <n v="5195"/>
    <n v="4"/>
    <n v="42748"/>
    <n v="97162"/>
    <n v="8"/>
    <s v="No"/>
    <x v="0"/>
    <n v="-54414"/>
  </r>
  <r>
    <n v="880"/>
    <d v="2023-02-06T15:00:00"/>
    <x v="1"/>
    <n v="6"/>
    <x v="0"/>
    <s v="TVS"/>
    <x v="0"/>
    <x v="3"/>
    <n v="77566"/>
    <n v="1"/>
    <n v="113636"/>
    <n v="54278"/>
    <n v="13"/>
    <s v="No"/>
    <x v="0"/>
    <n v="59358"/>
  </r>
  <r>
    <n v="881"/>
    <d v="2023-02-06T16:00:00"/>
    <x v="1"/>
    <n v="6"/>
    <x v="0"/>
    <s v="Bajaj"/>
    <x v="0"/>
    <x v="1"/>
    <n v="14818"/>
    <n v="9"/>
    <n v="140158"/>
    <n v="44607"/>
    <n v="12"/>
    <s v="No"/>
    <x v="0"/>
    <n v="95551"/>
  </r>
  <r>
    <n v="882"/>
    <d v="2023-02-06T17:00:00"/>
    <x v="1"/>
    <n v="6"/>
    <x v="0"/>
    <s v="Yamaha"/>
    <x v="0"/>
    <x v="3"/>
    <n v="51434"/>
    <n v="5"/>
    <n v="35246"/>
    <n v="100835"/>
    <n v="14"/>
    <s v="No"/>
    <x v="0"/>
    <n v="-65589"/>
  </r>
  <r>
    <n v="883"/>
    <d v="2023-02-06T18:00:00"/>
    <x v="1"/>
    <n v="6"/>
    <x v="0"/>
    <s v="TVS"/>
    <x v="0"/>
    <x v="1"/>
    <n v="22831"/>
    <n v="7"/>
    <n v="84395"/>
    <n v="139403"/>
    <n v="3"/>
    <s v="Yes"/>
    <x v="0"/>
    <n v="-55008"/>
  </r>
  <r>
    <n v="884"/>
    <d v="2023-02-06T19:00:00"/>
    <x v="1"/>
    <n v="6"/>
    <x v="0"/>
    <s v="TVS"/>
    <x v="0"/>
    <x v="0"/>
    <n v="53172"/>
    <n v="5"/>
    <n v="75300"/>
    <n v="32221"/>
    <n v="9"/>
    <s v="No"/>
    <x v="1"/>
    <n v="43079"/>
  </r>
  <r>
    <n v="885"/>
    <d v="2023-02-06T20:00:00"/>
    <x v="1"/>
    <n v="6"/>
    <x v="0"/>
    <s v="Honda"/>
    <x v="0"/>
    <x v="0"/>
    <n v="92391"/>
    <n v="3"/>
    <n v="159158"/>
    <n v="18323"/>
    <n v="10"/>
    <s v="No"/>
    <x v="0"/>
    <n v="140835"/>
  </r>
  <r>
    <n v="886"/>
    <d v="2023-02-06T21:00:00"/>
    <x v="1"/>
    <n v="6"/>
    <x v="0"/>
    <s v="Hero"/>
    <x v="1"/>
    <x v="2"/>
    <n v="77360"/>
    <n v="5"/>
    <n v="39860"/>
    <n v="67105"/>
    <n v="3"/>
    <s v="Yes"/>
    <x v="0"/>
    <n v="-27245"/>
  </r>
  <r>
    <n v="887"/>
    <d v="2023-02-06T22:00:00"/>
    <x v="1"/>
    <n v="6"/>
    <x v="0"/>
    <s v="Hero"/>
    <x v="0"/>
    <x v="0"/>
    <n v="94185"/>
    <n v="7"/>
    <n v="42013"/>
    <n v="122841"/>
    <n v="10"/>
    <s v="No"/>
    <x v="0"/>
    <n v="-80828"/>
  </r>
  <r>
    <n v="888"/>
    <d v="2023-02-06T23:00:00"/>
    <x v="1"/>
    <n v="6"/>
    <x v="0"/>
    <s v="Yamaha"/>
    <x v="0"/>
    <x v="2"/>
    <n v="69254"/>
    <n v="7"/>
    <n v="163479"/>
    <n v="91151"/>
    <n v="12"/>
    <s v="No"/>
    <x v="0"/>
    <n v="72328"/>
  </r>
  <r>
    <n v="889"/>
    <d v="2023-02-07T00:00:00"/>
    <x v="1"/>
    <n v="6"/>
    <x v="0"/>
    <s v="Hero"/>
    <x v="0"/>
    <x v="3"/>
    <n v="86177"/>
    <n v="9"/>
    <n v="58542"/>
    <n v="139908"/>
    <n v="14"/>
    <s v="No"/>
    <x v="0"/>
    <n v="-81366"/>
  </r>
  <r>
    <n v="890"/>
    <d v="2023-02-07T01:00:00"/>
    <x v="1"/>
    <n v="6"/>
    <x v="0"/>
    <s v="Bajaj"/>
    <x v="0"/>
    <x v="0"/>
    <n v="3337"/>
    <n v="1"/>
    <n v="49935"/>
    <n v="81968"/>
    <n v="8"/>
    <s v="No"/>
    <x v="0"/>
    <n v="-32033"/>
  </r>
  <r>
    <n v="891"/>
    <d v="2023-02-07T02:00:00"/>
    <x v="1"/>
    <n v="6"/>
    <x v="0"/>
    <s v="Hero"/>
    <x v="0"/>
    <x v="3"/>
    <n v="40577"/>
    <n v="7"/>
    <n v="74079"/>
    <n v="38238"/>
    <n v="1"/>
    <s v="Yes"/>
    <x v="0"/>
    <n v="35841"/>
  </r>
  <r>
    <n v="892"/>
    <d v="2023-02-07T03:00:00"/>
    <x v="1"/>
    <n v="6"/>
    <x v="0"/>
    <s v="Yamaha"/>
    <x v="0"/>
    <x v="1"/>
    <n v="80415"/>
    <n v="5"/>
    <n v="59111"/>
    <n v="120959"/>
    <n v="4"/>
    <s v="Yes"/>
    <x v="0"/>
    <n v="-61848"/>
  </r>
  <r>
    <n v="893"/>
    <d v="2023-02-07T04:00:00"/>
    <x v="1"/>
    <n v="6"/>
    <x v="0"/>
    <s v="Hero"/>
    <x v="0"/>
    <x v="3"/>
    <n v="4739"/>
    <n v="1"/>
    <n v="81550"/>
    <n v="78830"/>
    <n v="4"/>
    <s v="Yes"/>
    <x v="0"/>
    <n v="2720"/>
  </r>
  <r>
    <n v="894"/>
    <d v="2023-02-07T05:00:00"/>
    <x v="1"/>
    <n v="6"/>
    <x v="0"/>
    <s v="Bajaj"/>
    <x v="0"/>
    <x v="1"/>
    <n v="86848"/>
    <n v="0"/>
    <n v="101955"/>
    <n v="88967"/>
    <n v="6"/>
    <s v="Yes"/>
    <x v="0"/>
    <n v="12988"/>
  </r>
  <r>
    <n v="895"/>
    <d v="2023-02-07T06:00:00"/>
    <x v="1"/>
    <n v="6"/>
    <x v="0"/>
    <s v="Honda"/>
    <x v="0"/>
    <x v="3"/>
    <n v="30169"/>
    <n v="5"/>
    <n v="65565"/>
    <n v="23330"/>
    <n v="12"/>
    <s v="No"/>
    <x v="1"/>
    <n v="42235"/>
  </r>
  <r>
    <n v="896"/>
    <d v="2023-02-07T07:00:00"/>
    <x v="1"/>
    <n v="6"/>
    <x v="0"/>
    <s v="Yamaha"/>
    <x v="0"/>
    <x v="3"/>
    <n v="49124"/>
    <n v="6"/>
    <n v="44283"/>
    <n v="59153"/>
    <n v="12"/>
    <s v="No"/>
    <x v="0"/>
    <n v="-14870"/>
  </r>
  <r>
    <n v="897"/>
    <d v="2023-02-07T08:00:00"/>
    <x v="1"/>
    <n v="6"/>
    <x v="0"/>
    <s v="Honda"/>
    <x v="0"/>
    <x v="0"/>
    <n v="75647"/>
    <n v="9"/>
    <n v="91470"/>
    <n v="23611"/>
    <n v="2"/>
    <s v="Yes"/>
    <x v="0"/>
    <n v="67859"/>
  </r>
  <r>
    <n v="898"/>
    <d v="2023-02-07T09:00:00"/>
    <x v="1"/>
    <n v="6"/>
    <x v="0"/>
    <s v="Honda"/>
    <x v="0"/>
    <x v="3"/>
    <n v="4650"/>
    <n v="4"/>
    <n v="111916"/>
    <n v="28872"/>
    <n v="7"/>
    <s v="Yes"/>
    <x v="0"/>
    <n v="83044"/>
  </r>
  <r>
    <n v="899"/>
    <d v="2023-02-07T10:00:00"/>
    <x v="1"/>
    <n v="6"/>
    <x v="0"/>
    <s v="Honda"/>
    <x v="0"/>
    <x v="0"/>
    <n v="11609"/>
    <n v="9"/>
    <n v="104552"/>
    <n v="64455"/>
    <n v="5"/>
    <s v="Yes"/>
    <x v="0"/>
    <n v="40097"/>
  </r>
  <r>
    <n v="900"/>
    <d v="2023-02-07T11:00:00"/>
    <x v="1"/>
    <n v="6"/>
    <x v="0"/>
    <s v="TVS"/>
    <x v="0"/>
    <x v="0"/>
    <n v="26516"/>
    <n v="7"/>
    <n v="63233"/>
    <n v="49930"/>
    <n v="10"/>
    <s v="No"/>
    <x v="0"/>
    <n v="13303"/>
  </r>
  <r>
    <n v="901"/>
    <d v="2023-02-07T12:00:00"/>
    <x v="1"/>
    <n v="6"/>
    <x v="0"/>
    <s v="TVS"/>
    <x v="0"/>
    <x v="2"/>
    <n v="12436"/>
    <n v="8"/>
    <n v="47695"/>
    <n v="87022"/>
    <n v="6"/>
    <s v="Yes"/>
    <x v="0"/>
    <n v="-39327"/>
  </r>
  <r>
    <n v="902"/>
    <d v="2023-02-07T13:00:00"/>
    <x v="1"/>
    <n v="6"/>
    <x v="0"/>
    <s v="Honda"/>
    <x v="0"/>
    <x v="2"/>
    <n v="11536"/>
    <n v="3"/>
    <n v="151440"/>
    <n v="77714"/>
    <n v="11"/>
    <s v="No"/>
    <x v="0"/>
    <n v="73726"/>
  </r>
  <r>
    <n v="903"/>
    <d v="2023-02-07T14:00:00"/>
    <x v="1"/>
    <n v="6"/>
    <x v="0"/>
    <s v="Yamaha"/>
    <x v="0"/>
    <x v="1"/>
    <n v="39736"/>
    <n v="6"/>
    <n v="106257"/>
    <n v="139906"/>
    <n v="14"/>
    <s v="No"/>
    <x v="0"/>
    <n v="-33649"/>
  </r>
  <r>
    <n v="904"/>
    <d v="2023-02-07T15:00:00"/>
    <x v="1"/>
    <n v="6"/>
    <x v="0"/>
    <s v="Bajaj"/>
    <x v="0"/>
    <x v="3"/>
    <n v="14521"/>
    <n v="7"/>
    <n v="26505"/>
    <n v="117406"/>
    <n v="6"/>
    <s v="Yes"/>
    <x v="0"/>
    <n v="-90901"/>
  </r>
  <r>
    <n v="905"/>
    <d v="2023-02-07T16:00:00"/>
    <x v="1"/>
    <n v="6"/>
    <x v="0"/>
    <s v="Bajaj"/>
    <x v="0"/>
    <x v="1"/>
    <n v="37443"/>
    <n v="5"/>
    <n v="161435"/>
    <n v="103794"/>
    <n v="14"/>
    <s v="No"/>
    <x v="0"/>
    <n v="57641"/>
  </r>
  <r>
    <n v="906"/>
    <d v="2023-02-07T17:00:00"/>
    <x v="1"/>
    <n v="6"/>
    <x v="0"/>
    <s v="Hero"/>
    <x v="0"/>
    <x v="3"/>
    <n v="81507"/>
    <n v="1"/>
    <n v="68614"/>
    <n v="63716"/>
    <n v="14"/>
    <s v="No"/>
    <x v="0"/>
    <n v="4898"/>
  </r>
  <r>
    <n v="907"/>
    <d v="2023-02-07T18:00:00"/>
    <x v="1"/>
    <n v="6"/>
    <x v="0"/>
    <s v="Yamaha"/>
    <x v="0"/>
    <x v="2"/>
    <n v="50516"/>
    <n v="6"/>
    <n v="26010"/>
    <n v="123722"/>
    <n v="12"/>
    <s v="No"/>
    <x v="0"/>
    <n v="-97712"/>
  </r>
  <r>
    <n v="908"/>
    <d v="2023-02-07T19:00:00"/>
    <x v="1"/>
    <n v="6"/>
    <x v="0"/>
    <s v="TVS"/>
    <x v="0"/>
    <x v="2"/>
    <n v="23744"/>
    <n v="8"/>
    <n v="155560"/>
    <n v="81704"/>
    <n v="14"/>
    <s v="No"/>
    <x v="0"/>
    <n v="73856"/>
  </r>
  <r>
    <n v="909"/>
    <d v="2023-02-07T20:00:00"/>
    <x v="1"/>
    <n v="6"/>
    <x v="0"/>
    <s v="Honda"/>
    <x v="1"/>
    <x v="3"/>
    <n v="63527"/>
    <n v="4"/>
    <n v="175933"/>
    <n v="15415"/>
    <n v="11"/>
    <s v="No"/>
    <x v="0"/>
    <n v="160518"/>
  </r>
  <r>
    <n v="910"/>
    <d v="2023-02-07T21:00:00"/>
    <x v="1"/>
    <n v="6"/>
    <x v="0"/>
    <s v="Hero"/>
    <x v="1"/>
    <x v="3"/>
    <n v="39485"/>
    <n v="1"/>
    <n v="165441"/>
    <n v="91441"/>
    <n v="6"/>
    <s v="Yes"/>
    <x v="0"/>
    <n v="74000"/>
  </r>
  <r>
    <n v="911"/>
    <d v="2023-02-07T22:00:00"/>
    <x v="1"/>
    <n v="6"/>
    <x v="0"/>
    <s v="Bajaj"/>
    <x v="0"/>
    <x v="2"/>
    <n v="2002"/>
    <n v="3"/>
    <n v="94393"/>
    <n v="126736"/>
    <n v="10"/>
    <s v="No"/>
    <x v="0"/>
    <n v="-32343"/>
  </r>
  <r>
    <n v="912"/>
    <d v="2023-02-07T23:00:00"/>
    <x v="1"/>
    <n v="6"/>
    <x v="0"/>
    <s v="TVS"/>
    <x v="0"/>
    <x v="2"/>
    <n v="54336"/>
    <n v="2"/>
    <n v="89512"/>
    <n v="85779"/>
    <n v="12"/>
    <s v="No"/>
    <x v="0"/>
    <n v="3733"/>
  </r>
  <r>
    <n v="913"/>
    <d v="2023-02-08T00:00:00"/>
    <x v="1"/>
    <n v="6"/>
    <x v="0"/>
    <s v="TVS"/>
    <x v="0"/>
    <x v="1"/>
    <n v="4270"/>
    <n v="3"/>
    <n v="123026"/>
    <n v="97069"/>
    <n v="8"/>
    <s v="No"/>
    <x v="0"/>
    <n v="25957"/>
  </r>
  <r>
    <n v="914"/>
    <d v="2023-02-08T01:00:00"/>
    <x v="1"/>
    <n v="6"/>
    <x v="0"/>
    <s v="Honda"/>
    <x v="0"/>
    <x v="2"/>
    <n v="43365"/>
    <n v="9"/>
    <n v="100656"/>
    <n v="107556"/>
    <n v="10"/>
    <s v="No"/>
    <x v="0"/>
    <n v="-6900"/>
  </r>
  <r>
    <n v="915"/>
    <d v="2023-02-08T02:00:00"/>
    <x v="1"/>
    <n v="6"/>
    <x v="0"/>
    <s v="Bajaj"/>
    <x v="1"/>
    <x v="3"/>
    <n v="54311"/>
    <n v="6"/>
    <n v="122686"/>
    <n v="103444"/>
    <n v="4"/>
    <s v="Yes"/>
    <x v="0"/>
    <n v="19242"/>
  </r>
  <r>
    <n v="916"/>
    <d v="2023-02-08T03:00:00"/>
    <x v="1"/>
    <n v="6"/>
    <x v="0"/>
    <s v="Yamaha"/>
    <x v="0"/>
    <x v="1"/>
    <n v="4501"/>
    <n v="9"/>
    <n v="40489"/>
    <n v="86435"/>
    <n v="10"/>
    <s v="No"/>
    <x v="0"/>
    <n v="-45946"/>
  </r>
  <r>
    <n v="917"/>
    <d v="2023-02-08T04:00:00"/>
    <x v="1"/>
    <n v="6"/>
    <x v="0"/>
    <s v="TVS"/>
    <x v="0"/>
    <x v="3"/>
    <n v="61348"/>
    <n v="7"/>
    <n v="84789"/>
    <n v="114142"/>
    <n v="8"/>
    <s v="No"/>
    <x v="0"/>
    <n v="-29353"/>
  </r>
  <r>
    <n v="918"/>
    <d v="2023-02-08T05:00:00"/>
    <x v="1"/>
    <n v="6"/>
    <x v="0"/>
    <s v="Honda"/>
    <x v="1"/>
    <x v="0"/>
    <n v="53135"/>
    <n v="0"/>
    <n v="94925"/>
    <n v="119448"/>
    <n v="9"/>
    <s v="No"/>
    <x v="0"/>
    <n v="-24523"/>
  </r>
  <r>
    <n v="919"/>
    <d v="2023-02-08T06:00:00"/>
    <x v="1"/>
    <n v="6"/>
    <x v="0"/>
    <s v="Yamaha"/>
    <x v="0"/>
    <x v="1"/>
    <n v="21446"/>
    <n v="7"/>
    <n v="74703"/>
    <n v="24888"/>
    <n v="13"/>
    <s v="No"/>
    <x v="0"/>
    <n v="49815"/>
  </r>
  <r>
    <n v="920"/>
    <d v="2023-02-08T07:00:00"/>
    <x v="1"/>
    <n v="6"/>
    <x v="0"/>
    <s v="Bajaj"/>
    <x v="0"/>
    <x v="3"/>
    <n v="66634"/>
    <n v="4"/>
    <n v="101625"/>
    <n v="60299"/>
    <n v="13"/>
    <s v="No"/>
    <x v="0"/>
    <n v="41326"/>
  </r>
  <r>
    <n v="921"/>
    <d v="2023-02-08T08:00:00"/>
    <x v="1"/>
    <n v="6"/>
    <x v="0"/>
    <s v="TVS"/>
    <x v="1"/>
    <x v="2"/>
    <n v="96352"/>
    <n v="6"/>
    <n v="132535"/>
    <n v="139790"/>
    <n v="4"/>
    <s v="Yes"/>
    <x v="0"/>
    <n v="-7255"/>
  </r>
  <r>
    <n v="922"/>
    <d v="2023-02-08T09:00:00"/>
    <x v="1"/>
    <n v="6"/>
    <x v="0"/>
    <s v="Yamaha"/>
    <x v="0"/>
    <x v="0"/>
    <n v="91603"/>
    <n v="0"/>
    <n v="28051"/>
    <n v="73765"/>
    <n v="1"/>
    <s v="Yes"/>
    <x v="0"/>
    <n v="-45714"/>
  </r>
  <r>
    <n v="923"/>
    <d v="2023-02-08T10:00:00"/>
    <x v="1"/>
    <n v="6"/>
    <x v="0"/>
    <s v="Yamaha"/>
    <x v="0"/>
    <x v="3"/>
    <n v="92544"/>
    <n v="1"/>
    <n v="53805"/>
    <n v="77714"/>
    <n v="3"/>
    <s v="Yes"/>
    <x v="1"/>
    <n v="-23909"/>
  </r>
  <r>
    <n v="924"/>
    <d v="2023-02-08T11:00:00"/>
    <x v="1"/>
    <n v="6"/>
    <x v="0"/>
    <s v="Yamaha"/>
    <x v="0"/>
    <x v="1"/>
    <n v="44244"/>
    <n v="0"/>
    <n v="119978"/>
    <n v="30935"/>
    <n v="1"/>
    <s v="Yes"/>
    <x v="0"/>
    <n v="89043"/>
  </r>
  <r>
    <n v="925"/>
    <d v="2023-02-08T12:00:00"/>
    <x v="1"/>
    <n v="6"/>
    <x v="0"/>
    <s v="TVS"/>
    <x v="0"/>
    <x v="3"/>
    <n v="39659"/>
    <n v="4"/>
    <n v="69557"/>
    <n v="88002"/>
    <n v="7"/>
    <s v="Yes"/>
    <x v="0"/>
    <n v="-18445"/>
  </r>
  <r>
    <n v="926"/>
    <d v="2023-02-08T13:00:00"/>
    <x v="1"/>
    <n v="6"/>
    <x v="0"/>
    <s v="TVS"/>
    <x v="0"/>
    <x v="0"/>
    <n v="96312"/>
    <n v="5"/>
    <n v="158627"/>
    <n v="95631"/>
    <n v="12"/>
    <s v="No"/>
    <x v="0"/>
    <n v="62996"/>
  </r>
  <r>
    <n v="927"/>
    <d v="2023-02-08T14:00:00"/>
    <x v="1"/>
    <n v="6"/>
    <x v="0"/>
    <s v="Hero"/>
    <x v="0"/>
    <x v="1"/>
    <n v="24171"/>
    <n v="9"/>
    <n v="75241"/>
    <n v="91729"/>
    <n v="1"/>
    <s v="Yes"/>
    <x v="0"/>
    <n v="-16488"/>
  </r>
  <r>
    <n v="928"/>
    <d v="2023-02-08T15:00:00"/>
    <x v="1"/>
    <n v="6"/>
    <x v="0"/>
    <s v="Bajaj"/>
    <x v="1"/>
    <x v="0"/>
    <n v="16950"/>
    <n v="8"/>
    <n v="152838"/>
    <n v="16320"/>
    <n v="11"/>
    <s v="No"/>
    <x v="0"/>
    <n v="136518"/>
  </r>
  <r>
    <n v="929"/>
    <d v="2023-02-08T16:00:00"/>
    <x v="1"/>
    <n v="6"/>
    <x v="0"/>
    <s v="Honda"/>
    <x v="0"/>
    <x v="3"/>
    <n v="15408"/>
    <n v="7"/>
    <n v="90994"/>
    <n v="61032"/>
    <n v="4"/>
    <s v="Yes"/>
    <x v="0"/>
    <n v="29962"/>
  </r>
  <r>
    <n v="930"/>
    <d v="2023-02-08T17:00:00"/>
    <x v="1"/>
    <n v="6"/>
    <x v="0"/>
    <s v="Yamaha"/>
    <x v="0"/>
    <x v="2"/>
    <n v="57775"/>
    <n v="6"/>
    <n v="139005"/>
    <n v="92763"/>
    <n v="13"/>
    <s v="No"/>
    <x v="0"/>
    <n v="46242"/>
  </r>
  <r>
    <n v="931"/>
    <d v="2023-02-08T18:00:00"/>
    <x v="1"/>
    <n v="6"/>
    <x v="0"/>
    <s v="Hero"/>
    <x v="0"/>
    <x v="2"/>
    <n v="44858"/>
    <n v="4"/>
    <n v="41066"/>
    <n v="32907"/>
    <n v="14"/>
    <s v="No"/>
    <x v="1"/>
    <n v="8159"/>
  </r>
  <r>
    <n v="932"/>
    <d v="2023-02-08T19:00:00"/>
    <x v="1"/>
    <n v="6"/>
    <x v="0"/>
    <s v="Honda"/>
    <x v="0"/>
    <x v="3"/>
    <n v="49547"/>
    <n v="2"/>
    <n v="160793"/>
    <n v="53002"/>
    <n v="1"/>
    <s v="Yes"/>
    <x v="0"/>
    <n v="107791"/>
  </r>
  <r>
    <n v="933"/>
    <d v="2023-02-08T20:00:00"/>
    <x v="1"/>
    <n v="6"/>
    <x v="0"/>
    <s v="Hero"/>
    <x v="0"/>
    <x v="3"/>
    <n v="36018"/>
    <n v="8"/>
    <n v="102982"/>
    <n v="59838"/>
    <n v="13"/>
    <s v="No"/>
    <x v="1"/>
    <n v="43144"/>
  </r>
  <r>
    <n v="934"/>
    <d v="2023-02-08T21:00:00"/>
    <x v="1"/>
    <n v="6"/>
    <x v="0"/>
    <s v="TVS"/>
    <x v="0"/>
    <x v="3"/>
    <n v="58313"/>
    <n v="4"/>
    <n v="31304"/>
    <n v="53912"/>
    <n v="13"/>
    <s v="No"/>
    <x v="0"/>
    <n v="-22608"/>
  </r>
  <r>
    <n v="935"/>
    <d v="2023-02-08T22:00:00"/>
    <x v="1"/>
    <n v="6"/>
    <x v="0"/>
    <s v="Yamaha"/>
    <x v="0"/>
    <x v="1"/>
    <n v="97248"/>
    <n v="2"/>
    <n v="67967"/>
    <n v="15552"/>
    <n v="2"/>
    <s v="Yes"/>
    <x v="0"/>
    <n v="52415"/>
  </r>
  <r>
    <n v="936"/>
    <d v="2023-02-08T23:00:00"/>
    <x v="1"/>
    <n v="6"/>
    <x v="0"/>
    <s v="Honda"/>
    <x v="0"/>
    <x v="0"/>
    <n v="7306"/>
    <n v="2"/>
    <n v="103763"/>
    <n v="35140"/>
    <n v="11"/>
    <s v="No"/>
    <x v="0"/>
    <n v="68623"/>
  </r>
  <r>
    <n v="937"/>
    <d v="2023-02-09T00:00:00"/>
    <x v="1"/>
    <n v="6"/>
    <x v="0"/>
    <s v="Honda"/>
    <x v="0"/>
    <x v="0"/>
    <n v="41391"/>
    <n v="2"/>
    <n v="65462"/>
    <n v="100591"/>
    <n v="14"/>
    <s v="No"/>
    <x v="0"/>
    <n v="-35129"/>
  </r>
  <r>
    <n v="938"/>
    <d v="2023-02-09T01:00:00"/>
    <x v="1"/>
    <n v="6"/>
    <x v="0"/>
    <s v="Honda"/>
    <x v="0"/>
    <x v="0"/>
    <n v="84051"/>
    <n v="5"/>
    <n v="145356"/>
    <n v="130169"/>
    <n v="1"/>
    <s v="Yes"/>
    <x v="0"/>
    <n v="15187"/>
  </r>
  <r>
    <n v="939"/>
    <d v="2023-02-09T02:00:00"/>
    <x v="1"/>
    <n v="6"/>
    <x v="0"/>
    <s v="Honda"/>
    <x v="0"/>
    <x v="3"/>
    <n v="39720"/>
    <n v="0"/>
    <n v="96834"/>
    <n v="63737"/>
    <n v="13"/>
    <s v="No"/>
    <x v="0"/>
    <n v="33097"/>
  </r>
  <r>
    <n v="940"/>
    <d v="2023-02-09T03:00:00"/>
    <x v="1"/>
    <n v="6"/>
    <x v="0"/>
    <s v="Honda"/>
    <x v="0"/>
    <x v="0"/>
    <n v="17658"/>
    <n v="3"/>
    <n v="136023"/>
    <n v="48367"/>
    <n v="5"/>
    <s v="Yes"/>
    <x v="0"/>
    <n v="87656"/>
  </r>
  <r>
    <n v="941"/>
    <d v="2023-02-09T04:00:00"/>
    <x v="1"/>
    <n v="6"/>
    <x v="0"/>
    <s v="Hero"/>
    <x v="0"/>
    <x v="3"/>
    <n v="81492"/>
    <n v="7"/>
    <n v="142771"/>
    <n v="95634"/>
    <n v="7"/>
    <s v="Yes"/>
    <x v="0"/>
    <n v="47137"/>
  </r>
  <r>
    <n v="942"/>
    <d v="2023-02-09T05:00:00"/>
    <x v="1"/>
    <n v="6"/>
    <x v="0"/>
    <s v="Yamaha"/>
    <x v="0"/>
    <x v="1"/>
    <n v="28088"/>
    <n v="2"/>
    <n v="100842"/>
    <n v="39061"/>
    <n v="3"/>
    <s v="Yes"/>
    <x v="0"/>
    <n v="61781"/>
  </r>
  <r>
    <n v="943"/>
    <d v="2023-02-09T06:00:00"/>
    <x v="1"/>
    <n v="6"/>
    <x v="0"/>
    <s v="TVS"/>
    <x v="0"/>
    <x v="2"/>
    <n v="63076"/>
    <n v="4"/>
    <n v="27589"/>
    <n v="111590"/>
    <n v="14"/>
    <s v="No"/>
    <x v="0"/>
    <n v="-84001"/>
  </r>
  <r>
    <n v="944"/>
    <d v="2023-02-09T07:00:00"/>
    <x v="1"/>
    <n v="6"/>
    <x v="0"/>
    <s v="TVS"/>
    <x v="0"/>
    <x v="3"/>
    <n v="88527"/>
    <n v="1"/>
    <n v="150023"/>
    <n v="95336"/>
    <n v="8"/>
    <s v="No"/>
    <x v="1"/>
    <n v="54687"/>
  </r>
  <r>
    <n v="945"/>
    <d v="2023-02-09T08:00:00"/>
    <x v="1"/>
    <n v="6"/>
    <x v="0"/>
    <s v="TVS"/>
    <x v="0"/>
    <x v="3"/>
    <n v="24688"/>
    <n v="1"/>
    <n v="79918"/>
    <n v="57124"/>
    <n v="14"/>
    <s v="No"/>
    <x v="0"/>
    <n v="22794"/>
  </r>
  <r>
    <n v="946"/>
    <d v="2023-02-09T09:00:00"/>
    <x v="1"/>
    <n v="6"/>
    <x v="0"/>
    <s v="TVS"/>
    <x v="0"/>
    <x v="2"/>
    <n v="93115"/>
    <n v="6"/>
    <n v="169673"/>
    <n v="60638"/>
    <n v="5"/>
    <s v="Yes"/>
    <x v="0"/>
    <n v="109035"/>
  </r>
  <r>
    <n v="947"/>
    <d v="2023-02-09T10:00:00"/>
    <x v="1"/>
    <n v="6"/>
    <x v="0"/>
    <s v="Hero"/>
    <x v="0"/>
    <x v="2"/>
    <n v="59330"/>
    <n v="9"/>
    <n v="32711"/>
    <n v="125728"/>
    <n v="5"/>
    <s v="Yes"/>
    <x v="0"/>
    <n v="-93017"/>
  </r>
  <r>
    <n v="948"/>
    <d v="2023-02-09T11:00:00"/>
    <x v="1"/>
    <n v="6"/>
    <x v="0"/>
    <s v="Bajaj"/>
    <x v="0"/>
    <x v="1"/>
    <n v="4519"/>
    <n v="2"/>
    <n v="84430"/>
    <n v="106115"/>
    <n v="13"/>
    <s v="No"/>
    <x v="0"/>
    <n v="-21685"/>
  </r>
  <r>
    <n v="949"/>
    <d v="2023-02-09T12:00:00"/>
    <x v="1"/>
    <n v="6"/>
    <x v="0"/>
    <s v="Yamaha"/>
    <x v="0"/>
    <x v="0"/>
    <n v="12919"/>
    <n v="4"/>
    <n v="127605"/>
    <n v="16982"/>
    <n v="5"/>
    <s v="Yes"/>
    <x v="0"/>
    <n v="110623"/>
  </r>
  <r>
    <n v="950"/>
    <d v="2023-02-09T13:00:00"/>
    <x v="1"/>
    <n v="6"/>
    <x v="0"/>
    <s v="Honda"/>
    <x v="0"/>
    <x v="3"/>
    <n v="34197"/>
    <n v="2"/>
    <n v="28970"/>
    <n v="131322"/>
    <n v="8"/>
    <s v="No"/>
    <x v="0"/>
    <n v="-102352"/>
  </r>
  <r>
    <n v="951"/>
    <d v="2023-02-09T14:00:00"/>
    <x v="1"/>
    <n v="6"/>
    <x v="0"/>
    <s v="Bajaj"/>
    <x v="0"/>
    <x v="0"/>
    <n v="85432"/>
    <n v="5"/>
    <n v="94535"/>
    <n v="121134"/>
    <n v="2"/>
    <s v="Yes"/>
    <x v="1"/>
    <n v="-26599"/>
  </r>
  <r>
    <n v="952"/>
    <d v="2023-02-09T15:00:00"/>
    <x v="1"/>
    <n v="6"/>
    <x v="0"/>
    <s v="TVS"/>
    <x v="0"/>
    <x v="3"/>
    <n v="95928"/>
    <n v="9"/>
    <n v="111570"/>
    <n v="50765"/>
    <n v="2"/>
    <s v="Yes"/>
    <x v="0"/>
    <n v="60805"/>
  </r>
  <r>
    <n v="953"/>
    <d v="2023-02-09T16:00:00"/>
    <x v="1"/>
    <n v="6"/>
    <x v="0"/>
    <s v="Bajaj"/>
    <x v="0"/>
    <x v="1"/>
    <n v="8473"/>
    <n v="2"/>
    <n v="146315"/>
    <n v="97606"/>
    <n v="14"/>
    <s v="No"/>
    <x v="1"/>
    <n v="48709"/>
  </r>
  <r>
    <n v="954"/>
    <d v="2023-02-09T17:00:00"/>
    <x v="1"/>
    <n v="6"/>
    <x v="0"/>
    <s v="Yamaha"/>
    <x v="0"/>
    <x v="2"/>
    <n v="87149"/>
    <n v="7"/>
    <n v="137111"/>
    <n v="111422"/>
    <n v="12"/>
    <s v="No"/>
    <x v="0"/>
    <n v="25689"/>
  </r>
  <r>
    <n v="955"/>
    <d v="2023-02-09T18:00:00"/>
    <x v="1"/>
    <n v="6"/>
    <x v="0"/>
    <s v="Honda"/>
    <x v="0"/>
    <x v="1"/>
    <n v="11636"/>
    <n v="1"/>
    <n v="66730"/>
    <n v="124910"/>
    <n v="8"/>
    <s v="No"/>
    <x v="0"/>
    <n v="-58180"/>
  </r>
  <r>
    <n v="956"/>
    <d v="2023-02-09T19:00:00"/>
    <x v="1"/>
    <n v="6"/>
    <x v="0"/>
    <s v="Honda"/>
    <x v="0"/>
    <x v="2"/>
    <n v="85239"/>
    <n v="2"/>
    <n v="169457"/>
    <n v="69681"/>
    <n v="9"/>
    <s v="No"/>
    <x v="0"/>
    <n v="99776"/>
  </r>
  <r>
    <n v="957"/>
    <d v="2023-02-09T20:00:00"/>
    <x v="1"/>
    <n v="6"/>
    <x v="0"/>
    <s v="Yamaha"/>
    <x v="0"/>
    <x v="0"/>
    <n v="63002"/>
    <n v="7"/>
    <n v="148252"/>
    <n v="78232"/>
    <n v="11"/>
    <s v="No"/>
    <x v="0"/>
    <n v="70020"/>
  </r>
  <r>
    <n v="958"/>
    <d v="2023-02-09T21:00:00"/>
    <x v="1"/>
    <n v="6"/>
    <x v="0"/>
    <s v="Yamaha"/>
    <x v="0"/>
    <x v="0"/>
    <n v="31785"/>
    <n v="7"/>
    <n v="162022"/>
    <n v="77349"/>
    <n v="12"/>
    <s v="No"/>
    <x v="0"/>
    <n v="84673"/>
  </r>
  <r>
    <n v="959"/>
    <d v="2023-02-09T22:00:00"/>
    <x v="1"/>
    <n v="6"/>
    <x v="0"/>
    <s v="TVS"/>
    <x v="0"/>
    <x v="1"/>
    <n v="23539"/>
    <n v="0"/>
    <n v="179470"/>
    <n v="115063"/>
    <n v="10"/>
    <s v="No"/>
    <x v="0"/>
    <n v="64407"/>
  </r>
  <r>
    <n v="960"/>
    <d v="2023-02-09T23:00:00"/>
    <x v="1"/>
    <n v="6"/>
    <x v="0"/>
    <s v="Honda"/>
    <x v="0"/>
    <x v="2"/>
    <n v="67220"/>
    <n v="7"/>
    <n v="88944"/>
    <n v="78474"/>
    <n v="10"/>
    <s v="No"/>
    <x v="0"/>
    <n v="10470"/>
  </r>
  <r>
    <n v="961"/>
    <d v="2023-02-10T00:00:00"/>
    <x v="1"/>
    <n v="6"/>
    <x v="0"/>
    <s v="Bajaj"/>
    <x v="1"/>
    <x v="1"/>
    <n v="88763"/>
    <n v="9"/>
    <n v="132437"/>
    <n v="120327"/>
    <n v="2"/>
    <s v="Yes"/>
    <x v="0"/>
    <n v="12110"/>
  </r>
  <r>
    <n v="962"/>
    <d v="2023-02-10T01:00:00"/>
    <x v="1"/>
    <n v="6"/>
    <x v="0"/>
    <s v="Hero"/>
    <x v="0"/>
    <x v="2"/>
    <n v="59655"/>
    <n v="1"/>
    <n v="151794"/>
    <n v="44513"/>
    <n v="4"/>
    <s v="Yes"/>
    <x v="0"/>
    <n v="107281"/>
  </r>
  <r>
    <n v="963"/>
    <d v="2023-02-10T02:00:00"/>
    <x v="1"/>
    <n v="6"/>
    <x v="0"/>
    <s v="Hero"/>
    <x v="1"/>
    <x v="2"/>
    <n v="17411"/>
    <n v="6"/>
    <n v="97123"/>
    <n v="37592"/>
    <n v="8"/>
    <s v="No"/>
    <x v="0"/>
    <n v="59531"/>
  </r>
  <r>
    <n v="964"/>
    <d v="2023-02-10T03:00:00"/>
    <x v="1"/>
    <n v="6"/>
    <x v="0"/>
    <s v="Yamaha"/>
    <x v="0"/>
    <x v="0"/>
    <n v="1416"/>
    <n v="5"/>
    <n v="47880"/>
    <n v="127196"/>
    <n v="2"/>
    <s v="Yes"/>
    <x v="0"/>
    <n v="-79316"/>
  </r>
  <r>
    <n v="965"/>
    <d v="2023-02-10T04:00:00"/>
    <x v="1"/>
    <n v="6"/>
    <x v="0"/>
    <s v="TVS"/>
    <x v="0"/>
    <x v="0"/>
    <n v="59552"/>
    <n v="1"/>
    <n v="112829"/>
    <n v="38618"/>
    <n v="4"/>
    <s v="Yes"/>
    <x v="0"/>
    <n v="74211"/>
  </r>
  <r>
    <n v="966"/>
    <d v="2023-02-10T05:00:00"/>
    <x v="1"/>
    <n v="6"/>
    <x v="0"/>
    <s v="Hero"/>
    <x v="0"/>
    <x v="2"/>
    <n v="69610"/>
    <n v="4"/>
    <n v="157633"/>
    <n v="66632"/>
    <n v="10"/>
    <s v="No"/>
    <x v="0"/>
    <n v="91001"/>
  </r>
  <r>
    <n v="967"/>
    <d v="2023-02-10T06:00:00"/>
    <x v="1"/>
    <n v="6"/>
    <x v="0"/>
    <s v="Honda"/>
    <x v="1"/>
    <x v="2"/>
    <n v="18290"/>
    <n v="6"/>
    <n v="78205"/>
    <n v="30409"/>
    <n v="13"/>
    <s v="No"/>
    <x v="0"/>
    <n v="47796"/>
  </r>
  <r>
    <n v="968"/>
    <d v="2023-02-10T07:00:00"/>
    <x v="1"/>
    <n v="6"/>
    <x v="0"/>
    <s v="Yamaha"/>
    <x v="0"/>
    <x v="2"/>
    <n v="83661"/>
    <n v="7"/>
    <n v="131948"/>
    <n v="24529"/>
    <n v="13"/>
    <s v="No"/>
    <x v="0"/>
    <n v="107419"/>
  </r>
  <r>
    <n v="969"/>
    <d v="2023-02-10T08:00:00"/>
    <x v="1"/>
    <n v="6"/>
    <x v="0"/>
    <s v="Bajaj"/>
    <x v="0"/>
    <x v="0"/>
    <n v="5706"/>
    <n v="2"/>
    <n v="84810"/>
    <n v="137164"/>
    <n v="1"/>
    <s v="Yes"/>
    <x v="0"/>
    <n v="-52354"/>
  </r>
  <r>
    <n v="970"/>
    <d v="2023-02-10T09:00:00"/>
    <x v="1"/>
    <n v="6"/>
    <x v="0"/>
    <s v="Yamaha"/>
    <x v="0"/>
    <x v="0"/>
    <n v="85553"/>
    <n v="0"/>
    <n v="138089"/>
    <n v="39154"/>
    <n v="2"/>
    <s v="Yes"/>
    <x v="1"/>
    <n v="98935"/>
  </r>
  <r>
    <n v="971"/>
    <d v="2023-02-10T10:00:00"/>
    <x v="1"/>
    <n v="6"/>
    <x v="0"/>
    <s v="Bajaj"/>
    <x v="0"/>
    <x v="3"/>
    <n v="50450"/>
    <n v="6"/>
    <n v="89482"/>
    <n v="47882"/>
    <n v="7"/>
    <s v="Yes"/>
    <x v="1"/>
    <n v="41600"/>
  </r>
  <r>
    <n v="972"/>
    <d v="2023-02-10T11:00:00"/>
    <x v="1"/>
    <n v="6"/>
    <x v="0"/>
    <s v="Yamaha"/>
    <x v="0"/>
    <x v="2"/>
    <n v="56861"/>
    <n v="4"/>
    <n v="94192"/>
    <n v="59917"/>
    <n v="1"/>
    <s v="Yes"/>
    <x v="1"/>
    <n v="34275"/>
  </r>
  <r>
    <n v="973"/>
    <d v="2023-02-10T12:00:00"/>
    <x v="1"/>
    <n v="6"/>
    <x v="0"/>
    <s v="Yamaha"/>
    <x v="0"/>
    <x v="3"/>
    <n v="61951"/>
    <n v="4"/>
    <n v="112154"/>
    <n v="97488"/>
    <n v="12"/>
    <s v="No"/>
    <x v="0"/>
    <n v="14666"/>
  </r>
  <r>
    <n v="974"/>
    <d v="2023-02-10T13:00:00"/>
    <x v="1"/>
    <n v="6"/>
    <x v="0"/>
    <s v="Yamaha"/>
    <x v="0"/>
    <x v="2"/>
    <n v="38196"/>
    <n v="6"/>
    <n v="111066"/>
    <n v="30701"/>
    <n v="1"/>
    <s v="Yes"/>
    <x v="0"/>
    <n v="80365"/>
  </r>
  <r>
    <n v="975"/>
    <d v="2023-02-10T14:00:00"/>
    <x v="1"/>
    <n v="6"/>
    <x v="0"/>
    <s v="Bajaj"/>
    <x v="0"/>
    <x v="0"/>
    <n v="82141"/>
    <n v="0"/>
    <n v="172211"/>
    <n v="90281"/>
    <n v="2"/>
    <s v="Yes"/>
    <x v="1"/>
    <n v="81930"/>
  </r>
  <r>
    <n v="976"/>
    <d v="2023-02-10T15:00:00"/>
    <x v="1"/>
    <n v="6"/>
    <x v="0"/>
    <s v="Bajaj"/>
    <x v="0"/>
    <x v="3"/>
    <n v="68726"/>
    <n v="7"/>
    <n v="153514"/>
    <n v="104871"/>
    <n v="4"/>
    <s v="Yes"/>
    <x v="0"/>
    <n v="48643"/>
  </r>
  <r>
    <n v="977"/>
    <d v="2023-02-10T16:00:00"/>
    <x v="1"/>
    <n v="6"/>
    <x v="0"/>
    <s v="Yamaha"/>
    <x v="0"/>
    <x v="3"/>
    <n v="47228"/>
    <n v="9"/>
    <n v="57977"/>
    <n v="83225"/>
    <n v="7"/>
    <s v="Yes"/>
    <x v="1"/>
    <n v="-25248"/>
  </r>
  <r>
    <n v="978"/>
    <d v="2023-02-10T17:00:00"/>
    <x v="1"/>
    <n v="6"/>
    <x v="0"/>
    <s v="Hero"/>
    <x v="0"/>
    <x v="1"/>
    <n v="55901"/>
    <n v="4"/>
    <n v="29983"/>
    <n v="134278"/>
    <n v="4"/>
    <s v="Yes"/>
    <x v="0"/>
    <n v="-104295"/>
  </r>
  <r>
    <n v="979"/>
    <d v="2023-02-10T18:00:00"/>
    <x v="1"/>
    <n v="6"/>
    <x v="0"/>
    <s v="TVS"/>
    <x v="1"/>
    <x v="2"/>
    <n v="66726"/>
    <n v="7"/>
    <n v="74029"/>
    <n v="67492"/>
    <n v="5"/>
    <s v="Yes"/>
    <x v="0"/>
    <n v="6537"/>
  </r>
  <r>
    <n v="980"/>
    <d v="2023-02-10T19:00:00"/>
    <x v="1"/>
    <n v="6"/>
    <x v="0"/>
    <s v="TVS"/>
    <x v="0"/>
    <x v="0"/>
    <n v="25603"/>
    <n v="9"/>
    <n v="177401"/>
    <n v="17988"/>
    <n v="4"/>
    <s v="Yes"/>
    <x v="0"/>
    <n v="159413"/>
  </r>
  <r>
    <n v="981"/>
    <d v="2023-02-10T20:00:00"/>
    <x v="1"/>
    <n v="6"/>
    <x v="0"/>
    <s v="TVS"/>
    <x v="0"/>
    <x v="1"/>
    <n v="34763"/>
    <n v="9"/>
    <n v="147668"/>
    <n v="50919"/>
    <n v="4"/>
    <s v="Yes"/>
    <x v="0"/>
    <n v="96749"/>
  </r>
  <r>
    <n v="982"/>
    <d v="2023-02-10T21:00:00"/>
    <x v="1"/>
    <n v="6"/>
    <x v="0"/>
    <s v="Bajaj"/>
    <x v="0"/>
    <x v="1"/>
    <n v="77121"/>
    <n v="4"/>
    <n v="67837"/>
    <n v="125023"/>
    <n v="9"/>
    <s v="No"/>
    <x v="0"/>
    <n v="-57186"/>
  </r>
  <r>
    <n v="983"/>
    <d v="2023-02-10T22:00:00"/>
    <x v="1"/>
    <n v="6"/>
    <x v="0"/>
    <s v="Bajaj"/>
    <x v="0"/>
    <x v="2"/>
    <n v="50544"/>
    <n v="6"/>
    <n v="142512"/>
    <n v="63426"/>
    <n v="6"/>
    <s v="Yes"/>
    <x v="0"/>
    <n v="79086"/>
  </r>
  <r>
    <n v="984"/>
    <d v="2023-02-10T23:00:00"/>
    <x v="1"/>
    <n v="6"/>
    <x v="0"/>
    <s v="Hero"/>
    <x v="0"/>
    <x v="1"/>
    <n v="58230"/>
    <n v="9"/>
    <n v="91786"/>
    <n v="67167"/>
    <n v="12"/>
    <s v="No"/>
    <x v="0"/>
    <n v="24619"/>
  </r>
  <r>
    <n v="985"/>
    <d v="2023-02-11T00:00:00"/>
    <x v="1"/>
    <n v="6"/>
    <x v="0"/>
    <s v="TVS"/>
    <x v="0"/>
    <x v="2"/>
    <n v="26325"/>
    <n v="2"/>
    <n v="29758"/>
    <n v="24013"/>
    <n v="3"/>
    <s v="Yes"/>
    <x v="0"/>
    <n v="5745"/>
  </r>
  <r>
    <n v="986"/>
    <d v="2023-02-11T01:00:00"/>
    <x v="1"/>
    <n v="6"/>
    <x v="0"/>
    <s v="TVS"/>
    <x v="0"/>
    <x v="1"/>
    <n v="76756"/>
    <n v="1"/>
    <n v="127667"/>
    <n v="54113"/>
    <n v="6"/>
    <s v="Yes"/>
    <x v="0"/>
    <n v="73554"/>
  </r>
  <r>
    <n v="987"/>
    <d v="2023-02-11T02:00:00"/>
    <x v="1"/>
    <n v="6"/>
    <x v="0"/>
    <s v="Yamaha"/>
    <x v="0"/>
    <x v="2"/>
    <n v="37771"/>
    <n v="5"/>
    <n v="133119"/>
    <n v="18574"/>
    <n v="13"/>
    <s v="No"/>
    <x v="0"/>
    <n v="114545"/>
  </r>
  <r>
    <n v="988"/>
    <d v="2023-02-11T03:00:00"/>
    <x v="1"/>
    <n v="6"/>
    <x v="0"/>
    <s v="Bajaj"/>
    <x v="0"/>
    <x v="0"/>
    <n v="77756"/>
    <n v="4"/>
    <n v="125157"/>
    <n v="113016"/>
    <n v="7"/>
    <s v="Yes"/>
    <x v="0"/>
    <n v="12141"/>
  </r>
  <r>
    <n v="989"/>
    <d v="2023-02-11T04:00:00"/>
    <x v="1"/>
    <n v="6"/>
    <x v="0"/>
    <s v="TVS"/>
    <x v="0"/>
    <x v="2"/>
    <n v="47232"/>
    <n v="8"/>
    <n v="107673"/>
    <n v="22838"/>
    <n v="7"/>
    <s v="Yes"/>
    <x v="0"/>
    <n v="84835"/>
  </r>
  <r>
    <n v="990"/>
    <d v="2023-02-11T05:00:00"/>
    <x v="1"/>
    <n v="6"/>
    <x v="0"/>
    <s v="Hero"/>
    <x v="0"/>
    <x v="2"/>
    <n v="66933"/>
    <n v="9"/>
    <n v="122639"/>
    <n v="108899"/>
    <n v="8"/>
    <s v="No"/>
    <x v="0"/>
    <n v="13740"/>
  </r>
  <r>
    <n v="991"/>
    <d v="2023-02-11T06:00:00"/>
    <x v="1"/>
    <n v="6"/>
    <x v="0"/>
    <s v="Hero"/>
    <x v="1"/>
    <x v="3"/>
    <n v="83130"/>
    <n v="3"/>
    <n v="177904"/>
    <n v="46368"/>
    <n v="13"/>
    <s v="No"/>
    <x v="1"/>
    <n v="131536"/>
  </r>
  <r>
    <n v="992"/>
    <d v="2023-02-11T07:00:00"/>
    <x v="1"/>
    <n v="6"/>
    <x v="0"/>
    <s v="TVS"/>
    <x v="0"/>
    <x v="0"/>
    <n v="24072"/>
    <n v="2"/>
    <n v="157940"/>
    <n v="47228"/>
    <n v="4"/>
    <s v="Yes"/>
    <x v="0"/>
    <n v="110712"/>
  </r>
  <r>
    <n v="993"/>
    <d v="2023-02-11T08:00:00"/>
    <x v="1"/>
    <n v="6"/>
    <x v="0"/>
    <s v="Bajaj"/>
    <x v="0"/>
    <x v="0"/>
    <n v="39046"/>
    <n v="8"/>
    <n v="139869"/>
    <n v="131296"/>
    <n v="1"/>
    <s v="Yes"/>
    <x v="0"/>
    <n v="8573"/>
  </r>
  <r>
    <n v="994"/>
    <d v="2023-02-11T09:00:00"/>
    <x v="1"/>
    <n v="6"/>
    <x v="0"/>
    <s v="Hero"/>
    <x v="0"/>
    <x v="0"/>
    <n v="15650"/>
    <n v="7"/>
    <n v="44728"/>
    <n v="64711"/>
    <n v="6"/>
    <s v="Yes"/>
    <x v="0"/>
    <n v="-19983"/>
  </r>
  <r>
    <n v="995"/>
    <d v="2023-02-11T10:00:00"/>
    <x v="1"/>
    <n v="6"/>
    <x v="0"/>
    <s v="Yamaha"/>
    <x v="0"/>
    <x v="1"/>
    <n v="54665"/>
    <n v="5"/>
    <n v="128542"/>
    <n v="61097"/>
    <n v="8"/>
    <s v="No"/>
    <x v="0"/>
    <n v="67445"/>
  </r>
  <r>
    <n v="996"/>
    <d v="2023-02-11T11:00:00"/>
    <x v="1"/>
    <n v="6"/>
    <x v="0"/>
    <s v="Hero"/>
    <x v="0"/>
    <x v="3"/>
    <n v="64190"/>
    <n v="0"/>
    <n v="118565"/>
    <n v="70773"/>
    <n v="5"/>
    <s v="Yes"/>
    <x v="0"/>
    <n v="47792"/>
  </r>
  <r>
    <n v="997"/>
    <d v="2023-02-11T12:00:00"/>
    <x v="1"/>
    <n v="6"/>
    <x v="0"/>
    <s v="Honda"/>
    <x v="0"/>
    <x v="0"/>
    <n v="54164"/>
    <n v="9"/>
    <n v="175012"/>
    <n v="43639"/>
    <n v="13"/>
    <s v="No"/>
    <x v="1"/>
    <n v="131373"/>
  </r>
  <r>
    <n v="998"/>
    <d v="2023-02-11T13:00:00"/>
    <x v="1"/>
    <n v="6"/>
    <x v="0"/>
    <s v="Honda"/>
    <x v="0"/>
    <x v="1"/>
    <n v="82835"/>
    <n v="0"/>
    <n v="150019"/>
    <n v="29823"/>
    <n v="3"/>
    <s v="Yes"/>
    <x v="0"/>
    <n v="120196"/>
  </r>
  <r>
    <n v="999"/>
    <d v="2023-02-11T14:00:00"/>
    <x v="1"/>
    <n v="6"/>
    <x v="0"/>
    <s v="Bajaj"/>
    <x v="0"/>
    <x v="1"/>
    <n v="75699"/>
    <n v="5"/>
    <n v="161352"/>
    <n v="38510"/>
    <n v="4"/>
    <s v="Yes"/>
    <x v="0"/>
    <n v="122842"/>
  </r>
  <r>
    <n v="1000"/>
    <d v="2023-02-11T15:00:00"/>
    <x v="1"/>
    <n v="6"/>
    <x v="0"/>
    <s v="TVS"/>
    <x v="0"/>
    <x v="1"/>
    <n v="37448"/>
    <n v="2"/>
    <n v="127548"/>
    <n v="53333"/>
    <n v="8"/>
    <s v="No"/>
    <x v="0"/>
    <n v="74215"/>
  </r>
  <r>
    <n v="1001"/>
    <d v="2023-02-11T16:00:00"/>
    <x v="1"/>
    <n v="6"/>
    <x v="0"/>
    <s v="Bajaj"/>
    <x v="0"/>
    <x v="3"/>
    <n v="37530"/>
    <n v="2"/>
    <n v="158236"/>
    <n v="19435"/>
    <n v="6"/>
    <s v="Yes"/>
    <x v="1"/>
    <n v="138801"/>
  </r>
  <r>
    <n v="1002"/>
    <d v="2023-02-11T17:00:00"/>
    <x v="1"/>
    <n v="6"/>
    <x v="0"/>
    <s v="Bajaj"/>
    <x v="0"/>
    <x v="1"/>
    <n v="27507"/>
    <n v="5"/>
    <n v="146289"/>
    <n v="53418"/>
    <n v="13"/>
    <s v="No"/>
    <x v="0"/>
    <n v="92871"/>
  </r>
  <r>
    <n v="1003"/>
    <d v="2023-02-11T18:00:00"/>
    <x v="1"/>
    <n v="6"/>
    <x v="0"/>
    <s v="Bajaj"/>
    <x v="0"/>
    <x v="3"/>
    <n v="91707"/>
    <n v="2"/>
    <n v="154068"/>
    <n v="72955"/>
    <n v="13"/>
    <s v="No"/>
    <x v="0"/>
    <n v="81113"/>
  </r>
  <r>
    <n v="1004"/>
    <d v="2023-02-11T19:00:00"/>
    <x v="1"/>
    <n v="6"/>
    <x v="0"/>
    <s v="Bajaj"/>
    <x v="0"/>
    <x v="2"/>
    <n v="91421"/>
    <n v="9"/>
    <n v="104624"/>
    <n v="74507"/>
    <n v="5"/>
    <s v="Yes"/>
    <x v="1"/>
    <n v="30117"/>
  </r>
  <r>
    <n v="1005"/>
    <d v="2023-02-11T20:00:00"/>
    <x v="1"/>
    <n v="6"/>
    <x v="0"/>
    <s v="Yamaha"/>
    <x v="0"/>
    <x v="1"/>
    <n v="77272"/>
    <n v="5"/>
    <n v="174477"/>
    <n v="66033"/>
    <n v="13"/>
    <s v="No"/>
    <x v="1"/>
    <n v="108444"/>
  </r>
  <r>
    <n v="1006"/>
    <d v="2023-02-11T21:00:00"/>
    <x v="1"/>
    <n v="6"/>
    <x v="0"/>
    <s v="Yamaha"/>
    <x v="0"/>
    <x v="0"/>
    <n v="22524"/>
    <n v="4"/>
    <n v="27821"/>
    <n v="101089"/>
    <n v="9"/>
    <s v="No"/>
    <x v="0"/>
    <n v="-73268"/>
  </r>
  <r>
    <n v="1007"/>
    <d v="2023-02-11T22:00:00"/>
    <x v="1"/>
    <n v="6"/>
    <x v="0"/>
    <s v="Hero"/>
    <x v="0"/>
    <x v="1"/>
    <n v="39884"/>
    <n v="3"/>
    <n v="80090"/>
    <n v="133551"/>
    <n v="10"/>
    <s v="No"/>
    <x v="0"/>
    <n v="-53461"/>
  </r>
  <r>
    <n v="1008"/>
    <d v="2023-02-11T23:00:00"/>
    <x v="1"/>
    <n v="6"/>
    <x v="0"/>
    <s v="Honda"/>
    <x v="0"/>
    <x v="2"/>
    <n v="83412"/>
    <n v="7"/>
    <n v="178588"/>
    <n v="87972"/>
    <n v="3"/>
    <s v="Yes"/>
    <x v="0"/>
    <n v="90616"/>
  </r>
  <r>
    <n v="1009"/>
    <d v="2023-02-12T00:00:00"/>
    <x v="1"/>
    <n v="7"/>
    <x v="0"/>
    <s v="Bajaj"/>
    <x v="0"/>
    <x v="2"/>
    <n v="18657"/>
    <n v="1"/>
    <n v="166545"/>
    <n v="117012"/>
    <n v="7"/>
    <s v="Yes"/>
    <x v="0"/>
    <n v="49533"/>
  </r>
  <r>
    <n v="1010"/>
    <d v="2023-02-12T01:00:00"/>
    <x v="1"/>
    <n v="7"/>
    <x v="0"/>
    <s v="Hero"/>
    <x v="0"/>
    <x v="1"/>
    <n v="85981"/>
    <n v="6"/>
    <n v="71454"/>
    <n v="62219"/>
    <n v="9"/>
    <s v="No"/>
    <x v="1"/>
    <n v="9235"/>
  </r>
  <r>
    <n v="1011"/>
    <d v="2023-02-12T02:00:00"/>
    <x v="1"/>
    <n v="7"/>
    <x v="0"/>
    <s v="Honda"/>
    <x v="0"/>
    <x v="2"/>
    <n v="89053"/>
    <n v="3"/>
    <n v="129273"/>
    <n v="49477"/>
    <n v="11"/>
    <s v="No"/>
    <x v="0"/>
    <n v="79796"/>
  </r>
  <r>
    <n v="1012"/>
    <d v="2023-02-12T03:00:00"/>
    <x v="1"/>
    <n v="7"/>
    <x v="0"/>
    <s v="TVS"/>
    <x v="1"/>
    <x v="3"/>
    <n v="2256"/>
    <n v="1"/>
    <n v="129472"/>
    <n v="104780"/>
    <n v="13"/>
    <s v="No"/>
    <x v="0"/>
    <n v="24692"/>
  </r>
  <r>
    <n v="1013"/>
    <d v="2023-02-12T04:00:00"/>
    <x v="1"/>
    <n v="7"/>
    <x v="0"/>
    <s v="Yamaha"/>
    <x v="0"/>
    <x v="3"/>
    <n v="68612"/>
    <n v="6"/>
    <n v="156935"/>
    <n v="57721"/>
    <n v="11"/>
    <s v="No"/>
    <x v="1"/>
    <n v="99214"/>
  </r>
  <r>
    <n v="1014"/>
    <d v="2023-02-12T05:00:00"/>
    <x v="1"/>
    <n v="7"/>
    <x v="0"/>
    <s v="Honda"/>
    <x v="0"/>
    <x v="1"/>
    <n v="91503"/>
    <n v="0"/>
    <n v="41148"/>
    <n v="82228"/>
    <n v="12"/>
    <s v="No"/>
    <x v="0"/>
    <n v="-41080"/>
  </r>
  <r>
    <n v="1015"/>
    <d v="2023-02-12T06:00:00"/>
    <x v="1"/>
    <n v="7"/>
    <x v="0"/>
    <s v="TVS"/>
    <x v="0"/>
    <x v="3"/>
    <n v="97241"/>
    <n v="3"/>
    <n v="111545"/>
    <n v="30523"/>
    <n v="4"/>
    <s v="Yes"/>
    <x v="0"/>
    <n v="81022"/>
  </r>
  <r>
    <n v="1016"/>
    <d v="2023-02-12T07:00:00"/>
    <x v="1"/>
    <n v="7"/>
    <x v="0"/>
    <s v="Honda"/>
    <x v="0"/>
    <x v="3"/>
    <n v="58551"/>
    <n v="8"/>
    <n v="79459"/>
    <n v="47326"/>
    <n v="10"/>
    <s v="No"/>
    <x v="0"/>
    <n v="32133"/>
  </r>
  <r>
    <n v="1017"/>
    <d v="2023-02-12T08:00:00"/>
    <x v="1"/>
    <n v="7"/>
    <x v="0"/>
    <s v="Yamaha"/>
    <x v="0"/>
    <x v="0"/>
    <n v="65095"/>
    <n v="3"/>
    <n v="109224"/>
    <n v="127626"/>
    <n v="10"/>
    <s v="No"/>
    <x v="0"/>
    <n v="-18402"/>
  </r>
  <r>
    <n v="1018"/>
    <d v="2023-02-12T09:00:00"/>
    <x v="1"/>
    <n v="7"/>
    <x v="0"/>
    <s v="Yamaha"/>
    <x v="1"/>
    <x v="1"/>
    <n v="78710"/>
    <n v="2"/>
    <n v="91189"/>
    <n v="57205"/>
    <n v="3"/>
    <s v="Yes"/>
    <x v="1"/>
    <n v="33984"/>
  </r>
  <r>
    <n v="1019"/>
    <d v="2023-02-12T10:00:00"/>
    <x v="1"/>
    <n v="7"/>
    <x v="0"/>
    <s v="Hero"/>
    <x v="1"/>
    <x v="2"/>
    <n v="43594"/>
    <n v="9"/>
    <n v="164201"/>
    <n v="15125"/>
    <n v="1"/>
    <s v="Yes"/>
    <x v="0"/>
    <n v="149076"/>
  </r>
  <r>
    <n v="1020"/>
    <d v="2023-02-12T11:00:00"/>
    <x v="1"/>
    <n v="7"/>
    <x v="0"/>
    <s v="Bajaj"/>
    <x v="0"/>
    <x v="1"/>
    <n v="88389"/>
    <n v="9"/>
    <n v="116954"/>
    <n v="126248"/>
    <n v="9"/>
    <s v="No"/>
    <x v="0"/>
    <n v="-9294"/>
  </r>
  <r>
    <n v="1021"/>
    <d v="2023-02-12T12:00:00"/>
    <x v="1"/>
    <n v="7"/>
    <x v="0"/>
    <s v="Honda"/>
    <x v="1"/>
    <x v="3"/>
    <n v="95885"/>
    <n v="1"/>
    <n v="48118"/>
    <n v="81735"/>
    <n v="13"/>
    <s v="No"/>
    <x v="1"/>
    <n v="-33617"/>
  </r>
  <r>
    <n v="1022"/>
    <d v="2023-02-12T13:00:00"/>
    <x v="1"/>
    <n v="7"/>
    <x v="0"/>
    <s v="Honda"/>
    <x v="1"/>
    <x v="0"/>
    <n v="5035"/>
    <n v="2"/>
    <n v="156515"/>
    <n v="119396"/>
    <n v="1"/>
    <s v="Yes"/>
    <x v="1"/>
    <n v="37119"/>
  </r>
  <r>
    <n v="1023"/>
    <d v="2023-02-12T14:00:00"/>
    <x v="1"/>
    <n v="7"/>
    <x v="0"/>
    <s v="TVS"/>
    <x v="0"/>
    <x v="1"/>
    <n v="56535"/>
    <n v="0"/>
    <n v="114379"/>
    <n v="31375"/>
    <n v="2"/>
    <s v="Yes"/>
    <x v="0"/>
    <n v="83004"/>
  </r>
  <r>
    <n v="1024"/>
    <d v="2023-02-12T15:00:00"/>
    <x v="1"/>
    <n v="7"/>
    <x v="0"/>
    <s v="Yamaha"/>
    <x v="0"/>
    <x v="1"/>
    <n v="47867"/>
    <n v="9"/>
    <n v="46053"/>
    <n v="17711"/>
    <n v="9"/>
    <s v="No"/>
    <x v="0"/>
    <n v="28342"/>
  </r>
  <r>
    <n v="1025"/>
    <d v="2023-02-12T16:00:00"/>
    <x v="1"/>
    <n v="7"/>
    <x v="0"/>
    <s v="Honda"/>
    <x v="0"/>
    <x v="3"/>
    <n v="17618"/>
    <n v="7"/>
    <n v="121384"/>
    <n v="47437"/>
    <n v="5"/>
    <s v="Yes"/>
    <x v="0"/>
    <n v="73947"/>
  </r>
  <r>
    <n v="1026"/>
    <d v="2023-02-12T17:00:00"/>
    <x v="1"/>
    <n v="7"/>
    <x v="0"/>
    <s v="Yamaha"/>
    <x v="0"/>
    <x v="3"/>
    <n v="60312"/>
    <n v="0"/>
    <n v="142545"/>
    <n v="43022"/>
    <n v="4"/>
    <s v="Yes"/>
    <x v="0"/>
    <n v="99523"/>
  </r>
  <r>
    <n v="1027"/>
    <d v="2023-02-12T18:00:00"/>
    <x v="1"/>
    <n v="7"/>
    <x v="0"/>
    <s v="Honda"/>
    <x v="0"/>
    <x v="1"/>
    <n v="60384"/>
    <n v="2"/>
    <n v="151675"/>
    <n v="24182"/>
    <n v="9"/>
    <s v="No"/>
    <x v="0"/>
    <n v="127493"/>
  </r>
  <r>
    <n v="1028"/>
    <d v="2023-02-12T19:00:00"/>
    <x v="1"/>
    <n v="7"/>
    <x v="0"/>
    <s v="Hero"/>
    <x v="0"/>
    <x v="3"/>
    <n v="66668"/>
    <n v="2"/>
    <n v="118749"/>
    <n v="108177"/>
    <n v="9"/>
    <s v="No"/>
    <x v="0"/>
    <n v="10572"/>
  </r>
  <r>
    <n v="1029"/>
    <d v="2023-02-12T20:00:00"/>
    <x v="1"/>
    <n v="7"/>
    <x v="0"/>
    <s v="Bajaj"/>
    <x v="1"/>
    <x v="3"/>
    <n v="13780"/>
    <n v="1"/>
    <n v="164363"/>
    <n v="110066"/>
    <n v="2"/>
    <s v="Yes"/>
    <x v="0"/>
    <n v="54297"/>
  </r>
  <r>
    <n v="1030"/>
    <d v="2023-02-12T21:00:00"/>
    <x v="1"/>
    <n v="7"/>
    <x v="0"/>
    <s v="Honda"/>
    <x v="0"/>
    <x v="3"/>
    <n v="15246"/>
    <n v="4"/>
    <n v="41285"/>
    <n v="139401"/>
    <n v="3"/>
    <s v="Yes"/>
    <x v="0"/>
    <n v="-98116"/>
  </r>
  <r>
    <n v="1031"/>
    <d v="2023-02-12T22:00:00"/>
    <x v="1"/>
    <n v="7"/>
    <x v="0"/>
    <s v="Yamaha"/>
    <x v="0"/>
    <x v="3"/>
    <n v="53751"/>
    <n v="9"/>
    <n v="86589"/>
    <n v="103148"/>
    <n v="12"/>
    <s v="No"/>
    <x v="0"/>
    <n v="-16559"/>
  </r>
  <r>
    <n v="1032"/>
    <d v="2023-02-12T23:00:00"/>
    <x v="1"/>
    <n v="7"/>
    <x v="0"/>
    <s v="Hero"/>
    <x v="0"/>
    <x v="3"/>
    <n v="85321"/>
    <n v="2"/>
    <n v="38944"/>
    <n v="86531"/>
    <n v="3"/>
    <s v="Yes"/>
    <x v="0"/>
    <n v="-47587"/>
  </r>
  <r>
    <n v="1033"/>
    <d v="2023-02-13T00:00:00"/>
    <x v="1"/>
    <n v="7"/>
    <x v="0"/>
    <s v="Honda"/>
    <x v="1"/>
    <x v="0"/>
    <n v="84083"/>
    <n v="2"/>
    <n v="126041"/>
    <n v="55950"/>
    <n v="5"/>
    <s v="Yes"/>
    <x v="0"/>
    <n v="70091"/>
  </r>
  <r>
    <n v="1034"/>
    <d v="2023-02-13T01:00:00"/>
    <x v="1"/>
    <n v="7"/>
    <x v="0"/>
    <s v="TVS"/>
    <x v="1"/>
    <x v="3"/>
    <n v="10707"/>
    <n v="7"/>
    <n v="113876"/>
    <n v="118806"/>
    <n v="13"/>
    <s v="No"/>
    <x v="0"/>
    <n v="-4930"/>
  </r>
  <r>
    <n v="1035"/>
    <d v="2023-02-13T02:00:00"/>
    <x v="1"/>
    <n v="7"/>
    <x v="0"/>
    <s v="Bajaj"/>
    <x v="0"/>
    <x v="2"/>
    <n v="71627"/>
    <n v="3"/>
    <n v="120561"/>
    <n v="27920"/>
    <n v="3"/>
    <s v="Yes"/>
    <x v="0"/>
    <n v="92641"/>
  </r>
  <r>
    <n v="1036"/>
    <d v="2023-02-13T03:00:00"/>
    <x v="1"/>
    <n v="7"/>
    <x v="0"/>
    <s v="Honda"/>
    <x v="0"/>
    <x v="1"/>
    <n v="28257"/>
    <n v="3"/>
    <n v="79391"/>
    <n v="37144"/>
    <n v="10"/>
    <s v="No"/>
    <x v="0"/>
    <n v="42247"/>
  </r>
  <r>
    <n v="1037"/>
    <d v="2023-02-13T04:00:00"/>
    <x v="1"/>
    <n v="7"/>
    <x v="0"/>
    <s v="Hero"/>
    <x v="0"/>
    <x v="0"/>
    <n v="16726"/>
    <n v="2"/>
    <n v="26607"/>
    <n v="135270"/>
    <n v="6"/>
    <s v="Yes"/>
    <x v="0"/>
    <n v="-108663"/>
  </r>
  <r>
    <n v="1038"/>
    <d v="2023-02-13T05:00:00"/>
    <x v="1"/>
    <n v="7"/>
    <x v="0"/>
    <s v="TVS"/>
    <x v="0"/>
    <x v="0"/>
    <n v="95768"/>
    <n v="0"/>
    <n v="27953"/>
    <n v="99418"/>
    <n v="2"/>
    <s v="Yes"/>
    <x v="0"/>
    <n v="-71465"/>
  </r>
  <r>
    <n v="1039"/>
    <d v="2023-02-13T06:00:00"/>
    <x v="1"/>
    <n v="7"/>
    <x v="0"/>
    <s v="Hero"/>
    <x v="0"/>
    <x v="3"/>
    <n v="61907"/>
    <n v="7"/>
    <n v="69941"/>
    <n v="17565"/>
    <n v="6"/>
    <s v="Yes"/>
    <x v="0"/>
    <n v="52376"/>
  </r>
  <r>
    <n v="1040"/>
    <d v="2023-02-13T07:00:00"/>
    <x v="1"/>
    <n v="7"/>
    <x v="0"/>
    <s v="Hero"/>
    <x v="0"/>
    <x v="1"/>
    <n v="27706"/>
    <n v="0"/>
    <n v="86683"/>
    <n v="103909"/>
    <n v="6"/>
    <s v="Yes"/>
    <x v="0"/>
    <n v="-17226"/>
  </r>
  <r>
    <n v="1041"/>
    <d v="2023-02-13T08:00:00"/>
    <x v="1"/>
    <n v="7"/>
    <x v="0"/>
    <s v="TVS"/>
    <x v="0"/>
    <x v="2"/>
    <n v="20756"/>
    <n v="6"/>
    <n v="134588"/>
    <n v="68942"/>
    <n v="2"/>
    <s v="Yes"/>
    <x v="1"/>
    <n v="65646"/>
  </r>
  <r>
    <n v="1042"/>
    <d v="2023-02-13T09:00:00"/>
    <x v="1"/>
    <n v="7"/>
    <x v="0"/>
    <s v="Hero"/>
    <x v="0"/>
    <x v="3"/>
    <n v="34322"/>
    <n v="4"/>
    <n v="147080"/>
    <n v="124093"/>
    <n v="6"/>
    <s v="Yes"/>
    <x v="0"/>
    <n v="22987"/>
  </r>
  <r>
    <n v="1043"/>
    <d v="2023-02-13T10:00:00"/>
    <x v="1"/>
    <n v="7"/>
    <x v="0"/>
    <s v="TVS"/>
    <x v="0"/>
    <x v="1"/>
    <n v="41840"/>
    <n v="3"/>
    <n v="36154"/>
    <n v="85560"/>
    <n v="6"/>
    <s v="Yes"/>
    <x v="0"/>
    <n v="-49406"/>
  </r>
  <r>
    <n v="1044"/>
    <d v="2023-02-13T11:00:00"/>
    <x v="1"/>
    <n v="7"/>
    <x v="0"/>
    <s v="Honda"/>
    <x v="0"/>
    <x v="3"/>
    <n v="52734"/>
    <n v="3"/>
    <n v="150542"/>
    <n v="39691"/>
    <n v="6"/>
    <s v="Yes"/>
    <x v="0"/>
    <n v="110851"/>
  </r>
  <r>
    <n v="1045"/>
    <d v="2023-02-13T12:00:00"/>
    <x v="1"/>
    <n v="7"/>
    <x v="0"/>
    <s v="TVS"/>
    <x v="0"/>
    <x v="3"/>
    <n v="43851"/>
    <n v="7"/>
    <n v="165119"/>
    <n v="48799"/>
    <n v="12"/>
    <s v="No"/>
    <x v="0"/>
    <n v="116320"/>
  </r>
  <r>
    <n v="1046"/>
    <d v="2023-02-13T13:00:00"/>
    <x v="1"/>
    <n v="7"/>
    <x v="0"/>
    <s v="TVS"/>
    <x v="0"/>
    <x v="3"/>
    <n v="49171"/>
    <n v="5"/>
    <n v="113529"/>
    <n v="81777"/>
    <n v="13"/>
    <s v="No"/>
    <x v="0"/>
    <n v="31752"/>
  </r>
  <r>
    <n v="1047"/>
    <d v="2023-02-13T14:00:00"/>
    <x v="1"/>
    <n v="7"/>
    <x v="0"/>
    <s v="Bajaj"/>
    <x v="0"/>
    <x v="3"/>
    <n v="75820"/>
    <n v="0"/>
    <n v="39323"/>
    <n v="49510"/>
    <n v="14"/>
    <s v="No"/>
    <x v="0"/>
    <n v="-10187"/>
  </r>
  <r>
    <n v="1048"/>
    <d v="2023-02-13T15:00:00"/>
    <x v="1"/>
    <n v="7"/>
    <x v="0"/>
    <s v="TVS"/>
    <x v="0"/>
    <x v="3"/>
    <n v="35657"/>
    <n v="9"/>
    <n v="62693"/>
    <n v="119013"/>
    <n v="5"/>
    <s v="Yes"/>
    <x v="0"/>
    <n v="-56320"/>
  </r>
  <r>
    <n v="1049"/>
    <d v="2023-02-13T16:00:00"/>
    <x v="1"/>
    <n v="7"/>
    <x v="0"/>
    <s v="TVS"/>
    <x v="0"/>
    <x v="3"/>
    <n v="20437"/>
    <n v="7"/>
    <n v="114170"/>
    <n v="102919"/>
    <n v="7"/>
    <s v="Yes"/>
    <x v="0"/>
    <n v="11251"/>
  </r>
  <r>
    <n v="1050"/>
    <d v="2023-02-13T17:00:00"/>
    <x v="1"/>
    <n v="7"/>
    <x v="0"/>
    <s v="Honda"/>
    <x v="0"/>
    <x v="3"/>
    <n v="54790"/>
    <n v="1"/>
    <n v="70111"/>
    <n v="128043"/>
    <n v="13"/>
    <s v="No"/>
    <x v="0"/>
    <n v="-57932"/>
  </r>
  <r>
    <n v="1051"/>
    <d v="2023-02-13T18:00:00"/>
    <x v="1"/>
    <n v="7"/>
    <x v="0"/>
    <s v="Bajaj"/>
    <x v="0"/>
    <x v="2"/>
    <n v="47207"/>
    <n v="5"/>
    <n v="64491"/>
    <n v="92366"/>
    <n v="12"/>
    <s v="No"/>
    <x v="1"/>
    <n v="-27875"/>
  </r>
  <r>
    <n v="1052"/>
    <d v="2023-02-13T19:00:00"/>
    <x v="1"/>
    <n v="7"/>
    <x v="0"/>
    <s v="Yamaha"/>
    <x v="0"/>
    <x v="0"/>
    <n v="11719"/>
    <n v="8"/>
    <n v="74336"/>
    <n v="43975"/>
    <n v="5"/>
    <s v="Yes"/>
    <x v="0"/>
    <n v="30361"/>
  </r>
  <r>
    <n v="1053"/>
    <d v="2023-02-13T20:00:00"/>
    <x v="1"/>
    <n v="7"/>
    <x v="0"/>
    <s v="Honda"/>
    <x v="0"/>
    <x v="2"/>
    <n v="9899"/>
    <n v="0"/>
    <n v="41905"/>
    <n v="68242"/>
    <n v="11"/>
    <s v="No"/>
    <x v="0"/>
    <n v="-26337"/>
  </r>
  <r>
    <n v="1054"/>
    <d v="2023-02-13T21:00:00"/>
    <x v="1"/>
    <n v="7"/>
    <x v="0"/>
    <s v="Honda"/>
    <x v="0"/>
    <x v="3"/>
    <n v="99348"/>
    <n v="5"/>
    <n v="55273"/>
    <n v="61546"/>
    <n v="1"/>
    <s v="Yes"/>
    <x v="0"/>
    <n v="-6273"/>
  </r>
  <r>
    <n v="1055"/>
    <d v="2023-02-13T22:00:00"/>
    <x v="1"/>
    <n v="7"/>
    <x v="0"/>
    <s v="Yamaha"/>
    <x v="1"/>
    <x v="3"/>
    <n v="28157"/>
    <n v="7"/>
    <n v="150191"/>
    <n v="107087"/>
    <n v="12"/>
    <s v="No"/>
    <x v="0"/>
    <n v="43104"/>
  </r>
  <r>
    <n v="1056"/>
    <d v="2023-02-13T23:00:00"/>
    <x v="1"/>
    <n v="7"/>
    <x v="0"/>
    <s v="TVS"/>
    <x v="0"/>
    <x v="2"/>
    <n v="20547"/>
    <n v="9"/>
    <n v="140936"/>
    <n v="121464"/>
    <n v="9"/>
    <s v="No"/>
    <x v="0"/>
    <n v="19472"/>
  </r>
  <r>
    <n v="1057"/>
    <d v="2023-02-14T00:00:00"/>
    <x v="1"/>
    <n v="7"/>
    <x v="0"/>
    <s v="Hero"/>
    <x v="0"/>
    <x v="2"/>
    <n v="76595"/>
    <n v="1"/>
    <n v="91538"/>
    <n v="38267"/>
    <n v="3"/>
    <s v="Yes"/>
    <x v="0"/>
    <n v="53271"/>
  </r>
  <r>
    <n v="1058"/>
    <d v="2023-02-14T01:00:00"/>
    <x v="1"/>
    <n v="7"/>
    <x v="0"/>
    <s v="Bajaj"/>
    <x v="1"/>
    <x v="0"/>
    <n v="86193"/>
    <n v="4"/>
    <n v="129570"/>
    <n v="92911"/>
    <n v="2"/>
    <s v="Yes"/>
    <x v="0"/>
    <n v="36659"/>
  </r>
  <r>
    <n v="1059"/>
    <d v="2023-02-14T02:00:00"/>
    <x v="1"/>
    <n v="7"/>
    <x v="0"/>
    <s v="Hero"/>
    <x v="0"/>
    <x v="2"/>
    <n v="72654"/>
    <n v="5"/>
    <n v="118339"/>
    <n v="102049"/>
    <n v="10"/>
    <s v="No"/>
    <x v="0"/>
    <n v="16290"/>
  </r>
  <r>
    <n v="1060"/>
    <d v="2023-02-14T03:00:00"/>
    <x v="1"/>
    <n v="7"/>
    <x v="0"/>
    <s v="Yamaha"/>
    <x v="0"/>
    <x v="0"/>
    <n v="45391"/>
    <n v="4"/>
    <n v="146132"/>
    <n v="84939"/>
    <n v="6"/>
    <s v="Yes"/>
    <x v="0"/>
    <n v="61193"/>
  </r>
  <r>
    <n v="1061"/>
    <d v="2023-02-14T04:00:00"/>
    <x v="1"/>
    <n v="7"/>
    <x v="0"/>
    <s v="Honda"/>
    <x v="0"/>
    <x v="3"/>
    <n v="7280"/>
    <n v="2"/>
    <n v="153993"/>
    <n v="136265"/>
    <n v="8"/>
    <s v="No"/>
    <x v="0"/>
    <n v="17728"/>
  </r>
  <r>
    <n v="1062"/>
    <d v="2023-02-14T05:00:00"/>
    <x v="1"/>
    <n v="7"/>
    <x v="0"/>
    <s v="Honda"/>
    <x v="0"/>
    <x v="1"/>
    <n v="27550"/>
    <n v="3"/>
    <n v="36330"/>
    <n v="19897"/>
    <n v="2"/>
    <s v="Yes"/>
    <x v="0"/>
    <n v="16433"/>
  </r>
  <r>
    <n v="1063"/>
    <d v="2023-02-14T06:00:00"/>
    <x v="1"/>
    <n v="7"/>
    <x v="0"/>
    <s v="Bajaj"/>
    <x v="0"/>
    <x v="1"/>
    <n v="74051"/>
    <n v="6"/>
    <n v="97553"/>
    <n v="15163"/>
    <n v="4"/>
    <s v="Yes"/>
    <x v="0"/>
    <n v="82390"/>
  </r>
  <r>
    <n v="1064"/>
    <d v="2023-02-14T07:00:00"/>
    <x v="1"/>
    <n v="7"/>
    <x v="0"/>
    <s v="Honda"/>
    <x v="0"/>
    <x v="1"/>
    <n v="69166"/>
    <n v="3"/>
    <n v="172083"/>
    <n v="116614"/>
    <n v="2"/>
    <s v="Yes"/>
    <x v="0"/>
    <n v="55469"/>
  </r>
  <r>
    <n v="1065"/>
    <d v="2023-02-14T08:00:00"/>
    <x v="1"/>
    <n v="7"/>
    <x v="0"/>
    <s v="Honda"/>
    <x v="1"/>
    <x v="1"/>
    <n v="94119"/>
    <n v="8"/>
    <n v="108537"/>
    <n v="67540"/>
    <n v="12"/>
    <s v="No"/>
    <x v="1"/>
    <n v="40997"/>
  </r>
  <r>
    <n v="1066"/>
    <d v="2023-02-14T09:00:00"/>
    <x v="1"/>
    <n v="7"/>
    <x v="0"/>
    <s v="Bajaj"/>
    <x v="1"/>
    <x v="3"/>
    <n v="82516"/>
    <n v="9"/>
    <n v="85985"/>
    <n v="97915"/>
    <n v="12"/>
    <s v="No"/>
    <x v="1"/>
    <n v="-11930"/>
  </r>
  <r>
    <n v="1067"/>
    <d v="2023-02-14T10:00:00"/>
    <x v="1"/>
    <n v="7"/>
    <x v="0"/>
    <s v="Bajaj"/>
    <x v="0"/>
    <x v="1"/>
    <n v="53510"/>
    <n v="1"/>
    <n v="42044"/>
    <n v="128295"/>
    <n v="9"/>
    <s v="No"/>
    <x v="0"/>
    <n v="-86251"/>
  </r>
  <r>
    <n v="1068"/>
    <d v="2023-02-14T11:00:00"/>
    <x v="1"/>
    <n v="7"/>
    <x v="0"/>
    <s v="Yamaha"/>
    <x v="0"/>
    <x v="2"/>
    <n v="38665"/>
    <n v="4"/>
    <n v="147304"/>
    <n v="45030"/>
    <n v="10"/>
    <s v="No"/>
    <x v="0"/>
    <n v="102274"/>
  </r>
  <r>
    <n v="1069"/>
    <d v="2023-02-14T12:00:00"/>
    <x v="1"/>
    <n v="7"/>
    <x v="0"/>
    <s v="Honda"/>
    <x v="0"/>
    <x v="2"/>
    <n v="12028"/>
    <n v="7"/>
    <n v="161322"/>
    <n v="70313"/>
    <n v="13"/>
    <s v="No"/>
    <x v="0"/>
    <n v="91009"/>
  </r>
  <r>
    <n v="1070"/>
    <d v="2023-02-14T13:00:00"/>
    <x v="1"/>
    <n v="7"/>
    <x v="0"/>
    <s v="Honda"/>
    <x v="1"/>
    <x v="1"/>
    <n v="50108"/>
    <n v="4"/>
    <n v="48289"/>
    <n v="44870"/>
    <n v="2"/>
    <s v="Yes"/>
    <x v="0"/>
    <n v="3419"/>
  </r>
  <r>
    <n v="1071"/>
    <d v="2023-02-14T14:00:00"/>
    <x v="1"/>
    <n v="7"/>
    <x v="0"/>
    <s v="Yamaha"/>
    <x v="1"/>
    <x v="2"/>
    <n v="6414"/>
    <n v="9"/>
    <n v="58087"/>
    <n v="131565"/>
    <n v="10"/>
    <s v="No"/>
    <x v="0"/>
    <n v="-73478"/>
  </r>
  <r>
    <n v="1072"/>
    <d v="2023-02-14T15:00:00"/>
    <x v="1"/>
    <n v="7"/>
    <x v="0"/>
    <s v="TVS"/>
    <x v="0"/>
    <x v="0"/>
    <n v="37636"/>
    <n v="7"/>
    <n v="100952"/>
    <n v="139703"/>
    <n v="2"/>
    <s v="Yes"/>
    <x v="0"/>
    <n v="-38751"/>
  </r>
  <r>
    <n v="1073"/>
    <d v="2023-02-14T16:00:00"/>
    <x v="1"/>
    <n v="7"/>
    <x v="0"/>
    <s v="TVS"/>
    <x v="0"/>
    <x v="3"/>
    <n v="11679"/>
    <n v="7"/>
    <n v="61368"/>
    <n v="44482"/>
    <n v="14"/>
    <s v="No"/>
    <x v="0"/>
    <n v="16886"/>
  </r>
  <r>
    <n v="1074"/>
    <d v="2023-02-14T17:00:00"/>
    <x v="1"/>
    <n v="7"/>
    <x v="0"/>
    <s v="TVS"/>
    <x v="0"/>
    <x v="1"/>
    <n v="86508"/>
    <n v="8"/>
    <n v="145648"/>
    <n v="46058"/>
    <n v="13"/>
    <s v="No"/>
    <x v="0"/>
    <n v="99590"/>
  </r>
  <r>
    <n v="1075"/>
    <d v="2023-02-14T18:00:00"/>
    <x v="1"/>
    <n v="7"/>
    <x v="0"/>
    <s v="Yamaha"/>
    <x v="0"/>
    <x v="1"/>
    <n v="12576"/>
    <n v="9"/>
    <n v="95815"/>
    <n v="72255"/>
    <n v="5"/>
    <s v="Yes"/>
    <x v="0"/>
    <n v="23560"/>
  </r>
  <r>
    <n v="1076"/>
    <d v="2023-02-14T19:00:00"/>
    <x v="1"/>
    <n v="7"/>
    <x v="0"/>
    <s v="Honda"/>
    <x v="0"/>
    <x v="3"/>
    <n v="25283"/>
    <n v="5"/>
    <n v="115693"/>
    <n v="107407"/>
    <n v="12"/>
    <s v="No"/>
    <x v="0"/>
    <n v="8286"/>
  </r>
  <r>
    <n v="1077"/>
    <d v="2023-02-14T20:00:00"/>
    <x v="1"/>
    <n v="7"/>
    <x v="0"/>
    <s v="Yamaha"/>
    <x v="0"/>
    <x v="2"/>
    <n v="47216"/>
    <n v="3"/>
    <n v="83900"/>
    <n v="132952"/>
    <n v="5"/>
    <s v="Yes"/>
    <x v="0"/>
    <n v="-49052"/>
  </r>
  <r>
    <n v="1078"/>
    <d v="2023-02-14T21:00:00"/>
    <x v="1"/>
    <n v="7"/>
    <x v="0"/>
    <s v="Yamaha"/>
    <x v="0"/>
    <x v="3"/>
    <n v="50798"/>
    <n v="2"/>
    <n v="40494"/>
    <n v="79930"/>
    <n v="12"/>
    <s v="No"/>
    <x v="0"/>
    <n v="-39436"/>
  </r>
  <r>
    <n v="1079"/>
    <d v="2023-02-14T22:00:00"/>
    <x v="1"/>
    <n v="7"/>
    <x v="0"/>
    <s v="TVS"/>
    <x v="0"/>
    <x v="3"/>
    <n v="54804"/>
    <n v="4"/>
    <n v="141486"/>
    <n v="65500"/>
    <n v="7"/>
    <s v="Yes"/>
    <x v="1"/>
    <n v="75986"/>
  </r>
  <r>
    <n v="1080"/>
    <d v="2023-02-14T23:00:00"/>
    <x v="1"/>
    <n v="7"/>
    <x v="0"/>
    <s v="Hero"/>
    <x v="0"/>
    <x v="2"/>
    <n v="79860"/>
    <n v="5"/>
    <n v="58050"/>
    <n v="41379"/>
    <n v="1"/>
    <s v="Yes"/>
    <x v="0"/>
    <n v="16671"/>
  </r>
  <r>
    <n v="1081"/>
    <d v="2023-02-15T00:00:00"/>
    <x v="1"/>
    <n v="7"/>
    <x v="0"/>
    <s v="Honda"/>
    <x v="1"/>
    <x v="3"/>
    <n v="70335"/>
    <n v="2"/>
    <n v="122799"/>
    <n v="82787"/>
    <n v="12"/>
    <s v="No"/>
    <x v="0"/>
    <n v="40012"/>
  </r>
  <r>
    <n v="1082"/>
    <d v="2023-02-15T01:00:00"/>
    <x v="1"/>
    <n v="7"/>
    <x v="0"/>
    <s v="TVS"/>
    <x v="0"/>
    <x v="2"/>
    <n v="8618"/>
    <n v="1"/>
    <n v="156016"/>
    <n v="124396"/>
    <n v="2"/>
    <s v="Yes"/>
    <x v="1"/>
    <n v="31620"/>
  </r>
  <r>
    <n v="1083"/>
    <d v="2023-02-15T02:00:00"/>
    <x v="1"/>
    <n v="7"/>
    <x v="0"/>
    <s v="Hero"/>
    <x v="0"/>
    <x v="2"/>
    <n v="76792"/>
    <n v="6"/>
    <n v="113257"/>
    <n v="38674"/>
    <n v="11"/>
    <s v="No"/>
    <x v="0"/>
    <n v="74583"/>
  </r>
  <r>
    <n v="1084"/>
    <d v="2023-02-15T03:00:00"/>
    <x v="1"/>
    <n v="7"/>
    <x v="0"/>
    <s v="Hero"/>
    <x v="0"/>
    <x v="3"/>
    <n v="57411"/>
    <n v="4"/>
    <n v="73070"/>
    <n v="139473"/>
    <n v="11"/>
    <s v="No"/>
    <x v="0"/>
    <n v="-66403"/>
  </r>
  <r>
    <n v="1085"/>
    <d v="2023-02-15T04:00:00"/>
    <x v="1"/>
    <n v="7"/>
    <x v="0"/>
    <s v="Bajaj"/>
    <x v="0"/>
    <x v="0"/>
    <n v="73989"/>
    <n v="8"/>
    <n v="30166"/>
    <n v="137706"/>
    <n v="6"/>
    <s v="Yes"/>
    <x v="0"/>
    <n v="-107540"/>
  </r>
  <r>
    <n v="1086"/>
    <d v="2023-02-15T05:00:00"/>
    <x v="1"/>
    <n v="7"/>
    <x v="0"/>
    <s v="Honda"/>
    <x v="0"/>
    <x v="2"/>
    <n v="15685"/>
    <n v="2"/>
    <n v="163193"/>
    <n v="21590"/>
    <n v="2"/>
    <s v="Yes"/>
    <x v="0"/>
    <n v="141603"/>
  </r>
  <r>
    <n v="1087"/>
    <d v="2023-02-15T06:00:00"/>
    <x v="1"/>
    <n v="7"/>
    <x v="0"/>
    <s v="Hero"/>
    <x v="0"/>
    <x v="3"/>
    <n v="42292"/>
    <n v="7"/>
    <n v="170749"/>
    <n v="46432"/>
    <n v="4"/>
    <s v="Yes"/>
    <x v="0"/>
    <n v="124317"/>
  </r>
  <r>
    <n v="1088"/>
    <d v="2023-02-15T07:00:00"/>
    <x v="1"/>
    <n v="7"/>
    <x v="0"/>
    <s v="TVS"/>
    <x v="0"/>
    <x v="2"/>
    <n v="80710"/>
    <n v="5"/>
    <n v="112409"/>
    <n v="55426"/>
    <n v="10"/>
    <s v="No"/>
    <x v="0"/>
    <n v="56983"/>
  </r>
  <r>
    <n v="1089"/>
    <d v="2023-02-15T08:00:00"/>
    <x v="1"/>
    <n v="7"/>
    <x v="0"/>
    <s v="Bajaj"/>
    <x v="0"/>
    <x v="0"/>
    <n v="51113"/>
    <n v="3"/>
    <n v="62664"/>
    <n v="64584"/>
    <n v="6"/>
    <s v="Yes"/>
    <x v="0"/>
    <n v="-1920"/>
  </r>
  <r>
    <n v="1090"/>
    <d v="2023-02-15T09:00:00"/>
    <x v="1"/>
    <n v="7"/>
    <x v="0"/>
    <s v="Honda"/>
    <x v="0"/>
    <x v="0"/>
    <n v="34427"/>
    <n v="8"/>
    <n v="154926"/>
    <n v="102663"/>
    <n v="13"/>
    <s v="No"/>
    <x v="0"/>
    <n v="52263"/>
  </r>
  <r>
    <n v="1091"/>
    <d v="2023-02-15T10:00:00"/>
    <x v="1"/>
    <n v="7"/>
    <x v="0"/>
    <s v="Yamaha"/>
    <x v="0"/>
    <x v="1"/>
    <n v="886"/>
    <n v="4"/>
    <n v="26293"/>
    <n v="53015"/>
    <n v="12"/>
    <s v="No"/>
    <x v="0"/>
    <n v="-26722"/>
  </r>
  <r>
    <n v="1092"/>
    <d v="2023-02-15T11:00:00"/>
    <x v="1"/>
    <n v="7"/>
    <x v="0"/>
    <s v="TVS"/>
    <x v="0"/>
    <x v="2"/>
    <n v="92653"/>
    <n v="9"/>
    <n v="178515"/>
    <n v="88251"/>
    <n v="7"/>
    <s v="Yes"/>
    <x v="0"/>
    <n v="90264"/>
  </r>
  <r>
    <n v="1093"/>
    <d v="2023-02-15T12:00:00"/>
    <x v="1"/>
    <n v="7"/>
    <x v="0"/>
    <s v="Hero"/>
    <x v="0"/>
    <x v="2"/>
    <n v="73228"/>
    <n v="5"/>
    <n v="74212"/>
    <n v="84353"/>
    <n v="10"/>
    <s v="No"/>
    <x v="1"/>
    <n v="-10141"/>
  </r>
  <r>
    <n v="1094"/>
    <d v="2023-02-15T13:00:00"/>
    <x v="1"/>
    <n v="7"/>
    <x v="0"/>
    <s v="Hero"/>
    <x v="0"/>
    <x v="3"/>
    <n v="76781"/>
    <n v="8"/>
    <n v="100276"/>
    <n v="110029"/>
    <n v="5"/>
    <s v="Yes"/>
    <x v="1"/>
    <n v="-9753"/>
  </r>
  <r>
    <n v="1095"/>
    <d v="2023-02-15T14:00:00"/>
    <x v="1"/>
    <n v="7"/>
    <x v="0"/>
    <s v="TVS"/>
    <x v="0"/>
    <x v="2"/>
    <n v="30520"/>
    <n v="6"/>
    <n v="37559"/>
    <n v="97990"/>
    <n v="8"/>
    <s v="No"/>
    <x v="0"/>
    <n v="-60431"/>
  </r>
  <r>
    <n v="1096"/>
    <d v="2023-02-15T15:00:00"/>
    <x v="1"/>
    <n v="7"/>
    <x v="0"/>
    <s v="Hero"/>
    <x v="0"/>
    <x v="1"/>
    <n v="43178"/>
    <n v="4"/>
    <n v="90231"/>
    <n v="19600"/>
    <n v="6"/>
    <s v="Yes"/>
    <x v="0"/>
    <n v="70631"/>
  </r>
  <r>
    <n v="1097"/>
    <d v="2023-02-15T16:00:00"/>
    <x v="1"/>
    <n v="7"/>
    <x v="0"/>
    <s v="Bajaj"/>
    <x v="0"/>
    <x v="0"/>
    <n v="87195"/>
    <n v="1"/>
    <n v="133277"/>
    <n v="39690"/>
    <n v="5"/>
    <s v="Yes"/>
    <x v="0"/>
    <n v="93587"/>
  </r>
  <r>
    <n v="1098"/>
    <d v="2023-02-15T17:00:00"/>
    <x v="1"/>
    <n v="7"/>
    <x v="0"/>
    <s v="Honda"/>
    <x v="0"/>
    <x v="0"/>
    <n v="61894"/>
    <n v="3"/>
    <n v="46747"/>
    <n v="139319"/>
    <n v="4"/>
    <s v="Yes"/>
    <x v="0"/>
    <n v="-92572"/>
  </r>
  <r>
    <n v="1099"/>
    <d v="2023-02-15T18:00:00"/>
    <x v="1"/>
    <n v="7"/>
    <x v="0"/>
    <s v="Bajaj"/>
    <x v="0"/>
    <x v="1"/>
    <n v="69445"/>
    <n v="1"/>
    <n v="25037"/>
    <n v="123286"/>
    <n v="6"/>
    <s v="Yes"/>
    <x v="0"/>
    <n v="-98249"/>
  </r>
  <r>
    <n v="1100"/>
    <d v="2023-02-15T19:00:00"/>
    <x v="1"/>
    <n v="7"/>
    <x v="0"/>
    <s v="Hero"/>
    <x v="0"/>
    <x v="2"/>
    <n v="56914"/>
    <n v="2"/>
    <n v="129294"/>
    <n v="48762"/>
    <n v="6"/>
    <s v="Yes"/>
    <x v="0"/>
    <n v="80532"/>
  </r>
  <r>
    <n v="1101"/>
    <d v="2023-02-15T20:00:00"/>
    <x v="1"/>
    <n v="7"/>
    <x v="0"/>
    <s v="Yamaha"/>
    <x v="0"/>
    <x v="2"/>
    <n v="55316"/>
    <n v="9"/>
    <n v="122847"/>
    <n v="134006"/>
    <n v="6"/>
    <s v="Yes"/>
    <x v="0"/>
    <n v="-11159"/>
  </r>
  <r>
    <n v="1102"/>
    <d v="2023-02-15T21:00:00"/>
    <x v="1"/>
    <n v="7"/>
    <x v="0"/>
    <s v="Honda"/>
    <x v="0"/>
    <x v="1"/>
    <n v="56418"/>
    <n v="2"/>
    <n v="128742"/>
    <n v="52499"/>
    <n v="1"/>
    <s v="Yes"/>
    <x v="0"/>
    <n v="76243"/>
  </r>
  <r>
    <n v="1103"/>
    <d v="2023-02-15T22:00:00"/>
    <x v="1"/>
    <n v="7"/>
    <x v="0"/>
    <s v="Honda"/>
    <x v="1"/>
    <x v="3"/>
    <n v="91781"/>
    <n v="3"/>
    <n v="73503"/>
    <n v="102988"/>
    <n v="6"/>
    <s v="Yes"/>
    <x v="0"/>
    <n v="-29485"/>
  </r>
  <r>
    <n v="1104"/>
    <d v="2023-02-15T23:00:00"/>
    <x v="1"/>
    <n v="7"/>
    <x v="0"/>
    <s v="TVS"/>
    <x v="0"/>
    <x v="0"/>
    <n v="63194"/>
    <n v="5"/>
    <n v="53207"/>
    <n v="22670"/>
    <n v="1"/>
    <s v="Yes"/>
    <x v="0"/>
    <n v="30537"/>
  </r>
  <r>
    <n v="1105"/>
    <d v="2023-02-16T00:00:00"/>
    <x v="1"/>
    <n v="7"/>
    <x v="0"/>
    <s v="TVS"/>
    <x v="0"/>
    <x v="1"/>
    <n v="29955"/>
    <n v="2"/>
    <n v="58241"/>
    <n v="101687"/>
    <n v="5"/>
    <s v="Yes"/>
    <x v="0"/>
    <n v="-43446"/>
  </r>
  <r>
    <n v="1106"/>
    <d v="2023-02-16T01:00:00"/>
    <x v="1"/>
    <n v="7"/>
    <x v="0"/>
    <s v="Yamaha"/>
    <x v="0"/>
    <x v="1"/>
    <n v="39235"/>
    <n v="9"/>
    <n v="156130"/>
    <n v="32341"/>
    <n v="7"/>
    <s v="Yes"/>
    <x v="0"/>
    <n v="123789"/>
  </r>
  <r>
    <n v="1107"/>
    <d v="2023-02-16T02:00:00"/>
    <x v="1"/>
    <n v="7"/>
    <x v="0"/>
    <s v="Honda"/>
    <x v="0"/>
    <x v="2"/>
    <n v="95202"/>
    <n v="0"/>
    <n v="121171"/>
    <n v="110140"/>
    <n v="1"/>
    <s v="Yes"/>
    <x v="0"/>
    <n v="11031"/>
  </r>
  <r>
    <n v="1108"/>
    <d v="2023-02-16T03:00:00"/>
    <x v="1"/>
    <n v="7"/>
    <x v="0"/>
    <s v="Yamaha"/>
    <x v="0"/>
    <x v="0"/>
    <n v="94108"/>
    <n v="0"/>
    <n v="170906"/>
    <n v="88823"/>
    <n v="13"/>
    <s v="No"/>
    <x v="1"/>
    <n v="82083"/>
  </r>
  <r>
    <n v="1109"/>
    <d v="2023-02-16T04:00:00"/>
    <x v="1"/>
    <n v="7"/>
    <x v="0"/>
    <s v="TVS"/>
    <x v="0"/>
    <x v="2"/>
    <n v="12609"/>
    <n v="8"/>
    <n v="142302"/>
    <n v="99074"/>
    <n v="1"/>
    <s v="Yes"/>
    <x v="0"/>
    <n v="43228"/>
  </r>
  <r>
    <n v="1110"/>
    <d v="2023-02-16T05:00:00"/>
    <x v="1"/>
    <n v="7"/>
    <x v="0"/>
    <s v="TVS"/>
    <x v="1"/>
    <x v="1"/>
    <n v="46302"/>
    <n v="8"/>
    <n v="97832"/>
    <n v="32015"/>
    <n v="13"/>
    <s v="No"/>
    <x v="0"/>
    <n v="65817"/>
  </r>
  <r>
    <n v="1111"/>
    <d v="2023-02-16T06:00:00"/>
    <x v="1"/>
    <n v="7"/>
    <x v="0"/>
    <s v="Honda"/>
    <x v="0"/>
    <x v="3"/>
    <n v="68520"/>
    <n v="4"/>
    <n v="46383"/>
    <n v="125180"/>
    <n v="13"/>
    <s v="No"/>
    <x v="1"/>
    <n v="-78797"/>
  </r>
  <r>
    <n v="1112"/>
    <d v="2023-02-16T07:00:00"/>
    <x v="1"/>
    <n v="7"/>
    <x v="0"/>
    <s v="Bajaj"/>
    <x v="0"/>
    <x v="0"/>
    <n v="35122"/>
    <n v="8"/>
    <n v="149291"/>
    <n v="80126"/>
    <n v="6"/>
    <s v="Yes"/>
    <x v="0"/>
    <n v="69165"/>
  </r>
  <r>
    <n v="1113"/>
    <d v="2023-02-16T08:00:00"/>
    <x v="1"/>
    <n v="7"/>
    <x v="0"/>
    <s v="Hero"/>
    <x v="0"/>
    <x v="1"/>
    <n v="3097"/>
    <n v="6"/>
    <n v="27674"/>
    <n v="139581"/>
    <n v="7"/>
    <s v="Yes"/>
    <x v="0"/>
    <n v="-111907"/>
  </r>
  <r>
    <n v="1114"/>
    <d v="2023-02-16T09:00:00"/>
    <x v="1"/>
    <n v="7"/>
    <x v="0"/>
    <s v="TVS"/>
    <x v="0"/>
    <x v="1"/>
    <n v="41097"/>
    <n v="8"/>
    <n v="139100"/>
    <n v="70197"/>
    <n v="6"/>
    <s v="Yes"/>
    <x v="0"/>
    <n v="68903"/>
  </r>
  <r>
    <n v="1115"/>
    <d v="2023-02-16T10:00:00"/>
    <x v="1"/>
    <n v="7"/>
    <x v="0"/>
    <s v="TVS"/>
    <x v="0"/>
    <x v="3"/>
    <n v="41454"/>
    <n v="6"/>
    <n v="134369"/>
    <n v="64849"/>
    <n v="5"/>
    <s v="Yes"/>
    <x v="0"/>
    <n v="69520"/>
  </r>
  <r>
    <n v="1116"/>
    <d v="2023-02-16T11:00:00"/>
    <x v="1"/>
    <n v="7"/>
    <x v="0"/>
    <s v="Bajaj"/>
    <x v="0"/>
    <x v="1"/>
    <n v="70019"/>
    <n v="8"/>
    <n v="47820"/>
    <n v="129719"/>
    <n v="6"/>
    <s v="Yes"/>
    <x v="0"/>
    <n v="-81899"/>
  </r>
  <r>
    <n v="1117"/>
    <d v="2023-02-16T12:00:00"/>
    <x v="1"/>
    <n v="7"/>
    <x v="0"/>
    <s v="Bajaj"/>
    <x v="0"/>
    <x v="1"/>
    <n v="56615"/>
    <n v="1"/>
    <n v="68794"/>
    <n v="30852"/>
    <n v="13"/>
    <s v="No"/>
    <x v="0"/>
    <n v="37942"/>
  </r>
  <r>
    <n v="1118"/>
    <d v="2023-02-16T13:00:00"/>
    <x v="1"/>
    <n v="7"/>
    <x v="0"/>
    <s v="Yamaha"/>
    <x v="0"/>
    <x v="0"/>
    <n v="43651"/>
    <n v="7"/>
    <n v="158148"/>
    <n v="70361"/>
    <n v="14"/>
    <s v="No"/>
    <x v="0"/>
    <n v="87787"/>
  </r>
  <r>
    <n v="1119"/>
    <d v="2023-02-16T14:00:00"/>
    <x v="1"/>
    <n v="7"/>
    <x v="0"/>
    <s v="Yamaha"/>
    <x v="1"/>
    <x v="0"/>
    <n v="17540"/>
    <n v="6"/>
    <n v="153544"/>
    <n v="126794"/>
    <n v="3"/>
    <s v="Yes"/>
    <x v="0"/>
    <n v="26750"/>
  </r>
  <r>
    <n v="1120"/>
    <d v="2023-02-16T15:00:00"/>
    <x v="1"/>
    <n v="7"/>
    <x v="0"/>
    <s v="Hero"/>
    <x v="1"/>
    <x v="0"/>
    <n v="45272"/>
    <n v="5"/>
    <n v="62555"/>
    <n v="36258"/>
    <n v="9"/>
    <s v="No"/>
    <x v="0"/>
    <n v="26297"/>
  </r>
  <r>
    <n v="1121"/>
    <d v="2023-02-16T16:00:00"/>
    <x v="1"/>
    <n v="7"/>
    <x v="0"/>
    <s v="Hero"/>
    <x v="0"/>
    <x v="2"/>
    <n v="96590"/>
    <n v="4"/>
    <n v="57406"/>
    <n v="118866"/>
    <n v="5"/>
    <s v="Yes"/>
    <x v="1"/>
    <n v="-61460"/>
  </r>
  <r>
    <n v="1122"/>
    <d v="2023-02-16T17:00:00"/>
    <x v="1"/>
    <n v="7"/>
    <x v="0"/>
    <s v="Honda"/>
    <x v="0"/>
    <x v="3"/>
    <n v="64332"/>
    <n v="3"/>
    <n v="65262"/>
    <n v="77355"/>
    <n v="2"/>
    <s v="Yes"/>
    <x v="0"/>
    <n v="-12093"/>
  </r>
  <r>
    <n v="1123"/>
    <d v="2023-02-16T18:00:00"/>
    <x v="1"/>
    <n v="7"/>
    <x v="0"/>
    <s v="Yamaha"/>
    <x v="1"/>
    <x v="0"/>
    <n v="28416"/>
    <n v="6"/>
    <n v="116320"/>
    <n v="56508"/>
    <n v="14"/>
    <s v="No"/>
    <x v="0"/>
    <n v="59812"/>
  </r>
  <r>
    <n v="1124"/>
    <d v="2023-02-16T19:00:00"/>
    <x v="1"/>
    <n v="7"/>
    <x v="0"/>
    <s v="TVS"/>
    <x v="1"/>
    <x v="2"/>
    <n v="45371"/>
    <n v="2"/>
    <n v="179288"/>
    <n v="82784"/>
    <n v="14"/>
    <s v="No"/>
    <x v="0"/>
    <n v="96504"/>
  </r>
  <r>
    <n v="1125"/>
    <d v="2023-02-16T20:00:00"/>
    <x v="1"/>
    <n v="7"/>
    <x v="0"/>
    <s v="Yamaha"/>
    <x v="0"/>
    <x v="2"/>
    <n v="26872"/>
    <n v="7"/>
    <n v="55284"/>
    <n v="139773"/>
    <n v="12"/>
    <s v="No"/>
    <x v="0"/>
    <n v="-84489"/>
  </r>
  <r>
    <n v="1126"/>
    <d v="2023-02-16T21:00:00"/>
    <x v="1"/>
    <n v="7"/>
    <x v="0"/>
    <s v="TVS"/>
    <x v="0"/>
    <x v="3"/>
    <n v="62207"/>
    <n v="1"/>
    <n v="176243"/>
    <n v="86728"/>
    <n v="10"/>
    <s v="No"/>
    <x v="1"/>
    <n v="89515"/>
  </r>
  <r>
    <n v="1127"/>
    <d v="2023-02-16T22:00:00"/>
    <x v="1"/>
    <n v="7"/>
    <x v="0"/>
    <s v="Bajaj"/>
    <x v="0"/>
    <x v="3"/>
    <n v="39580"/>
    <n v="0"/>
    <n v="115627"/>
    <n v="42410"/>
    <n v="10"/>
    <s v="No"/>
    <x v="0"/>
    <n v="73217"/>
  </r>
  <r>
    <n v="1128"/>
    <d v="2023-02-16T23:00:00"/>
    <x v="1"/>
    <n v="7"/>
    <x v="0"/>
    <s v="Yamaha"/>
    <x v="0"/>
    <x v="1"/>
    <n v="43222"/>
    <n v="1"/>
    <n v="170405"/>
    <n v="24895"/>
    <n v="7"/>
    <s v="Yes"/>
    <x v="0"/>
    <n v="145510"/>
  </r>
  <r>
    <n v="1129"/>
    <d v="2023-02-17T00:00:00"/>
    <x v="1"/>
    <n v="7"/>
    <x v="0"/>
    <s v="Bajaj"/>
    <x v="1"/>
    <x v="2"/>
    <n v="29548"/>
    <n v="8"/>
    <n v="114023"/>
    <n v="86942"/>
    <n v="3"/>
    <s v="Yes"/>
    <x v="0"/>
    <n v="27081"/>
  </r>
  <r>
    <n v="1130"/>
    <d v="2023-02-17T01:00:00"/>
    <x v="1"/>
    <n v="7"/>
    <x v="0"/>
    <s v="Hero"/>
    <x v="0"/>
    <x v="0"/>
    <n v="85705"/>
    <n v="4"/>
    <n v="66516"/>
    <n v="48924"/>
    <n v="1"/>
    <s v="Yes"/>
    <x v="0"/>
    <n v="17592"/>
  </r>
  <r>
    <n v="1131"/>
    <d v="2023-02-17T02:00:00"/>
    <x v="1"/>
    <n v="7"/>
    <x v="0"/>
    <s v="Hero"/>
    <x v="1"/>
    <x v="3"/>
    <n v="10277"/>
    <n v="7"/>
    <n v="40577"/>
    <n v="127622"/>
    <n v="3"/>
    <s v="Yes"/>
    <x v="0"/>
    <n v="-87045"/>
  </r>
  <r>
    <n v="1132"/>
    <d v="2023-02-17T03:00:00"/>
    <x v="1"/>
    <n v="7"/>
    <x v="0"/>
    <s v="Honda"/>
    <x v="0"/>
    <x v="2"/>
    <n v="55211"/>
    <n v="2"/>
    <n v="40015"/>
    <n v="121839"/>
    <n v="9"/>
    <s v="No"/>
    <x v="0"/>
    <n v="-81824"/>
  </r>
  <r>
    <n v="1133"/>
    <d v="2023-02-17T04:00:00"/>
    <x v="1"/>
    <n v="7"/>
    <x v="0"/>
    <s v="Yamaha"/>
    <x v="1"/>
    <x v="0"/>
    <n v="36831"/>
    <n v="6"/>
    <n v="116104"/>
    <n v="85831"/>
    <n v="5"/>
    <s v="Yes"/>
    <x v="0"/>
    <n v="30273"/>
  </r>
  <r>
    <n v="1134"/>
    <d v="2023-02-17T05:00:00"/>
    <x v="1"/>
    <n v="7"/>
    <x v="0"/>
    <s v="Bajaj"/>
    <x v="0"/>
    <x v="2"/>
    <n v="21468"/>
    <n v="1"/>
    <n v="139412"/>
    <n v="27264"/>
    <n v="7"/>
    <s v="Yes"/>
    <x v="0"/>
    <n v="112148"/>
  </r>
  <r>
    <n v="1135"/>
    <d v="2023-02-17T06:00:00"/>
    <x v="1"/>
    <n v="7"/>
    <x v="0"/>
    <s v="TVS"/>
    <x v="0"/>
    <x v="3"/>
    <n v="54469"/>
    <n v="7"/>
    <n v="116740"/>
    <n v="43038"/>
    <n v="3"/>
    <s v="Yes"/>
    <x v="0"/>
    <n v="73702"/>
  </r>
  <r>
    <n v="1136"/>
    <d v="2023-02-17T07:00:00"/>
    <x v="1"/>
    <n v="7"/>
    <x v="0"/>
    <s v="Hero"/>
    <x v="0"/>
    <x v="1"/>
    <n v="11792"/>
    <n v="6"/>
    <n v="177308"/>
    <n v="119458"/>
    <n v="4"/>
    <s v="Yes"/>
    <x v="0"/>
    <n v="57850"/>
  </r>
  <r>
    <n v="1137"/>
    <d v="2023-02-17T08:00:00"/>
    <x v="1"/>
    <n v="7"/>
    <x v="0"/>
    <s v="Hero"/>
    <x v="0"/>
    <x v="2"/>
    <n v="41294"/>
    <n v="4"/>
    <n v="91640"/>
    <n v="131936"/>
    <n v="1"/>
    <s v="Yes"/>
    <x v="0"/>
    <n v="-40296"/>
  </r>
  <r>
    <n v="1138"/>
    <d v="2023-02-17T09:00:00"/>
    <x v="1"/>
    <n v="7"/>
    <x v="0"/>
    <s v="TVS"/>
    <x v="0"/>
    <x v="0"/>
    <n v="79959"/>
    <n v="3"/>
    <n v="108190"/>
    <n v="24136"/>
    <n v="3"/>
    <s v="Yes"/>
    <x v="0"/>
    <n v="84054"/>
  </r>
  <r>
    <n v="1139"/>
    <d v="2023-02-17T10:00:00"/>
    <x v="1"/>
    <n v="7"/>
    <x v="0"/>
    <s v="Bajaj"/>
    <x v="1"/>
    <x v="3"/>
    <n v="50692"/>
    <n v="0"/>
    <n v="154516"/>
    <n v="28213"/>
    <n v="7"/>
    <s v="Yes"/>
    <x v="0"/>
    <n v="126303"/>
  </r>
  <r>
    <n v="1140"/>
    <d v="2023-02-17T11:00:00"/>
    <x v="1"/>
    <n v="7"/>
    <x v="0"/>
    <s v="Bajaj"/>
    <x v="0"/>
    <x v="1"/>
    <n v="28203"/>
    <n v="4"/>
    <n v="159718"/>
    <n v="92608"/>
    <n v="4"/>
    <s v="Yes"/>
    <x v="0"/>
    <n v="67110"/>
  </r>
  <r>
    <n v="1141"/>
    <d v="2023-02-17T12:00:00"/>
    <x v="1"/>
    <n v="7"/>
    <x v="0"/>
    <s v="Yamaha"/>
    <x v="1"/>
    <x v="0"/>
    <n v="84693"/>
    <n v="8"/>
    <n v="112007"/>
    <n v="123546"/>
    <n v="2"/>
    <s v="Yes"/>
    <x v="0"/>
    <n v="-11539"/>
  </r>
  <r>
    <n v="1142"/>
    <d v="2023-02-17T13:00:00"/>
    <x v="1"/>
    <n v="7"/>
    <x v="0"/>
    <s v="Yamaha"/>
    <x v="1"/>
    <x v="0"/>
    <n v="69665"/>
    <n v="9"/>
    <n v="72728"/>
    <n v="116589"/>
    <n v="14"/>
    <s v="No"/>
    <x v="0"/>
    <n v="-43861"/>
  </r>
  <r>
    <n v="1143"/>
    <d v="2023-02-17T14:00:00"/>
    <x v="1"/>
    <n v="7"/>
    <x v="0"/>
    <s v="Honda"/>
    <x v="0"/>
    <x v="0"/>
    <n v="68150"/>
    <n v="3"/>
    <n v="39878"/>
    <n v="42431"/>
    <n v="5"/>
    <s v="Yes"/>
    <x v="0"/>
    <n v="-2553"/>
  </r>
  <r>
    <n v="1144"/>
    <d v="2023-02-17T15:00:00"/>
    <x v="1"/>
    <n v="7"/>
    <x v="0"/>
    <s v="Hero"/>
    <x v="0"/>
    <x v="2"/>
    <n v="57016"/>
    <n v="8"/>
    <n v="153925"/>
    <n v="57290"/>
    <n v="5"/>
    <s v="Yes"/>
    <x v="0"/>
    <n v="96635"/>
  </r>
  <r>
    <n v="1145"/>
    <d v="2023-02-17T16:00:00"/>
    <x v="1"/>
    <n v="7"/>
    <x v="0"/>
    <s v="Yamaha"/>
    <x v="0"/>
    <x v="3"/>
    <n v="91610"/>
    <n v="1"/>
    <n v="34145"/>
    <n v="82539"/>
    <n v="2"/>
    <s v="Yes"/>
    <x v="0"/>
    <n v="-48394"/>
  </r>
  <r>
    <n v="1146"/>
    <d v="2023-02-17T17:00:00"/>
    <x v="1"/>
    <n v="7"/>
    <x v="0"/>
    <s v="Bajaj"/>
    <x v="0"/>
    <x v="0"/>
    <n v="98385"/>
    <n v="3"/>
    <n v="113578"/>
    <n v="100535"/>
    <n v="11"/>
    <s v="No"/>
    <x v="0"/>
    <n v="13043"/>
  </r>
  <r>
    <n v="1147"/>
    <d v="2023-02-17T18:00:00"/>
    <x v="1"/>
    <n v="7"/>
    <x v="0"/>
    <s v="TVS"/>
    <x v="0"/>
    <x v="2"/>
    <n v="22757"/>
    <n v="8"/>
    <n v="43226"/>
    <n v="111815"/>
    <n v="6"/>
    <s v="Yes"/>
    <x v="0"/>
    <n v="-68589"/>
  </r>
  <r>
    <n v="1148"/>
    <d v="2023-02-17T19:00:00"/>
    <x v="1"/>
    <n v="7"/>
    <x v="0"/>
    <s v="Bajaj"/>
    <x v="0"/>
    <x v="3"/>
    <n v="84009"/>
    <n v="3"/>
    <n v="27802"/>
    <n v="57747"/>
    <n v="10"/>
    <s v="No"/>
    <x v="0"/>
    <n v="-29945"/>
  </r>
  <r>
    <n v="1149"/>
    <d v="2023-02-17T20:00:00"/>
    <x v="1"/>
    <n v="7"/>
    <x v="0"/>
    <s v="Hero"/>
    <x v="0"/>
    <x v="3"/>
    <n v="91773"/>
    <n v="4"/>
    <n v="49119"/>
    <n v="90974"/>
    <n v="4"/>
    <s v="Yes"/>
    <x v="0"/>
    <n v="-41855"/>
  </r>
  <r>
    <n v="1150"/>
    <d v="2023-02-17T21:00:00"/>
    <x v="1"/>
    <n v="7"/>
    <x v="0"/>
    <s v="Bajaj"/>
    <x v="0"/>
    <x v="2"/>
    <n v="52172"/>
    <n v="7"/>
    <n v="88560"/>
    <n v="94763"/>
    <n v="14"/>
    <s v="No"/>
    <x v="0"/>
    <n v="-6203"/>
  </r>
  <r>
    <n v="1151"/>
    <d v="2023-02-17T22:00:00"/>
    <x v="1"/>
    <n v="7"/>
    <x v="0"/>
    <s v="Honda"/>
    <x v="0"/>
    <x v="2"/>
    <n v="63808"/>
    <n v="0"/>
    <n v="82353"/>
    <n v="84208"/>
    <n v="1"/>
    <s v="Yes"/>
    <x v="0"/>
    <n v="-1855"/>
  </r>
  <r>
    <n v="1152"/>
    <d v="2023-02-17T23:00:00"/>
    <x v="1"/>
    <n v="7"/>
    <x v="0"/>
    <s v="Hero"/>
    <x v="0"/>
    <x v="0"/>
    <n v="78083"/>
    <n v="0"/>
    <n v="148001"/>
    <n v="87994"/>
    <n v="3"/>
    <s v="Yes"/>
    <x v="0"/>
    <n v="60007"/>
  </r>
  <r>
    <n v="1153"/>
    <d v="2023-02-18T00:00:00"/>
    <x v="1"/>
    <n v="7"/>
    <x v="0"/>
    <s v="TVS"/>
    <x v="1"/>
    <x v="3"/>
    <n v="22613"/>
    <n v="8"/>
    <n v="96641"/>
    <n v="99075"/>
    <n v="14"/>
    <s v="No"/>
    <x v="0"/>
    <n v="-2434"/>
  </r>
  <r>
    <n v="1154"/>
    <d v="2023-02-18T01:00:00"/>
    <x v="1"/>
    <n v="7"/>
    <x v="0"/>
    <s v="Honda"/>
    <x v="0"/>
    <x v="1"/>
    <n v="1194"/>
    <n v="8"/>
    <n v="76712"/>
    <n v="84015"/>
    <n v="9"/>
    <s v="No"/>
    <x v="0"/>
    <n v="-7303"/>
  </r>
  <r>
    <n v="1155"/>
    <d v="2023-02-18T02:00:00"/>
    <x v="1"/>
    <n v="7"/>
    <x v="0"/>
    <s v="Hero"/>
    <x v="1"/>
    <x v="2"/>
    <n v="16088"/>
    <n v="3"/>
    <n v="155085"/>
    <n v="29887"/>
    <n v="10"/>
    <s v="No"/>
    <x v="0"/>
    <n v="125198"/>
  </r>
  <r>
    <n v="1156"/>
    <d v="2023-02-18T03:00:00"/>
    <x v="1"/>
    <n v="7"/>
    <x v="0"/>
    <s v="TVS"/>
    <x v="0"/>
    <x v="3"/>
    <n v="62256"/>
    <n v="1"/>
    <n v="93285"/>
    <n v="15051"/>
    <n v="7"/>
    <s v="Yes"/>
    <x v="0"/>
    <n v="78234"/>
  </r>
  <r>
    <n v="1157"/>
    <d v="2023-02-18T04:00:00"/>
    <x v="1"/>
    <n v="7"/>
    <x v="0"/>
    <s v="Honda"/>
    <x v="0"/>
    <x v="3"/>
    <n v="64585"/>
    <n v="8"/>
    <n v="140278"/>
    <n v="82695"/>
    <n v="13"/>
    <s v="No"/>
    <x v="0"/>
    <n v="57583"/>
  </r>
  <r>
    <n v="1158"/>
    <d v="2023-02-18T05:00:00"/>
    <x v="1"/>
    <n v="7"/>
    <x v="0"/>
    <s v="Honda"/>
    <x v="0"/>
    <x v="0"/>
    <n v="61642"/>
    <n v="3"/>
    <n v="49512"/>
    <n v="84926"/>
    <n v="6"/>
    <s v="Yes"/>
    <x v="0"/>
    <n v="-35414"/>
  </r>
  <r>
    <n v="1159"/>
    <d v="2023-02-18T06:00:00"/>
    <x v="1"/>
    <n v="7"/>
    <x v="0"/>
    <s v="Hero"/>
    <x v="0"/>
    <x v="1"/>
    <n v="64873"/>
    <n v="5"/>
    <n v="127077"/>
    <n v="100571"/>
    <n v="14"/>
    <s v="No"/>
    <x v="1"/>
    <n v="26506"/>
  </r>
  <r>
    <n v="1160"/>
    <d v="2023-02-18T07:00:00"/>
    <x v="1"/>
    <n v="7"/>
    <x v="0"/>
    <s v="Yamaha"/>
    <x v="0"/>
    <x v="0"/>
    <n v="86103"/>
    <n v="0"/>
    <n v="27064"/>
    <n v="137044"/>
    <n v="1"/>
    <s v="Yes"/>
    <x v="0"/>
    <n v="-109980"/>
  </r>
  <r>
    <n v="1161"/>
    <d v="2023-02-18T08:00:00"/>
    <x v="1"/>
    <n v="7"/>
    <x v="0"/>
    <s v="Honda"/>
    <x v="0"/>
    <x v="1"/>
    <n v="7204"/>
    <n v="8"/>
    <n v="120614"/>
    <n v="43491"/>
    <n v="9"/>
    <s v="No"/>
    <x v="0"/>
    <n v="77123"/>
  </r>
  <r>
    <n v="1162"/>
    <d v="2023-02-18T09:00:00"/>
    <x v="1"/>
    <n v="7"/>
    <x v="0"/>
    <s v="Honda"/>
    <x v="0"/>
    <x v="1"/>
    <n v="40636"/>
    <n v="4"/>
    <n v="142639"/>
    <n v="31080"/>
    <n v="13"/>
    <s v="No"/>
    <x v="0"/>
    <n v="111559"/>
  </r>
  <r>
    <n v="1163"/>
    <d v="2023-02-18T10:00:00"/>
    <x v="1"/>
    <n v="7"/>
    <x v="0"/>
    <s v="TVS"/>
    <x v="0"/>
    <x v="2"/>
    <n v="68007"/>
    <n v="2"/>
    <n v="55011"/>
    <n v="49880"/>
    <n v="9"/>
    <s v="No"/>
    <x v="0"/>
    <n v="5131"/>
  </r>
  <r>
    <n v="1164"/>
    <d v="2023-02-18T11:00:00"/>
    <x v="1"/>
    <n v="7"/>
    <x v="0"/>
    <s v="Bajaj"/>
    <x v="0"/>
    <x v="3"/>
    <n v="47861"/>
    <n v="3"/>
    <n v="96152"/>
    <n v="74965"/>
    <n v="1"/>
    <s v="Yes"/>
    <x v="0"/>
    <n v="21187"/>
  </r>
  <r>
    <n v="1165"/>
    <d v="2023-02-18T12:00:00"/>
    <x v="1"/>
    <n v="7"/>
    <x v="0"/>
    <s v="Hero"/>
    <x v="0"/>
    <x v="3"/>
    <n v="59347"/>
    <n v="0"/>
    <n v="35960"/>
    <n v="126056"/>
    <n v="14"/>
    <s v="No"/>
    <x v="0"/>
    <n v="-90096"/>
  </r>
  <r>
    <n v="1166"/>
    <d v="2023-02-18T13:00:00"/>
    <x v="1"/>
    <n v="7"/>
    <x v="0"/>
    <s v="Hero"/>
    <x v="0"/>
    <x v="3"/>
    <n v="11941"/>
    <n v="8"/>
    <n v="146789"/>
    <n v="62361"/>
    <n v="13"/>
    <s v="No"/>
    <x v="0"/>
    <n v="84428"/>
  </r>
  <r>
    <n v="1167"/>
    <d v="2023-02-18T14:00:00"/>
    <x v="1"/>
    <n v="7"/>
    <x v="0"/>
    <s v="Yamaha"/>
    <x v="0"/>
    <x v="1"/>
    <n v="97512"/>
    <n v="7"/>
    <n v="83920"/>
    <n v="102685"/>
    <n v="13"/>
    <s v="No"/>
    <x v="1"/>
    <n v="-18765"/>
  </r>
  <r>
    <n v="1168"/>
    <d v="2023-02-18T15:00:00"/>
    <x v="1"/>
    <n v="7"/>
    <x v="0"/>
    <s v="Yamaha"/>
    <x v="0"/>
    <x v="3"/>
    <n v="15177"/>
    <n v="3"/>
    <n v="46387"/>
    <n v="95875"/>
    <n v="6"/>
    <s v="Yes"/>
    <x v="0"/>
    <n v="-49488"/>
  </r>
  <r>
    <n v="1169"/>
    <d v="2023-02-18T16:00:00"/>
    <x v="1"/>
    <n v="7"/>
    <x v="0"/>
    <s v="Hero"/>
    <x v="0"/>
    <x v="2"/>
    <n v="28318"/>
    <n v="1"/>
    <n v="171396"/>
    <n v="109841"/>
    <n v="7"/>
    <s v="Yes"/>
    <x v="0"/>
    <n v="61555"/>
  </r>
  <r>
    <n v="1170"/>
    <d v="2023-02-18T17:00:00"/>
    <x v="1"/>
    <n v="7"/>
    <x v="0"/>
    <s v="Yamaha"/>
    <x v="0"/>
    <x v="1"/>
    <n v="2368"/>
    <n v="8"/>
    <n v="88960"/>
    <n v="81890"/>
    <n v="2"/>
    <s v="Yes"/>
    <x v="0"/>
    <n v="7070"/>
  </r>
  <r>
    <n v="1171"/>
    <d v="2023-02-18T18:00:00"/>
    <x v="1"/>
    <n v="7"/>
    <x v="0"/>
    <s v="TVS"/>
    <x v="1"/>
    <x v="1"/>
    <n v="84091"/>
    <n v="3"/>
    <n v="147994"/>
    <n v="86156"/>
    <n v="10"/>
    <s v="No"/>
    <x v="1"/>
    <n v="61838"/>
  </r>
  <r>
    <n v="1172"/>
    <d v="2023-02-18T19:00:00"/>
    <x v="1"/>
    <n v="7"/>
    <x v="0"/>
    <s v="Hero"/>
    <x v="0"/>
    <x v="1"/>
    <n v="67764"/>
    <n v="8"/>
    <n v="57628"/>
    <n v="84290"/>
    <n v="8"/>
    <s v="No"/>
    <x v="0"/>
    <n v="-26662"/>
  </r>
  <r>
    <n v="1173"/>
    <d v="2023-02-18T20:00:00"/>
    <x v="1"/>
    <n v="7"/>
    <x v="0"/>
    <s v="Yamaha"/>
    <x v="0"/>
    <x v="1"/>
    <n v="73668"/>
    <n v="9"/>
    <n v="146269"/>
    <n v="31593"/>
    <n v="8"/>
    <s v="No"/>
    <x v="0"/>
    <n v="114676"/>
  </r>
  <r>
    <n v="1174"/>
    <d v="2023-02-18T21:00:00"/>
    <x v="1"/>
    <n v="7"/>
    <x v="0"/>
    <s v="Hero"/>
    <x v="0"/>
    <x v="2"/>
    <n v="12543"/>
    <n v="2"/>
    <n v="72452"/>
    <n v="31167"/>
    <n v="6"/>
    <s v="Yes"/>
    <x v="0"/>
    <n v="41285"/>
  </r>
  <r>
    <n v="1175"/>
    <d v="2023-02-18T22:00:00"/>
    <x v="1"/>
    <n v="7"/>
    <x v="0"/>
    <s v="Bajaj"/>
    <x v="0"/>
    <x v="3"/>
    <n v="72439"/>
    <n v="6"/>
    <n v="66098"/>
    <n v="135920"/>
    <n v="9"/>
    <s v="No"/>
    <x v="0"/>
    <n v="-69822"/>
  </r>
  <r>
    <n v="1176"/>
    <d v="2023-02-18T23:00:00"/>
    <x v="1"/>
    <n v="7"/>
    <x v="0"/>
    <s v="Honda"/>
    <x v="0"/>
    <x v="2"/>
    <n v="16232"/>
    <n v="6"/>
    <n v="111861"/>
    <n v="137534"/>
    <n v="3"/>
    <s v="Yes"/>
    <x v="0"/>
    <n v="-25673"/>
  </r>
  <r>
    <n v="1177"/>
    <d v="2023-02-19T00:00:00"/>
    <x v="1"/>
    <n v="8"/>
    <x v="0"/>
    <s v="Hero"/>
    <x v="0"/>
    <x v="3"/>
    <n v="55744"/>
    <n v="9"/>
    <n v="52949"/>
    <n v="103091"/>
    <n v="2"/>
    <s v="Yes"/>
    <x v="0"/>
    <n v="-50142"/>
  </r>
  <r>
    <n v="1178"/>
    <d v="2023-02-19T01:00:00"/>
    <x v="1"/>
    <n v="8"/>
    <x v="0"/>
    <s v="Honda"/>
    <x v="0"/>
    <x v="2"/>
    <n v="19026"/>
    <n v="3"/>
    <n v="178893"/>
    <n v="48005"/>
    <n v="2"/>
    <s v="Yes"/>
    <x v="1"/>
    <n v="130888"/>
  </r>
  <r>
    <n v="1179"/>
    <d v="2023-02-19T02:00:00"/>
    <x v="1"/>
    <n v="8"/>
    <x v="0"/>
    <s v="Yamaha"/>
    <x v="0"/>
    <x v="0"/>
    <n v="9840"/>
    <n v="1"/>
    <n v="178104"/>
    <n v="121831"/>
    <n v="6"/>
    <s v="Yes"/>
    <x v="0"/>
    <n v="56273"/>
  </r>
  <r>
    <n v="1180"/>
    <d v="2023-02-19T03:00:00"/>
    <x v="1"/>
    <n v="8"/>
    <x v="0"/>
    <s v="Honda"/>
    <x v="0"/>
    <x v="0"/>
    <n v="22894"/>
    <n v="8"/>
    <n v="98537"/>
    <n v="80471"/>
    <n v="7"/>
    <s v="Yes"/>
    <x v="0"/>
    <n v="18066"/>
  </r>
  <r>
    <n v="1181"/>
    <d v="2023-02-19T04:00:00"/>
    <x v="1"/>
    <n v="8"/>
    <x v="0"/>
    <s v="Hero"/>
    <x v="0"/>
    <x v="0"/>
    <n v="99057"/>
    <n v="3"/>
    <n v="171375"/>
    <n v="121379"/>
    <n v="6"/>
    <s v="Yes"/>
    <x v="0"/>
    <n v="49996"/>
  </r>
  <r>
    <n v="1182"/>
    <d v="2023-02-19T05:00:00"/>
    <x v="1"/>
    <n v="8"/>
    <x v="0"/>
    <s v="Bajaj"/>
    <x v="0"/>
    <x v="0"/>
    <n v="4602"/>
    <n v="7"/>
    <n v="141003"/>
    <n v="65728"/>
    <n v="11"/>
    <s v="No"/>
    <x v="0"/>
    <n v="75275"/>
  </r>
  <r>
    <n v="1183"/>
    <d v="2023-02-19T06:00:00"/>
    <x v="1"/>
    <n v="8"/>
    <x v="0"/>
    <s v="Yamaha"/>
    <x v="0"/>
    <x v="1"/>
    <n v="19659"/>
    <n v="1"/>
    <n v="168375"/>
    <n v="23691"/>
    <n v="3"/>
    <s v="Yes"/>
    <x v="0"/>
    <n v="144684"/>
  </r>
  <r>
    <n v="1184"/>
    <d v="2023-02-19T07:00:00"/>
    <x v="1"/>
    <n v="8"/>
    <x v="0"/>
    <s v="Hero"/>
    <x v="0"/>
    <x v="1"/>
    <n v="65592"/>
    <n v="7"/>
    <n v="75701"/>
    <n v="24756"/>
    <n v="5"/>
    <s v="Yes"/>
    <x v="0"/>
    <n v="50945"/>
  </r>
  <r>
    <n v="1185"/>
    <d v="2023-02-19T08:00:00"/>
    <x v="1"/>
    <n v="8"/>
    <x v="0"/>
    <s v="Yamaha"/>
    <x v="0"/>
    <x v="2"/>
    <n v="6712"/>
    <n v="9"/>
    <n v="75511"/>
    <n v="138670"/>
    <n v="8"/>
    <s v="No"/>
    <x v="0"/>
    <n v="-63159"/>
  </r>
  <r>
    <n v="1186"/>
    <d v="2023-02-19T09:00:00"/>
    <x v="1"/>
    <n v="8"/>
    <x v="0"/>
    <s v="TVS"/>
    <x v="0"/>
    <x v="2"/>
    <n v="97860"/>
    <n v="4"/>
    <n v="105664"/>
    <n v="51308"/>
    <n v="6"/>
    <s v="Yes"/>
    <x v="0"/>
    <n v="54356"/>
  </r>
  <r>
    <n v="1187"/>
    <d v="2023-02-19T10:00:00"/>
    <x v="1"/>
    <n v="8"/>
    <x v="0"/>
    <s v="Honda"/>
    <x v="0"/>
    <x v="0"/>
    <n v="37905"/>
    <n v="6"/>
    <n v="174352"/>
    <n v="79079"/>
    <n v="2"/>
    <s v="Yes"/>
    <x v="0"/>
    <n v="95273"/>
  </r>
  <r>
    <n v="1188"/>
    <d v="2023-02-19T11:00:00"/>
    <x v="1"/>
    <n v="8"/>
    <x v="0"/>
    <s v="TVS"/>
    <x v="0"/>
    <x v="3"/>
    <n v="77561"/>
    <n v="6"/>
    <n v="64427"/>
    <n v="80524"/>
    <n v="7"/>
    <s v="Yes"/>
    <x v="1"/>
    <n v="-16097"/>
  </r>
  <r>
    <n v="1189"/>
    <d v="2023-02-19T12:00:00"/>
    <x v="1"/>
    <n v="8"/>
    <x v="0"/>
    <s v="Hero"/>
    <x v="0"/>
    <x v="0"/>
    <n v="94796"/>
    <n v="8"/>
    <n v="122180"/>
    <n v="75466"/>
    <n v="8"/>
    <s v="No"/>
    <x v="0"/>
    <n v="46714"/>
  </r>
  <r>
    <n v="1190"/>
    <d v="2023-02-19T13:00:00"/>
    <x v="1"/>
    <n v="8"/>
    <x v="0"/>
    <s v="Bajaj"/>
    <x v="0"/>
    <x v="2"/>
    <n v="55686"/>
    <n v="2"/>
    <n v="128550"/>
    <n v="24327"/>
    <n v="4"/>
    <s v="Yes"/>
    <x v="0"/>
    <n v="104223"/>
  </r>
  <r>
    <n v="1191"/>
    <d v="2023-02-19T14:00:00"/>
    <x v="1"/>
    <n v="8"/>
    <x v="0"/>
    <s v="Yamaha"/>
    <x v="0"/>
    <x v="0"/>
    <n v="44739"/>
    <n v="9"/>
    <n v="163039"/>
    <n v="43520"/>
    <n v="12"/>
    <s v="No"/>
    <x v="0"/>
    <n v="119519"/>
  </r>
  <r>
    <n v="1192"/>
    <d v="2023-02-19T15:00:00"/>
    <x v="1"/>
    <n v="8"/>
    <x v="0"/>
    <s v="Honda"/>
    <x v="0"/>
    <x v="2"/>
    <n v="93493"/>
    <n v="3"/>
    <n v="162733"/>
    <n v="58308"/>
    <n v="1"/>
    <s v="Yes"/>
    <x v="0"/>
    <n v="104425"/>
  </r>
  <r>
    <n v="1193"/>
    <d v="2023-02-19T16:00:00"/>
    <x v="1"/>
    <n v="8"/>
    <x v="0"/>
    <s v="Yamaha"/>
    <x v="0"/>
    <x v="0"/>
    <n v="11032"/>
    <n v="9"/>
    <n v="102952"/>
    <n v="120561"/>
    <n v="2"/>
    <s v="Yes"/>
    <x v="0"/>
    <n v="-17609"/>
  </r>
  <r>
    <n v="1194"/>
    <d v="2023-02-19T17:00:00"/>
    <x v="1"/>
    <n v="8"/>
    <x v="0"/>
    <s v="Hero"/>
    <x v="0"/>
    <x v="3"/>
    <n v="79554"/>
    <n v="3"/>
    <n v="91046"/>
    <n v="109436"/>
    <n v="4"/>
    <s v="Yes"/>
    <x v="0"/>
    <n v="-18390"/>
  </r>
  <r>
    <n v="1195"/>
    <d v="2023-02-19T18:00:00"/>
    <x v="1"/>
    <n v="8"/>
    <x v="0"/>
    <s v="Yamaha"/>
    <x v="0"/>
    <x v="0"/>
    <n v="72512"/>
    <n v="9"/>
    <n v="131918"/>
    <n v="31533"/>
    <n v="7"/>
    <s v="Yes"/>
    <x v="1"/>
    <n v="100385"/>
  </r>
  <r>
    <n v="1196"/>
    <d v="2023-02-19T19:00:00"/>
    <x v="1"/>
    <n v="8"/>
    <x v="0"/>
    <s v="Honda"/>
    <x v="1"/>
    <x v="3"/>
    <n v="85779"/>
    <n v="4"/>
    <n v="60200"/>
    <n v="112417"/>
    <n v="2"/>
    <s v="Yes"/>
    <x v="0"/>
    <n v="-52217"/>
  </r>
  <r>
    <n v="1197"/>
    <d v="2023-02-19T20:00:00"/>
    <x v="1"/>
    <n v="8"/>
    <x v="0"/>
    <s v="Hero"/>
    <x v="0"/>
    <x v="3"/>
    <n v="67040"/>
    <n v="5"/>
    <n v="92442"/>
    <n v="108318"/>
    <n v="6"/>
    <s v="Yes"/>
    <x v="0"/>
    <n v="-15876"/>
  </r>
  <r>
    <n v="1198"/>
    <d v="2023-02-19T21:00:00"/>
    <x v="1"/>
    <n v="8"/>
    <x v="0"/>
    <s v="Yamaha"/>
    <x v="0"/>
    <x v="2"/>
    <n v="3771"/>
    <n v="2"/>
    <n v="116070"/>
    <n v="59488"/>
    <n v="2"/>
    <s v="Yes"/>
    <x v="0"/>
    <n v="56582"/>
  </r>
  <r>
    <n v="1199"/>
    <d v="2023-02-19T22:00:00"/>
    <x v="1"/>
    <n v="8"/>
    <x v="0"/>
    <s v="Bajaj"/>
    <x v="0"/>
    <x v="3"/>
    <n v="45982"/>
    <n v="3"/>
    <n v="83168"/>
    <n v="82160"/>
    <n v="12"/>
    <s v="No"/>
    <x v="0"/>
    <n v="1008"/>
  </r>
  <r>
    <n v="1200"/>
    <d v="2023-02-19T23:00:00"/>
    <x v="1"/>
    <n v="8"/>
    <x v="0"/>
    <s v="Hero"/>
    <x v="1"/>
    <x v="1"/>
    <n v="709"/>
    <n v="2"/>
    <n v="73322"/>
    <n v="55429"/>
    <n v="7"/>
    <s v="Yes"/>
    <x v="0"/>
    <n v="17893"/>
  </r>
  <r>
    <n v="1201"/>
    <d v="2023-02-20T00:00:00"/>
    <x v="1"/>
    <n v="8"/>
    <x v="0"/>
    <s v="Hero"/>
    <x v="1"/>
    <x v="1"/>
    <n v="91499"/>
    <n v="1"/>
    <n v="95246"/>
    <n v="66726"/>
    <n v="2"/>
    <s v="Yes"/>
    <x v="0"/>
    <n v="28520"/>
  </r>
  <r>
    <n v="1202"/>
    <d v="2023-02-20T01:00:00"/>
    <x v="1"/>
    <n v="8"/>
    <x v="0"/>
    <s v="Bajaj"/>
    <x v="0"/>
    <x v="1"/>
    <n v="6039"/>
    <n v="9"/>
    <n v="40583"/>
    <n v="101348"/>
    <n v="3"/>
    <s v="Yes"/>
    <x v="0"/>
    <n v="-60765"/>
  </r>
  <r>
    <n v="1203"/>
    <d v="2023-02-20T02:00:00"/>
    <x v="1"/>
    <n v="8"/>
    <x v="0"/>
    <s v="TVS"/>
    <x v="0"/>
    <x v="2"/>
    <n v="20477"/>
    <n v="8"/>
    <n v="107720"/>
    <n v="88065"/>
    <n v="9"/>
    <s v="No"/>
    <x v="0"/>
    <n v="19655"/>
  </r>
  <r>
    <n v="1204"/>
    <d v="2023-02-20T03:00:00"/>
    <x v="1"/>
    <n v="8"/>
    <x v="0"/>
    <s v="Honda"/>
    <x v="0"/>
    <x v="1"/>
    <n v="74642"/>
    <n v="0"/>
    <n v="162181"/>
    <n v="35653"/>
    <n v="13"/>
    <s v="No"/>
    <x v="0"/>
    <n v="126528"/>
  </r>
  <r>
    <n v="1205"/>
    <d v="2023-02-20T04:00:00"/>
    <x v="1"/>
    <n v="8"/>
    <x v="0"/>
    <s v="TVS"/>
    <x v="0"/>
    <x v="2"/>
    <n v="69184"/>
    <n v="1"/>
    <n v="84757"/>
    <n v="71921"/>
    <n v="4"/>
    <s v="Yes"/>
    <x v="0"/>
    <n v="12836"/>
  </r>
  <r>
    <n v="1206"/>
    <d v="2023-02-20T05:00:00"/>
    <x v="1"/>
    <n v="8"/>
    <x v="0"/>
    <s v="Yamaha"/>
    <x v="0"/>
    <x v="2"/>
    <n v="99572"/>
    <n v="7"/>
    <n v="31659"/>
    <n v="108396"/>
    <n v="14"/>
    <s v="No"/>
    <x v="0"/>
    <n v="-76737"/>
  </r>
  <r>
    <n v="1207"/>
    <d v="2023-02-20T06:00:00"/>
    <x v="1"/>
    <n v="8"/>
    <x v="0"/>
    <s v="Bajaj"/>
    <x v="0"/>
    <x v="1"/>
    <n v="6107"/>
    <n v="6"/>
    <n v="26238"/>
    <n v="28654"/>
    <n v="5"/>
    <s v="Yes"/>
    <x v="1"/>
    <n v="-2416"/>
  </r>
  <r>
    <n v="1208"/>
    <d v="2023-02-20T07:00:00"/>
    <x v="1"/>
    <n v="8"/>
    <x v="0"/>
    <s v="TVS"/>
    <x v="0"/>
    <x v="3"/>
    <n v="85622"/>
    <n v="0"/>
    <n v="146270"/>
    <n v="17108"/>
    <n v="9"/>
    <s v="No"/>
    <x v="0"/>
    <n v="129162"/>
  </r>
  <r>
    <n v="1209"/>
    <d v="2023-02-20T08:00:00"/>
    <x v="1"/>
    <n v="8"/>
    <x v="0"/>
    <s v="Hero"/>
    <x v="0"/>
    <x v="0"/>
    <n v="95286"/>
    <n v="4"/>
    <n v="144211"/>
    <n v="84483"/>
    <n v="7"/>
    <s v="Yes"/>
    <x v="0"/>
    <n v="59728"/>
  </r>
  <r>
    <n v="1210"/>
    <d v="2023-02-20T09:00:00"/>
    <x v="1"/>
    <n v="8"/>
    <x v="0"/>
    <s v="Yamaha"/>
    <x v="1"/>
    <x v="2"/>
    <n v="52439"/>
    <n v="9"/>
    <n v="40064"/>
    <n v="22899"/>
    <n v="8"/>
    <s v="No"/>
    <x v="0"/>
    <n v="17165"/>
  </r>
  <r>
    <n v="1211"/>
    <d v="2023-02-20T10:00:00"/>
    <x v="1"/>
    <n v="8"/>
    <x v="0"/>
    <s v="Yamaha"/>
    <x v="0"/>
    <x v="1"/>
    <n v="19094"/>
    <n v="5"/>
    <n v="161692"/>
    <n v="28372"/>
    <n v="11"/>
    <s v="No"/>
    <x v="0"/>
    <n v="133320"/>
  </r>
  <r>
    <n v="1212"/>
    <d v="2023-02-20T11:00:00"/>
    <x v="1"/>
    <n v="8"/>
    <x v="0"/>
    <s v="TVS"/>
    <x v="0"/>
    <x v="2"/>
    <n v="58882"/>
    <n v="4"/>
    <n v="124790"/>
    <n v="52682"/>
    <n v="3"/>
    <s v="Yes"/>
    <x v="0"/>
    <n v="72108"/>
  </r>
  <r>
    <n v="1213"/>
    <d v="2023-02-20T12:00:00"/>
    <x v="1"/>
    <n v="8"/>
    <x v="0"/>
    <s v="TVS"/>
    <x v="0"/>
    <x v="3"/>
    <n v="7899"/>
    <n v="3"/>
    <n v="127985"/>
    <n v="110909"/>
    <n v="11"/>
    <s v="No"/>
    <x v="0"/>
    <n v="17076"/>
  </r>
  <r>
    <n v="1214"/>
    <d v="2023-02-20T13:00:00"/>
    <x v="1"/>
    <n v="8"/>
    <x v="0"/>
    <s v="Bajaj"/>
    <x v="0"/>
    <x v="3"/>
    <n v="25617"/>
    <n v="0"/>
    <n v="69258"/>
    <n v="119971"/>
    <n v="11"/>
    <s v="No"/>
    <x v="0"/>
    <n v="-50713"/>
  </r>
  <r>
    <n v="1215"/>
    <d v="2023-02-20T14:00:00"/>
    <x v="1"/>
    <n v="8"/>
    <x v="0"/>
    <s v="Honda"/>
    <x v="0"/>
    <x v="1"/>
    <n v="99162"/>
    <n v="6"/>
    <n v="160542"/>
    <n v="82799"/>
    <n v="4"/>
    <s v="Yes"/>
    <x v="0"/>
    <n v="77743"/>
  </r>
  <r>
    <n v="1216"/>
    <d v="2023-02-20T15:00:00"/>
    <x v="1"/>
    <n v="8"/>
    <x v="0"/>
    <s v="TVS"/>
    <x v="0"/>
    <x v="2"/>
    <n v="34117"/>
    <n v="8"/>
    <n v="178075"/>
    <n v="106724"/>
    <n v="7"/>
    <s v="Yes"/>
    <x v="0"/>
    <n v="71351"/>
  </r>
  <r>
    <n v="1217"/>
    <d v="2023-02-20T16:00:00"/>
    <x v="1"/>
    <n v="8"/>
    <x v="0"/>
    <s v="TVS"/>
    <x v="1"/>
    <x v="0"/>
    <n v="7998"/>
    <n v="5"/>
    <n v="49668"/>
    <n v="51583"/>
    <n v="4"/>
    <s v="Yes"/>
    <x v="0"/>
    <n v="-1915"/>
  </r>
  <r>
    <n v="1218"/>
    <d v="2023-02-20T17:00:00"/>
    <x v="1"/>
    <n v="8"/>
    <x v="0"/>
    <s v="Hero"/>
    <x v="0"/>
    <x v="0"/>
    <n v="51124"/>
    <n v="2"/>
    <n v="102259"/>
    <n v="44295"/>
    <n v="2"/>
    <s v="Yes"/>
    <x v="0"/>
    <n v="57964"/>
  </r>
  <r>
    <n v="1219"/>
    <d v="2023-02-20T18:00:00"/>
    <x v="1"/>
    <n v="8"/>
    <x v="0"/>
    <s v="Yamaha"/>
    <x v="0"/>
    <x v="2"/>
    <n v="10128"/>
    <n v="9"/>
    <n v="137192"/>
    <n v="81113"/>
    <n v="14"/>
    <s v="No"/>
    <x v="0"/>
    <n v="56079"/>
  </r>
  <r>
    <n v="1220"/>
    <d v="2023-02-20T19:00:00"/>
    <x v="1"/>
    <n v="8"/>
    <x v="0"/>
    <s v="Honda"/>
    <x v="0"/>
    <x v="2"/>
    <n v="829"/>
    <n v="3"/>
    <n v="121576"/>
    <n v="95565"/>
    <n v="10"/>
    <s v="No"/>
    <x v="0"/>
    <n v="26011"/>
  </r>
  <r>
    <n v="1221"/>
    <d v="2023-02-20T20:00:00"/>
    <x v="1"/>
    <n v="8"/>
    <x v="0"/>
    <s v="Hero"/>
    <x v="0"/>
    <x v="2"/>
    <n v="39119"/>
    <n v="9"/>
    <n v="130481"/>
    <n v="64574"/>
    <n v="6"/>
    <s v="Yes"/>
    <x v="0"/>
    <n v="65907"/>
  </r>
  <r>
    <n v="1222"/>
    <d v="2023-02-20T21:00:00"/>
    <x v="1"/>
    <n v="8"/>
    <x v="0"/>
    <s v="Bajaj"/>
    <x v="0"/>
    <x v="1"/>
    <n v="7532"/>
    <n v="4"/>
    <n v="136505"/>
    <n v="116067"/>
    <n v="9"/>
    <s v="No"/>
    <x v="1"/>
    <n v="20438"/>
  </r>
  <r>
    <n v="1223"/>
    <d v="2023-02-20T22:00:00"/>
    <x v="1"/>
    <n v="8"/>
    <x v="0"/>
    <s v="Bajaj"/>
    <x v="0"/>
    <x v="3"/>
    <n v="48594"/>
    <n v="0"/>
    <n v="30397"/>
    <n v="79934"/>
    <n v="2"/>
    <s v="Yes"/>
    <x v="0"/>
    <n v="-49537"/>
  </r>
  <r>
    <n v="1224"/>
    <d v="2023-02-20T23:00:00"/>
    <x v="1"/>
    <n v="8"/>
    <x v="0"/>
    <s v="TVS"/>
    <x v="0"/>
    <x v="0"/>
    <n v="38534"/>
    <n v="4"/>
    <n v="124925"/>
    <n v="45066"/>
    <n v="1"/>
    <s v="Yes"/>
    <x v="0"/>
    <n v="79859"/>
  </r>
  <r>
    <n v="1225"/>
    <d v="2023-02-21T00:00:00"/>
    <x v="1"/>
    <n v="8"/>
    <x v="0"/>
    <s v="TVS"/>
    <x v="0"/>
    <x v="1"/>
    <n v="86658"/>
    <n v="0"/>
    <n v="108481"/>
    <n v="98149"/>
    <n v="8"/>
    <s v="No"/>
    <x v="0"/>
    <n v="10332"/>
  </r>
  <r>
    <n v="1226"/>
    <d v="2023-02-21T01:00:00"/>
    <x v="1"/>
    <n v="8"/>
    <x v="0"/>
    <s v="Bajaj"/>
    <x v="0"/>
    <x v="2"/>
    <n v="55764"/>
    <n v="8"/>
    <n v="178305"/>
    <n v="128949"/>
    <n v="1"/>
    <s v="Yes"/>
    <x v="0"/>
    <n v="49356"/>
  </r>
  <r>
    <n v="1227"/>
    <d v="2023-02-21T02:00:00"/>
    <x v="1"/>
    <n v="8"/>
    <x v="0"/>
    <s v="TVS"/>
    <x v="0"/>
    <x v="2"/>
    <n v="94620"/>
    <n v="6"/>
    <n v="85308"/>
    <n v="100096"/>
    <n v="1"/>
    <s v="Yes"/>
    <x v="0"/>
    <n v="-14788"/>
  </r>
  <r>
    <n v="1228"/>
    <d v="2023-02-21T03:00:00"/>
    <x v="1"/>
    <n v="8"/>
    <x v="0"/>
    <s v="Honda"/>
    <x v="0"/>
    <x v="3"/>
    <n v="48350"/>
    <n v="2"/>
    <n v="26130"/>
    <n v="23945"/>
    <n v="3"/>
    <s v="Yes"/>
    <x v="0"/>
    <n v="2185"/>
  </r>
  <r>
    <n v="1229"/>
    <d v="2023-02-21T04:00:00"/>
    <x v="1"/>
    <n v="8"/>
    <x v="0"/>
    <s v="TVS"/>
    <x v="0"/>
    <x v="2"/>
    <n v="5222"/>
    <n v="8"/>
    <n v="149293"/>
    <n v="44418"/>
    <n v="5"/>
    <s v="Yes"/>
    <x v="0"/>
    <n v="104875"/>
  </r>
  <r>
    <n v="1230"/>
    <d v="2023-02-21T05:00:00"/>
    <x v="1"/>
    <n v="8"/>
    <x v="0"/>
    <s v="Yamaha"/>
    <x v="0"/>
    <x v="1"/>
    <n v="18272"/>
    <n v="1"/>
    <n v="39071"/>
    <n v="97607"/>
    <n v="13"/>
    <s v="No"/>
    <x v="0"/>
    <n v="-58536"/>
  </r>
  <r>
    <n v="1231"/>
    <d v="2023-02-21T06:00:00"/>
    <x v="1"/>
    <n v="8"/>
    <x v="0"/>
    <s v="TVS"/>
    <x v="0"/>
    <x v="1"/>
    <n v="86605"/>
    <n v="6"/>
    <n v="110517"/>
    <n v="64874"/>
    <n v="12"/>
    <s v="No"/>
    <x v="0"/>
    <n v="45643"/>
  </r>
  <r>
    <n v="1232"/>
    <d v="2023-02-21T07:00:00"/>
    <x v="1"/>
    <n v="8"/>
    <x v="0"/>
    <s v="Hero"/>
    <x v="0"/>
    <x v="3"/>
    <n v="42179"/>
    <n v="8"/>
    <n v="135240"/>
    <n v="127158"/>
    <n v="9"/>
    <s v="No"/>
    <x v="0"/>
    <n v="8082"/>
  </r>
  <r>
    <n v="1233"/>
    <d v="2023-02-21T08:00:00"/>
    <x v="1"/>
    <n v="8"/>
    <x v="0"/>
    <s v="Honda"/>
    <x v="0"/>
    <x v="1"/>
    <n v="69271"/>
    <n v="5"/>
    <n v="27118"/>
    <n v="32130"/>
    <n v="11"/>
    <s v="No"/>
    <x v="0"/>
    <n v="-5012"/>
  </r>
  <r>
    <n v="1234"/>
    <d v="2023-02-21T09:00:00"/>
    <x v="1"/>
    <n v="8"/>
    <x v="0"/>
    <s v="Hero"/>
    <x v="0"/>
    <x v="0"/>
    <n v="5076"/>
    <n v="9"/>
    <n v="156735"/>
    <n v="101257"/>
    <n v="10"/>
    <s v="No"/>
    <x v="0"/>
    <n v="55478"/>
  </r>
  <r>
    <n v="1235"/>
    <d v="2023-02-21T10:00:00"/>
    <x v="1"/>
    <n v="8"/>
    <x v="0"/>
    <s v="Hero"/>
    <x v="1"/>
    <x v="1"/>
    <n v="27207"/>
    <n v="4"/>
    <n v="87408"/>
    <n v="83248"/>
    <n v="2"/>
    <s v="Yes"/>
    <x v="0"/>
    <n v="4160"/>
  </r>
  <r>
    <n v="1236"/>
    <d v="2023-02-21T11:00:00"/>
    <x v="1"/>
    <n v="8"/>
    <x v="0"/>
    <s v="Yamaha"/>
    <x v="1"/>
    <x v="1"/>
    <n v="99904"/>
    <n v="6"/>
    <n v="76786"/>
    <n v="97627"/>
    <n v="12"/>
    <s v="No"/>
    <x v="0"/>
    <n v="-20841"/>
  </r>
  <r>
    <n v="1237"/>
    <d v="2023-02-21T12:00:00"/>
    <x v="1"/>
    <n v="8"/>
    <x v="0"/>
    <s v="Honda"/>
    <x v="0"/>
    <x v="1"/>
    <n v="42132"/>
    <n v="5"/>
    <n v="106271"/>
    <n v="96393"/>
    <n v="12"/>
    <s v="No"/>
    <x v="0"/>
    <n v="9878"/>
  </r>
  <r>
    <n v="1238"/>
    <d v="2023-02-21T13:00:00"/>
    <x v="1"/>
    <n v="8"/>
    <x v="0"/>
    <s v="Honda"/>
    <x v="0"/>
    <x v="0"/>
    <n v="41976"/>
    <n v="4"/>
    <n v="44158"/>
    <n v="56394"/>
    <n v="1"/>
    <s v="Yes"/>
    <x v="0"/>
    <n v="-12236"/>
  </r>
  <r>
    <n v="1239"/>
    <d v="2023-02-21T14:00:00"/>
    <x v="1"/>
    <n v="8"/>
    <x v="0"/>
    <s v="Honda"/>
    <x v="0"/>
    <x v="2"/>
    <n v="30785"/>
    <n v="1"/>
    <n v="56087"/>
    <n v="126372"/>
    <n v="1"/>
    <s v="Yes"/>
    <x v="0"/>
    <n v="-70285"/>
  </r>
  <r>
    <n v="1240"/>
    <d v="2023-02-21T15:00:00"/>
    <x v="1"/>
    <n v="8"/>
    <x v="0"/>
    <s v="Honda"/>
    <x v="0"/>
    <x v="1"/>
    <n v="24654"/>
    <n v="7"/>
    <n v="113114"/>
    <n v="64635"/>
    <n v="8"/>
    <s v="No"/>
    <x v="0"/>
    <n v="48479"/>
  </r>
  <r>
    <n v="1241"/>
    <d v="2023-02-21T16:00:00"/>
    <x v="1"/>
    <n v="8"/>
    <x v="0"/>
    <s v="Honda"/>
    <x v="0"/>
    <x v="3"/>
    <n v="20554"/>
    <n v="6"/>
    <n v="44874"/>
    <n v="128023"/>
    <n v="10"/>
    <s v="No"/>
    <x v="0"/>
    <n v="-83149"/>
  </r>
  <r>
    <n v="1242"/>
    <d v="2023-02-21T17:00:00"/>
    <x v="1"/>
    <n v="8"/>
    <x v="0"/>
    <s v="Yamaha"/>
    <x v="0"/>
    <x v="0"/>
    <n v="17665"/>
    <n v="5"/>
    <n v="108443"/>
    <n v="114837"/>
    <n v="10"/>
    <s v="No"/>
    <x v="0"/>
    <n v="-6394"/>
  </r>
  <r>
    <n v="1243"/>
    <d v="2023-02-21T18:00:00"/>
    <x v="1"/>
    <n v="8"/>
    <x v="0"/>
    <s v="TVS"/>
    <x v="0"/>
    <x v="3"/>
    <n v="14939"/>
    <n v="4"/>
    <n v="65821"/>
    <n v="97089"/>
    <n v="10"/>
    <s v="No"/>
    <x v="0"/>
    <n v="-31268"/>
  </r>
  <r>
    <n v="1244"/>
    <d v="2023-02-21T19:00:00"/>
    <x v="1"/>
    <n v="8"/>
    <x v="0"/>
    <s v="Hero"/>
    <x v="0"/>
    <x v="1"/>
    <n v="45018"/>
    <n v="4"/>
    <n v="140675"/>
    <n v="32404"/>
    <n v="2"/>
    <s v="Yes"/>
    <x v="0"/>
    <n v="108271"/>
  </r>
  <r>
    <n v="1245"/>
    <d v="2023-02-21T20:00:00"/>
    <x v="1"/>
    <n v="8"/>
    <x v="0"/>
    <s v="Honda"/>
    <x v="0"/>
    <x v="3"/>
    <n v="88551"/>
    <n v="8"/>
    <n v="85582"/>
    <n v="87629"/>
    <n v="13"/>
    <s v="No"/>
    <x v="0"/>
    <n v="-2047"/>
  </r>
  <r>
    <n v="1246"/>
    <d v="2023-02-21T21:00:00"/>
    <x v="1"/>
    <n v="8"/>
    <x v="0"/>
    <s v="TVS"/>
    <x v="0"/>
    <x v="1"/>
    <n v="27462"/>
    <n v="0"/>
    <n v="147603"/>
    <n v="28156"/>
    <n v="9"/>
    <s v="No"/>
    <x v="0"/>
    <n v="119447"/>
  </r>
  <r>
    <n v="1247"/>
    <d v="2023-02-21T22:00:00"/>
    <x v="1"/>
    <n v="8"/>
    <x v="0"/>
    <s v="TVS"/>
    <x v="0"/>
    <x v="0"/>
    <n v="54434"/>
    <n v="8"/>
    <n v="178859"/>
    <n v="70618"/>
    <n v="9"/>
    <s v="No"/>
    <x v="0"/>
    <n v="108241"/>
  </r>
  <r>
    <n v="1248"/>
    <d v="2023-02-21T23:00:00"/>
    <x v="1"/>
    <n v="8"/>
    <x v="0"/>
    <s v="Hero"/>
    <x v="0"/>
    <x v="3"/>
    <n v="38263"/>
    <n v="5"/>
    <n v="177777"/>
    <n v="64999"/>
    <n v="2"/>
    <s v="Yes"/>
    <x v="0"/>
    <n v="112778"/>
  </r>
  <r>
    <n v="1249"/>
    <d v="2023-02-22T00:00:00"/>
    <x v="1"/>
    <n v="8"/>
    <x v="0"/>
    <s v="Yamaha"/>
    <x v="0"/>
    <x v="3"/>
    <n v="64594"/>
    <n v="3"/>
    <n v="94381"/>
    <n v="28785"/>
    <n v="3"/>
    <s v="Yes"/>
    <x v="0"/>
    <n v="65596"/>
  </r>
  <r>
    <n v="1250"/>
    <d v="2023-02-22T01:00:00"/>
    <x v="1"/>
    <n v="8"/>
    <x v="0"/>
    <s v="Bajaj"/>
    <x v="1"/>
    <x v="1"/>
    <n v="19964"/>
    <n v="9"/>
    <n v="136800"/>
    <n v="63359"/>
    <n v="2"/>
    <s v="Yes"/>
    <x v="0"/>
    <n v="73441"/>
  </r>
  <r>
    <n v="1251"/>
    <d v="2023-02-22T02:00:00"/>
    <x v="1"/>
    <n v="8"/>
    <x v="0"/>
    <s v="Bajaj"/>
    <x v="0"/>
    <x v="1"/>
    <n v="42536"/>
    <n v="6"/>
    <n v="155805"/>
    <n v="105807"/>
    <n v="6"/>
    <s v="Yes"/>
    <x v="0"/>
    <n v="49998"/>
  </r>
  <r>
    <n v="1252"/>
    <d v="2023-02-22T03:00:00"/>
    <x v="1"/>
    <n v="8"/>
    <x v="0"/>
    <s v="TVS"/>
    <x v="0"/>
    <x v="2"/>
    <n v="96449"/>
    <n v="8"/>
    <n v="107018"/>
    <n v="29694"/>
    <n v="7"/>
    <s v="Yes"/>
    <x v="0"/>
    <n v="77324"/>
  </r>
  <r>
    <n v="1253"/>
    <d v="2023-02-22T04:00:00"/>
    <x v="1"/>
    <n v="8"/>
    <x v="0"/>
    <s v="Hero"/>
    <x v="0"/>
    <x v="1"/>
    <n v="33770"/>
    <n v="4"/>
    <n v="125592"/>
    <n v="51114"/>
    <n v="12"/>
    <s v="No"/>
    <x v="0"/>
    <n v="74478"/>
  </r>
  <r>
    <n v="1254"/>
    <d v="2023-02-22T05:00:00"/>
    <x v="1"/>
    <n v="8"/>
    <x v="0"/>
    <s v="Bajaj"/>
    <x v="1"/>
    <x v="1"/>
    <n v="42799"/>
    <n v="4"/>
    <n v="116626"/>
    <n v="84549"/>
    <n v="6"/>
    <s v="Yes"/>
    <x v="0"/>
    <n v="32077"/>
  </r>
  <r>
    <n v="1255"/>
    <d v="2023-02-22T06:00:00"/>
    <x v="1"/>
    <n v="8"/>
    <x v="0"/>
    <s v="TVS"/>
    <x v="0"/>
    <x v="2"/>
    <n v="86305"/>
    <n v="7"/>
    <n v="111217"/>
    <n v="72230"/>
    <n v="3"/>
    <s v="Yes"/>
    <x v="0"/>
    <n v="38987"/>
  </r>
  <r>
    <n v="1256"/>
    <d v="2023-02-22T07:00:00"/>
    <x v="1"/>
    <n v="8"/>
    <x v="0"/>
    <s v="Yamaha"/>
    <x v="0"/>
    <x v="1"/>
    <n v="32041"/>
    <n v="6"/>
    <n v="97799"/>
    <n v="47799"/>
    <n v="12"/>
    <s v="No"/>
    <x v="0"/>
    <n v="50000"/>
  </r>
  <r>
    <n v="1257"/>
    <d v="2023-02-22T08:00:00"/>
    <x v="1"/>
    <n v="8"/>
    <x v="0"/>
    <s v="Bajaj"/>
    <x v="0"/>
    <x v="1"/>
    <n v="74045"/>
    <n v="7"/>
    <n v="87185"/>
    <n v="105288"/>
    <n v="3"/>
    <s v="Yes"/>
    <x v="0"/>
    <n v="-18103"/>
  </r>
  <r>
    <n v="1258"/>
    <d v="2023-02-22T09:00:00"/>
    <x v="1"/>
    <n v="8"/>
    <x v="0"/>
    <s v="TVS"/>
    <x v="0"/>
    <x v="2"/>
    <n v="83043"/>
    <n v="9"/>
    <n v="66538"/>
    <n v="26156"/>
    <n v="12"/>
    <s v="No"/>
    <x v="0"/>
    <n v="40382"/>
  </r>
  <r>
    <n v="1259"/>
    <d v="2023-02-22T10:00:00"/>
    <x v="1"/>
    <n v="8"/>
    <x v="0"/>
    <s v="TVS"/>
    <x v="0"/>
    <x v="0"/>
    <n v="92498"/>
    <n v="1"/>
    <n v="45343"/>
    <n v="25304"/>
    <n v="2"/>
    <s v="Yes"/>
    <x v="0"/>
    <n v="20039"/>
  </r>
  <r>
    <n v="1260"/>
    <d v="2023-02-22T11:00:00"/>
    <x v="1"/>
    <n v="8"/>
    <x v="0"/>
    <s v="Honda"/>
    <x v="0"/>
    <x v="0"/>
    <n v="77578"/>
    <n v="8"/>
    <n v="145026"/>
    <n v="55645"/>
    <n v="2"/>
    <s v="Yes"/>
    <x v="0"/>
    <n v="89381"/>
  </r>
  <r>
    <n v="1261"/>
    <d v="2023-02-22T12:00:00"/>
    <x v="1"/>
    <n v="8"/>
    <x v="0"/>
    <s v="Yamaha"/>
    <x v="0"/>
    <x v="1"/>
    <n v="83470"/>
    <n v="2"/>
    <n v="78106"/>
    <n v="53938"/>
    <n v="11"/>
    <s v="No"/>
    <x v="0"/>
    <n v="24168"/>
  </r>
  <r>
    <n v="1262"/>
    <d v="2023-02-22T13:00:00"/>
    <x v="1"/>
    <n v="8"/>
    <x v="0"/>
    <s v="Honda"/>
    <x v="0"/>
    <x v="1"/>
    <n v="30265"/>
    <n v="5"/>
    <n v="139322"/>
    <n v="71982"/>
    <n v="12"/>
    <s v="No"/>
    <x v="1"/>
    <n v="67340"/>
  </r>
  <r>
    <n v="1263"/>
    <d v="2023-02-22T14:00:00"/>
    <x v="1"/>
    <n v="8"/>
    <x v="0"/>
    <s v="Hero"/>
    <x v="1"/>
    <x v="2"/>
    <n v="24269"/>
    <n v="5"/>
    <n v="106227"/>
    <n v="92614"/>
    <n v="5"/>
    <s v="Yes"/>
    <x v="0"/>
    <n v="13613"/>
  </r>
  <r>
    <n v="1264"/>
    <d v="2023-02-22T15:00:00"/>
    <x v="1"/>
    <n v="8"/>
    <x v="0"/>
    <s v="Honda"/>
    <x v="0"/>
    <x v="2"/>
    <n v="88501"/>
    <n v="1"/>
    <n v="67135"/>
    <n v="106614"/>
    <n v="11"/>
    <s v="No"/>
    <x v="1"/>
    <n v="-39479"/>
  </r>
  <r>
    <n v="1265"/>
    <d v="2023-02-22T16:00:00"/>
    <x v="1"/>
    <n v="8"/>
    <x v="0"/>
    <s v="Honda"/>
    <x v="0"/>
    <x v="0"/>
    <n v="87904"/>
    <n v="6"/>
    <n v="144599"/>
    <n v="17315"/>
    <n v="11"/>
    <s v="No"/>
    <x v="0"/>
    <n v="127284"/>
  </r>
  <r>
    <n v="1266"/>
    <d v="2023-02-22T17:00:00"/>
    <x v="1"/>
    <n v="8"/>
    <x v="0"/>
    <s v="Bajaj"/>
    <x v="0"/>
    <x v="3"/>
    <n v="20656"/>
    <n v="8"/>
    <n v="108470"/>
    <n v="107756"/>
    <n v="8"/>
    <s v="No"/>
    <x v="0"/>
    <n v="714"/>
  </r>
  <r>
    <n v="1267"/>
    <d v="2023-02-22T18:00:00"/>
    <x v="1"/>
    <n v="8"/>
    <x v="0"/>
    <s v="TVS"/>
    <x v="0"/>
    <x v="1"/>
    <n v="86336"/>
    <n v="9"/>
    <n v="45910"/>
    <n v="112267"/>
    <n v="6"/>
    <s v="Yes"/>
    <x v="0"/>
    <n v="-66357"/>
  </r>
  <r>
    <n v="1268"/>
    <d v="2023-02-22T19:00:00"/>
    <x v="1"/>
    <n v="8"/>
    <x v="0"/>
    <s v="Yamaha"/>
    <x v="1"/>
    <x v="3"/>
    <n v="50981"/>
    <n v="0"/>
    <n v="163213"/>
    <n v="113369"/>
    <n v="9"/>
    <s v="No"/>
    <x v="0"/>
    <n v="49844"/>
  </r>
  <r>
    <n v="1269"/>
    <d v="2023-02-22T20:00:00"/>
    <x v="1"/>
    <n v="8"/>
    <x v="0"/>
    <s v="Honda"/>
    <x v="0"/>
    <x v="3"/>
    <n v="13935"/>
    <n v="7"/>
    <n v="70950"/>
    <n v="27420"/>
    <n v="11"/>
    <s v="No"/>
    <x v="0"/>
    <n v="43530"/>
  </r>
  <r>
    <n v="1270"/>
    <d v="2023-02-22T21:00:00"/>
    <x v="1"/>
    <n v="8"/>
    <x v="0"/>
    <s v="Yamaha"/>
    <x v="0"/>
    <x v="2"/>
    <n v="70150"/>
    <n v="1"/>
    <n v="41225"/>
    <n v="33312"/>
    <n v="5"/>
    <s v="Yes"/>
    <x v="0"/>
    <n v="7913"/>
  </r>
  <r>
    <n v="1271"/>
    <d v="2023-02-22T22:00:00"/>
    <x v="1"/>
    <n v="8"/>
    <x v="0"/>
    <s v="Honda"/>
    <x v="0"/>
    <x v="1"/>
    <n v="46836"/>
    <n v="0"/>
    <n v="57959"/>
    <n v="36395"/>
    <n v="10"/>
    <s v="No"/>
    <x v="1"/>
    <n v="21564"/>
  </r>
  <r>
    <n v="1272"/>
    <d v="2023-02-22T23:00:00"/>
    <x v="1"/>
    <n v="8"/>
    <x v="0"/>
    <s v="Hero"/>
    <x v="0"/>
    <x v="1"/>
    <n v="36635"/>
    <n v="7"/>
    <n v="74192"/>
    <n v="55301"/>
    <n v="4"/>
    <s v="Yes"/>
    <x v="0"/>
    <n v="18891"/>
  </r>
  <r>
    <n v="1273"/>
    <d v="2023-02-23T00:00:00"/>
    <x v="1"/>
    <n v="8"/>
    <x v="0"/>
    <s v="Honda"/>
    <x v="0"/>
    <x v="2"/>
    <n v="74131"/>
    <n v="1"/>
    <n v="104711"/>
    <n v="135913"/>
    <n v="9"/>
    <s v="No"/>
    <x v="0"/>
    <n v="-31202"/>
  </r>
  <r>
    <n v="1274"/>
    <d v="2023-02-23T01:00:00"/>
    <x v="1"/>
    <n v="8"/>
    <x v="0"/>
    <s v="Bajaj"/>
    <x v="0"/>
    <x v="3"/>
    <n v="38409"/>
    <n v="5"/>
    <n v="166123"/>
    <n v="61972"/>
    <n v="12"/>
    <s v="No"/>
    <x v="0"/>
    <n v="104151"/>
  </r>
  <r>
    <n v="1275"/>
    <d v="2023-02-23T02:00:00"/>
    <x v="1"/>
    <n v="8"/>
    <x v="0"/>
    <s v="TVS"/>
    <x v="0"/>
    <x v="2"/>
    <n v="69987"/>
    <n v="5"/>
    <n v="28449"/>
    <n v="78294"/>
    <n v="10"/>
    <s v="No"/>
    <x v="0"/>
    <n v="-49845"/>
  </r>
  <r>
    <n v="1276"/>
    <d v="2023-02-23T03:00:00"/>
    <x v="1"/>
    <n v="8"/>
    <x v="0"/>
    <s v="Hero"/>
    <x v="1"/>
    <x v="0"/>
    <n v="21968"/>
    <n v="4"/>
    <n v="129213"/>
    <n v="95853"/>
    <n v="11"/>
    <s v="No"/>
    <x v="0"/>
    <n v="33360"/>
  </r>
  <r>
    <n v="1277"/>
    <d v="2023-02-23T04:00:00"/>
    <x v="1"/>
    <n v="8"/>
    <x v="0"/>
    <s v="Honda"/>
    <x v="0"/>
    <x v="1"/>
    <n v="93109"/>
    <n v="7"/>
    <n v="125245"/>
    <n v="135135"/>
    <n v="14"/>
    <s v="No"/>
    <x v="0"/>
    <n v="-9890"/>
  </r>
  <r>
    <n v="1278"/>
    <d v="2023-02-23T05:00:00"/>
    <x v="1"/>
    <n v="8"/>
    <x v="0"/>
    <s v="Yamaha"/>
    <x v="0"/>
    <x v="0"/>
    <n v="48155"/>
    <n v="2"/>
    <n v="122069"/>
    <n v="63225"/>
    <n v="5"/>
    <s v="Yes"/>
    <x v="0"/>
    <n v="58844"/>
  </r>
  <r>
    <n v="1279"/>
    <d v="2023-02-23T06:00:00"/>
    <x v="1"/>
    <n v="8"/>
    <x v="0"/>
    <s v="Hero"/>
    <x v="0"/>
    <x v="2"/>
    <n v="34841"/>
    <n v="9"/>
    <n v="48908"/>
    <n v="97504"/>
    <n v="1"/>
    <s v="Yes"/>
    <x v="0"/>
    <n v="-48596"/>
  </r>
  <r>
    <n v="1280"/>
    <d v="2023-02-23T07:00:00"/>
    <x v="1"/>
    <n v="8"/>
    <x v="0"/>
    <s v="Hero"/>
    <x v="0"/>
    <x v="1"/>
    <n v="64682"/>
    <n v="3"/>
    <n v="129847"/>
    <n v="37854"/>
    <n v="5"/>
    <s v="Yes"/>
    <x v="0"/>
    <n v="91993"/>
  </r>
  <r>
    <n v="1281"/>
    <d v="2023-02-23T08:00:00"/>
    <x v="1"/>
    <n v="8"/>
    <x v="0"/>
    <s v="Honda"/>
    <x v="0"/>
    <x v="0"/>
    <n v="52286"/>
    <n v="6"/>
    <n v="145910"/>
    <n v="136373"/>
    <n v="5"/>
    <s v="Yes"/>
    <x v="0"/>
    <n v="9537"/>
  </r>
  <r>
    <n v="1282"/>
    <d v="2023-02-23T09:00:00"/>
    <x v="1"/>
    <n v="8"/>
    <x v="0"/>
    <s v="Hero"/>
    <x v="0"/>
    <x v="0"/>
    <n v="68804"/>
    <n v="6"/>
    <n v="39012"/>
    <n v="85780"/>
    <n v="5"/>
    <s v="Yes"/>
    <x v="0"/>
    <n v="-46768"/>
  </r>
  <r>
    <n v="1283"/>
    <d v="2023-02-23T10:00:00"/>
    <x v="1"/>
    <n v="8"/>
    <x v="0"/>
    <s v="Yamaha"/>
    <x v="0"/>
    <x v="3"/>
    <n v="47014"/>
    <n v="7"/>
    <n v="42412"/>
    <n v="45929"/>
    <n v="13"/>
    <s v="No"/>
    <x v="0"/>
    <n v="-3517"/>
  </r>
  <r>
    <n v="1284"/>
    <d v="2023-02-23T11:00:00"/>
    <x v="1"/>
    <n v="8"/>
    <x v="0"/>
    <s v="Hero"/>
    <x v="0"/>
    <x v="1"/>
    <n v="34479"/>
    <n v="1"/>
    <n v="135030"/>
    <n v="121458"/>
    <n v="2"/>
    <s v="Yes"/>
    <x v="1"/>
    <n v="13572"/>
  </r>
  <r>
    <n v="1285"/>
    <d v="2023-02-23T12:00:00"/>
    <x v="1"/>
    <n v="8"/>
    <x v="0"/>
    <s v="Yamaha"/>
    <x v="0"/>
    <x v="0"/>
    <n v="91387"/>
    <n v="1"/>
    <n v="49657"/>
    <n v="72103"/>
    <n v="13"/>
    <s v="No"/>
    <x v="0"/>
    <n v="-22446"/>
  </r>
  <r>
    <n v="1286"/>
    <d v="2023-02-23T13:00:00"/>
    <x v="1"/>
    <n v="8"/>
    <x v="0"/>
    <s v="Honda"/>
    <x v="1"/>
    <x v="0"/>
    <n v="81481"/>
    <n v="3"/>
    <n v="30656"/>
    <n v="131436"/>
    <n v="6"/>
    <s v="Yes"/>
    <x v="0"/>
    <n v="-100780"/>
  </r>
  <r>
    <n v="1287"/>
    <d v="2023-02-23T14:00:00"/>
    <x v="1"/>
    <n v="8"/>
    <x v="0"/>
    <s v="TVS"/>
    <x v="0"/>
    <x v="3"/>
    <n v="55607"/>
    <n v="9"/>
    <n v="165039"/>
    <n v="78620"/>
    <n v="5"/>
    <s v="Yes"/>
    <x v="0"/>
    <n v="86419"/>
  </r>
  <r>
    <n v="1288"/>
    <d v="2023-02-23T15:00:00"/>
    <x v="1"/>
    <n v="8"/>
    <x v="0"/>
    <s v="Hero"/>
    <x v="0"/>
    <x v="0"/>
    <n v="1660"/>
    <n v="8"/>
    <n v="171836"/>
    <n v="104590"/>
    <n v="2"/>
    <s v="Yes"/>
    <x v="0"/>
    <n v="67246"/>
  </r>
  <r>
    <n v="1289"/>
    <d v="2023-02-23T16:00:00"/>
    <x v="1"/>
    <n v="8"/>
    <x v="0"/>
    <s v="TVS"/>
    <x v="0"/>
    <x v="0"/>
    <n v="88397"/>
    <n v="9"/>
    <n v="40873"/>
    <n v="99124"/>
    <n v="12"/>
    <s v="No"/>
    <x v="0"/>
    <n v="-58251"/>
  </r>
  <r>
    <n v="1290"/>
    <d v="2023-02-23T17:00:00"/>
    <x v="1"/>
    <n v="8"/>
    <x v="0"/>
    <s v="Yamaha"/>
    <x v="0"/>
    <x v="0"/>
    <n v="73077"/>
    <n v="8"/>
    <n v="119485"/>
    <n v="59590"/>
    <n v="10"/>
    <s v="No"/>
    <x v="1"/>
    <n v="59895"/>
  </r>
  <r>
    <n v="1291"/>
    <d v="2023-02-23T18:00:00"/>
    <x v="1"/>
    <n v="8"/>
    <x v="0"/>
    <s v="Hero"/>
    <x v="0"/>
    <x v="3"/>
    <n v="84803"/>
    <n v="3"/>
    <n v="134383"/>
    <n v="115196"/>
    <n v="14"/>
    <s v="No"/>
    <x v="0"/>
    <n v="19187"/>
  </r>
  <r>
    <n v="1292"/>
    <d v="2023-02-23T19:00:00"/>
    <x v="1"/>
    <n v="8"/>
    <x v="0"/>
    <s v="Bajaj"/>
    <x v="0"/>
    <x v="0"/>
    <n v="11346"/>
    <n v="8"/>
    <n v="26607"/>
    <n v="87554"/>
    <n v="8"/>
    <s v="No"/>
    <x v="0"/>
    <n v="-60947"/>
  </r>
  <r>
    <n v="1293"/>
    <d v="2023-02-23T20:00:00"/>
    <x v="1"/>
    <n v="8"/>
    <x v="0"/>
    <s v="TVS"/>
    <x v="0"/>
    <x v="0"/>
    <n v="20424"/>
    <n v="2"/>
    <n v="175595"/>
    <n v="25621"/>
    <n v="6"/>
    <s v="Yes"/>
    <x v="0"/>
    <n v="149974"/>
  </r>
  <r>
    <n v="1294"/>
    <d v="2023-02-23T21:00:00"/>
    <x v="1"/>
    <n v="8"/>
    <x v="0"/>
    <s v="Hero"/>
    <x v="0"/>
    <x v="1"/>
    <n v="14382"/>
    <n v="4"/>
    <n v="73447"/>
    <n v="132781"/>
    <n v="11"/>
    <s v="No"/>
    <x v="0"/>
    <n v="-59334"/>
  </r>
  <r>
    <n v="1295"/>
    <d v="2023-02-23T22:00:00"/>
    <x v="1"/>
    <n v="8"/>
    <x v="0"/>
    <s v="TVS"/>
    <x v="0"/>
    <x v="1"/>
    <n v="80774"/>
    <n v="9"/>
    <n v="74757"/>
    <n v="15973"/>
    <n v="10"/>
    <s v="No"/>
    <x v="0"/>
    <n v="58784"/>
  </r>
  <r>
    <n v="1296"/>
    <d v="2023-02-23T23:00:00"/>
    <x v="1"/>
    <n v="8"/>
    <x v="0"/>
    <s v="Hero"/>
    <x v="0"/>
    <x v="3"/>
    <n v="87055"/>
    <n v="8"/>
    <n v="94201"/>
    <n v="133712"/>
    <n v="12"/>
    <s v="No"/>
    <x v="0"/>
    <n v="-39511"/>
  </r>
  <r>
    <n v="1297"/>
    <d v="2023-02-24T00:00:00"/>
    <x v="1"/>
    <n v="8"/>
    <x v="0"/>
    <s v="Honda"/>
    <x v="0"/>
    <x v="2"/>
    <n v="1595"/>
    <n v="5"/>
    <n v="153765"/>
    <n v="124138"/>
    <n v="11"/>
    <s v="No"/>
    <x v="0"/>
    <n v="29627"/>
  </r>
  <r>
    <n v="1298"/>
    <d v="2023-02-24T01:00:00"/>
    <x v="1"/>
    <n v="8"/>
    <x v="0"/>
    <s v="TVS"/>
    <x v="0"/>
    <x v="1"/>
    <n v="41483"/>
    <n v="2"/>
    <n v="30462"/>
    <n v="73786"/>
    <n v="3"/>
    <s v="Yes"/>
    <x v="0"/>
    <n v="-43324"/>
  </r>
  <r>
    <n v="1299"/>
    <d v="2023-02-24T02:00:00"/>
    <x v="1"/>
    <n v="8"/>
    <x v="0"/>
    <s v="Bajaj"/>
    <x v="0"/>
    <x v="3"/>
    <n v="14623"/>
    <n v="9"/>
    <n v="141832"/>
    <n v="119919"/>
    <n v="9"/>
    <s v="No"/>
    <x v="0"/>
    <n v="21913"/>
  </r>
  <r>
    <n v="1300"/>
    <d v="2023-02-24T03:00:00"/>
    <x v="1"/>
    <n v="8"/>
    <x v="0"/>
    <s v="Bajaj"/>
    <x v="0"/>
    <x v="0"/>
    <n v="94168"/>
    <n v="8"/>
    <n v="73465"/>
    <n v="52097"/>
    <n v="13"/>
    <s v="No"/>
    <x v="0"/>
    <n v="21368"/>
  </r>
  <r>
    <n v="1301"/>
    <d v="2023-02-24T04:00:00"/>
    <x v="1"/>
    <n v="8"/>
    <x v="0"/>
    <s v="Yamaha"/>
    <x v="0"/>
    <x v="0"/>
    <n v="67115"/>
    <n v="5"/>
    <n v="115027"/>
    <n v="136403"/>
    <n v="11"/>
    <s v="No"/>
    <x v="0"/>
    <n v="-21376"/>
  </r>
  <r>
    <n v="1302"/>
    <d v="2023-02-24T05:00:00"/>
    <x v="1"/>
    <n v="8"/>
    <x v="0"/>
    <s v="Hero"/>
    <x v="0"/>
    <x v="3"/>
    <n v="95693"/>
    <n v="3"/>
    <n v="75528"/>
    <n v="49245"/>
    <n v="11"/>
    <s v="No"/>
    <x v="0"/>
    <n v="26283"/>
  </r>
  <r>
    <n v="1303"/>
    <d v="2023-02-24T06:00:00"/>
    <x v="1"/>
    <n v="8"/>
    <x v="0"/>
    <s v="TVS"/>
    <x v="0"/>
    <x v="0"/>
    <n v="45778"/>
    <n v="3"/>
    <n v="61230"/>
    <n v="80211"/>
    <n v="14"/>
    <s v="No"/>
    <x v="1"/>
    <n v="-18981"/>
  </r>
  <r>
    <n v="1304"/>
    <d v="2023-02-24T07:00:00"/>
    <x v="1"/>
    <n v="8"/>
    <x v="0"/>
    <s v="Yamaha"/>
    <x v="0"/>
    <x v="0"/>
    <n v="98411"/>
    <n v="7"/>
    <n v="73242"/>
    <n v="69841"/>
    <n v="4"/>
    <s v="Yes"/>
    <x v="0"/>
    <n v="3401"/>
  </r>
  <r>
    <n v="1305"/>
    <d v="2023-02-24T08:00:00"/>
    <x v="1"/>
    <n v="8"/>
    <x v="0"/>
    <s v="TVS"/>
    <x v="0"/>
    <x v="2"/>
    <n v="90790"/>
    <n v="6"/>
    <n v="139688"/>
    <n v="40346"/>
    <n v="3"/>
    <s v="Yes"/>
    <x v="0"/>
    <n v="99342"/>
  </r>
  <r>
    <n v="1306"/>
    <d v="2023-02-24T09:00:00"/>
    <x v="1"/>
    <n v="8"/>
    <x v="0"/>
    <s v="Hero"/>
    <x v="0"/>
    <x v="0"/>
    <n v="52499"/>
    <n v="0"/>
    <n v="26783"/>
    <n v="120633"/>
    <n v="7"/>
    <s v="Yes"/>
    <x v="0"/>
    <n v="-93850"/>
  </r>
  <r>
    <n v="1307"/>
    <d v="2023-02-24T10:00:00"/>
    <x v="1"/>
    <n v="8"/>
    <x v="0"/>
    <s v="Bajaj"/>
    <x v="0"/>
    <x v="1"/>
    <n v="31653"/>
    <n v="5"/>
    <n v="53390"/>
    <n v="86980"/>
    <n v="12"/>
    <s v="No"/>
    <x v="0"/>
    <n v="-33590"/>
  </r>
  <r>
    <n v="1308"/>
    <d v="2023-02-24T11:00:00"/>
    <x v="1"/>
    <n v="8"/>
    <x v="0"/>
    <s v="Honda"/>
    <x v="0"/>
    <x v="0"/>
    <n v="18844"/>
    <n v="7"/>
    <n v="164489"/>
    <n v="105417"/>
    <n v="13"/>
    <s v="No"/>
    <x v="0"/>
    <n v="59072"/>
  </r>
  <r>
    <n v="1309"/>
    <d v="2023-02-24T12:00:00"/>
    <x v="1"/>
    <n v="8"/>
    <x v="0"/>
    <s v="Bajaj"/>
    <x v="0"/>
    <x v="3"/>
    <n v="38156"/>
    <n v="2"/>
    <n v="97102"/>
    <n v="64153"/>
    <n v="14"/>
    <s v="No"/>
    <x v="0"/>
    <n v="32949"/>
  </r>
  <r>
    <n v="1310"/>
    <d v="2023-02-24T13:00:00"/>
    <x v="1"/>
    <n v="8"/>
    <x v="0"/>
    <s v="Yamaha"/>
    <x v="0"/>
    <x v="2"/>
    <n v="71015"/>
    <n v="8"/>
    <n v="42426"/>
    <n v="105382"/>
    <n v="8"/>
    <s v="No"/>
    <x v="0"/>
    <n v="-62956"/>
  </r>
  <r>
    <n v="1311"/>
    <d v="2023-02-24T14:00:00"/>
    <x v="1"/>
    <n v="8"/>
    <x v="0"/>
    <s v="Honda"/>
    <x v="0"/>
    <x v="0"/>
    <n v="1712"/>
    <n v="9"/>
    <n v="55750"/>
    <n v="91942"/>
    <n v="7"/>
    <s v="Yes"/>
    <x v="0"/>
    <n v="-36192"/>
  </r>
  <r>
    <n v="1312"/>
    <d v="2023-02-24T15:00:00"/>
    <x v="1"/>
    <n v="8"/>
    <x v="0"/>
    <s v="Yamaha"/>
    <x v="0"/>
    <x v="3"/>
    <n v="9501"/>
    <n v="1"/>
    <n v="83188"/>
    <n v="120147"/>
    <n v="1"/>
    <s v="Yes"/>
    <x v="0"/>
    <n v="-36959"/>
  </r>
  <r>
    <n v="1313"/>
    <d v="2023-02-24T16:00:00"/>
    <x v="1"/>
    <n v="8"/>
    <x v="0"/>
    <s v="Hero"/>
    <x v="1"/>
    <x v="1"/>
    <n v="79284"/>
    <n v="5"/>
    <n v="35872"/>
    <n v="105975"/>
    <n v="1"/>
    <s v="Yes"/>
    <x v="0"/>
    <n v="-70103"/>
  </r>
  <r>
    <n v="1314"/>
    <d v="2023-02-24T17:00:00"/>
    <x v="1"/>
    <n v="8"/>
    <x v="0"/>
    <s v="Honda"/>
    <x v="0"/>
    <x v="0"/>
    <n v="99223"/>
    <n v="0"/>
    <n v="119231"/>
    <n v="20972"/>
    <n v="13"/>
    <s v="No"/>
    <x v="0"/>
    <n v="98259"/>
  </r>
  <r>
    <n v="1315"/>
    <d v="2023-02-24T18:00:00"/>
    <x v="1"/>
    <n v="8"/>
    <x v="0"/>
    <s v="Yamaha"/>
    <x v="0"/>
    <x v="2"/>
    <n v="81644"/>
    <n v="1"/>
    <n v="154860"/>
    <n v="63063"/>
    <n v="5"/>
    <s v="Yes"/>
    <x v="0"/>
    <n v="91797"/>
  </r>
  <r>
    <n v="1316"/>
    <d v="2023-02-24T19:00:00"/>
    <x v="1"/>
    <n v="8"/>
    <x v="0"/>
    <s v="Hero"/>
    <x v="0"/>
    <x v="0"/>
    <n v="36927"/>
    <n v="4"/>
    <n v="91770"/>
    <n v="80488"/>
    <n v="14"/>
    <s v="No"/>
    <x v="0"/>
    <n v="11282"/>
  </r>
  <r>
    <n v="1317"/>
    <d v="2023-02-24T20:00:00"/>
    <x v="1"/>
    <n v="8"/>
    <x v="0"/>
    <s v="Bajaj"/>
    <x v="0"/>
    <x v="3"/>
    <n v="31868"/>
    <n v="0"/>
    <n v="149158"/>
    <n v="72055"/>
    <n v="8"/>
    <s v="No"/>
    <x v="0"/>
    <n v="77103"/>
  </r>
  <r>
    <n v="1318"/>
    <d v="2023-02-24T21:00:00"/>
    <x v="1"/>
    <n v="8"/>
    <x v="0"/>
    <s v="Hero"/>
    <x v="0"/>
    <x v="2"/>
    <n v="71319"/>
    <n v="7"/>
    <n v="108514"/>
    <n v="118409"/>
    <n v="14"/>
    <s v="No"/>
    <x v="1"/>
    <n v="-9895"/>
  </r>
  <r>
    <n v="1319"/>
    <d v="2023-02-24T22:00:00"/>
    <x v="1"/>
    <n v="8"/>
    <x v="0"/>
    <s v="TVS"/>
    <x v="0"/>
    <x v="0"/>
    <n v="61660"/>
    <n v="0"/>
    <n v="117663"/>
    <n v="79366"/>
    <n v="10"/>
    <s v="No"/>
    <x v="0"/>
    <n v="38297"/>
  </r>
  <r>
    <n v="1320"/>
    <d v="2023-02-24T23:00:00"/>
    <x v="1"/>
    <n v="8"/>
    <x v="0"/>
    <s v="Hero"/>
    <x v="0"/>
    <x v="1"/>
    <n v="26354"/>
    <n v="8"/>
    <n v="174151"/>
    <n v="25931"/>
    <n v="11"/>
    <s v="No"/>
    <x v="0"/>
    <n v="148220"/>
  </r>
  <r>
    <n v="1321"/>
    <d v="2023-02-25T00:00:00"/>
    <x v="1"/>
    <n v="8"/>
    <x v="0"/>
    <s v="Hero"/>
    <x v="0"/>
    <x v="2"/>
    <n v="11215"/>
    <n v="9"/>
    <n v="173410"/>
    <n v="22702"/>
    <n v="3"/>
    <s v="Yes"/>
    <x v="0"/>
    <n v="150708"/>
  </r>
  <r>
    <n v="1322"/>
    <d v="2023-02-25T01:00:00"/>
    <x v="1"/>
    <n v="8"/>
    <x v="0"/>
    <s v="TVS"/>
    <x v="0"/>
    <x v="1"/>
    <n v="82201"/>
    <n v="2"/>
    <n v="159363"/>
    <n v="99834"/>
    <n v="8"/>
    <s v="No"/>
    <x v="0"/>
    <n v="59529"/>
  </r>
  <r>
    <n v="1323"/>
    <d v="2023-02-25T02:00:00"/>
    <x v="1"/>
    <n v="8"/>
    <x v="0"/>
    <s v="Yamaha"/>
    <x v="1"/>
    <x v="3"/>
    <n v="59284"/>
    <n v="1"/>
    <n v="137808"/>
    <n v="36540"/>
    <n v="3"/>
    <s v="Yes"/>
    <x v="0"/>
    <n v="101268"/>
  </r>
  <r>
    <n v="1324"/>
    <d v="2023-02-25T03:00:00"/>
    <x v="1"/>
    <n v="8"/>
    <x v="0"/>
    <s v="Yamaha"/>
    <x v="0"/>
    <x v="0"/>
    <n v="27297"/>
    <n v="0"/>
    <n v="135091"/>
    <n v="72450"/>
    <n v="4"/>
    <s v="Yes"/>
    <x v="0"/>
    <n v="62641"/>
  </r>
  <r>
    <n v="1325"/>
    <d v="2023-02-25T04:00:00"/>
    <x v="1"/>
    <n v="8"/>
    <x v="0"/>
    <s v="Hero"/>
    <x v="1"/>
    <x v="1"/>
    <n v="48073"/>
    <n v="8"/>
    <n v="124272"/>
    <n v="112576"/>
    <n v="10"/>
    <s v="No"/>
    <x v="0"/>
    <n v="11696"/>
  </r>
  <r>
    <n v="1326"/>
    <d v="2023-02-25T05:00:00"/>
    <x v="1"/>
    <n v="8"/>
    <x v="0"/>
    <s v="TVS"/>
    <x v="0"/>
    <x v="3"/>
    <n v="76620"/>
    <n v="3"/>
    <n v="74393"/>
    <n v="80252"/>
    <n v="7"/>
    <s v="Yes"/>
    <x v="0"/>
    <n v="-5859"/>
  </r>
  <r>
    <n v="1327"/>
    <d v="2023-02-25T06:00:00"/>
    <x v="1"/>
    <n v="8"/>
    <x v="0"/>
    <s v="TVS"/>
    <x v="0"/>
    <x v="0"/>
    <n v="15280"/>
    <n v="0"/>
    <n v="118558"/>
    <n v="61904"/>
    <n v="3"/>
    <s v="Yes"/>
    <x v="0"/>
    <n v="56654"/>
  </r>
  <r>
    <n v="1328"/>
    <d v="2023-02-25T07:00:00"/>
    <x v="1"/>
    <n v="8"/>
    <x v="0"/>
    <s v="Bajaj"/>
    <x v="0"/>
    <x v="3"/>
    <n v="38405"/>
    <n v="0"/>
    <n v="94770"/>
    <n v="67320"/>
    <n v="4"/>
    <s v="Yes"/>
    <x v="0"/>
    <n v="27450"/>
  </r>
  <r>
    <n v="1329"/>
    <d v="2023-02-25T08:00:00"/>
    <x v="1"/>
    <n v="8"/>
    <x v="0"/>
    <s v="Yamaha"/>
    <x v="0"/>
    <x v="1"/>
    <n v="22073"/>
    <n v="6"/>
    <n v="51720"/>
    <n v="46000"/>
    <n v="8"/>
    <s v="No"/>
    <x v="0"/>
    <n v="5720"/>
  </r>
  <r>
    <n v="1330"/>
    <d v="2023-02-25T09:00:00"/>
    <x v="1"/>
    <n v="8"/>
    <x v="0"/>
    <s v="Honda"/>
    <x v="0"/>
    <x v="3"/>
    <n v="33859"/>
    <n v="1"/>
    <n v="38368"/>
    <n v="110341"/>
    <n v="4"/>
    <s v="Yes"/>
    <x v="0"/>
    <n v="-71973"/>
  </r>
  <r>
    <n v="1331"/>
    <d v="2023-02-25T10:00:00"/>
    <x v="1"/>
    <n v="8"/>
    <x v="0"/>
    <s v="Yamaha"/>
    <x v="1"/>
    <x v="2"/>
    <n v="66562"/>
    <n v="6"/>
    <n v="72969"/>
    <n v="17599"/>
    <n v="9"/>
    <s v="No"/>
    <x v="0"/>
    <n v="55370"/>
  </r>
  <r>
    <n v="1332"/>
    <d v="2023-02-25T11:00:00"/>
    <x v="1"/>
    <n v="8"/>
    <x v="0"/>
    <s v="Yamaha"/>
    <x v="1"/>
    <x v="0"/>
    <n v="73891"/>
    <n v="6"/>
    <n v="73838"/>
    <n v="102636"/>
    <n v="4"/>
    <s v="Yes"/>
    <x v="0"/>
    <n v="-28798"/>
  </r>
  <r>
    <n v="1333"/>
    <d v="2023-02-25T12:00:00"/>
    <x v="1"/>
    <n v="8"/>
    <x v="0"/>
    <s v="Bajaj"/>
    <x v="0"/>
    <x v="3"/>
    <n v="43963"/>
    <n v="9"/>
    <n v="33734"/>
    <n v="111045"/>
    <n v="13"/>
    <s v="No"/>
    <x v="0"/>
    <n v="-77311"/>
  </r>
  <r>
    <n v="1334"/>
    <d v="2023-02-25T13:00:00"/>
    <x v="1"/>
    <n v="8"/>
    <x v="0"/>
    <s v="Honda"/>
    <x v="0"/>
    <x v="1"/>
    <n v="95518"/>
    <n v="8"/>
    <n v="132187"/>
    <n v="115539"/>
    <n v="14"/>
    <s v="No"/>
    <x v="0"/>
    <n v="16648"/>
  </r>
  <r>
    <n v="1335"/>
    <d v="2023-02-25T14:00:00"/>
    <x v="1"/>
    <n v="8"/>
    <x v="0"/>
    <s v="Bajaj"/>
    <x v="0"/>
    <x v="0"/>
    <n v="17071"/>
    <n v="6"/>
    <n v="124329"/>
    <n v="99719"/>
    <n v="4"/>
    <s v="Yes"/>
    <x v="0"/>
    <n v="24610"/>
  </r>
  <r>
    <n v="1336"/>
    <d v="2023-02-25T15:00:00"/>
    <x v="1"/>
    <n v="8"/>
    <x v="0"/>
    <s v="Honda"/>
    <x v="1"/>
    <x v="2"/>
    <n v="97776"/>
    <n v="0"/>
    <n v="168269"/>
    <n v="71165"/>
    <n v="13"/>
    <s v="No"/>
    <x v="0"/>
    <n v="97104"/>
  </r>
  <r>
    <n v="1337"/>
    <d v="2023-02-25T16:00:00"/>
    <x v="1"/>
    <n v="8"/>
    <x v="0"/>
    <s v="Hero"/>
    <x v="0"/>
    <x v="0"/>
    <n v="19642"/>
    <n v="7"/>
    <n v="93895"/>
    <n v="73855"/>
    <n v="5"/>
    <s v="Yes"/>
    <x v="0"/>
    <n v="20040"/>
  </r>
  <r>
    <n v="1338"/>
    <d v="2023-02-25T17:00:00"/>
    <x v="1"/>
    <n v="8"/>
    <x v="0"/>
    <s v="Honda"/>
    <x v="0"/>
    <x v="2"/>
    <n v="25604"/>
    <n v="7"/>
    <n v="145424"/>
    <n v="118777"/>
    <n v="1"/>
    <s v="Yes"/>
    <x v="0"/>
    <n v="26647"/>
  </r>
  <r>
    <n v="1339"/>
    <d v="2023-02-25T18:00:00"/>
    <x v="1"/>
    <n v="8"/>
    <x v="0"/>
    <s v="Bajaj"/>
    <x v="0"/>
    <x v="0"/>
    <n v="9125"/>
    <n v="3"/>
    <n v="126255"/>
    <n v="15018"/>
    <n v="7"/>
    <s v="Yes"/>
    <x v="0"/>
    <n v="111237"/>
  </r>
  <r>
    <n v="1340"/>
    <d v="2023-02-25T19:00:00"/>
    <x v="1"/>
    <n v="8"/>
    <x v="0"/>
    <s v="Yamaha"/>
    <x v="0"/>
    <x v="3"/>
    <n v="39699"/>
    <n v="7"/>
    <n v="83073"/>
    <n v="15858"/>
    <n v="9"/>
    <s v="No"/>
    <x v="0"/>
    <n v="67215"/>
  </r>
  <r>
    <n v="1341"/>
    <d v="2023-02-25T20:00:00"/>
    <x v="1"/>
    <n v="8"/>
    <x v="0"/>
    <s v="Honda"/>
    <x v="1"/>
    <x v="3"/>
    <n v="16426"/>
    <n v="3"/>
    <n v="40624"/>
    <n v="40992"/>
    <n v="12"/>
    <s v="No"/>
    <x v="0"/>
    <n v="-368"/>
  </r>
  <r>
    <n v="1342"/>
    <d v="2023-02-25T21:00:00"/>
    <x v="1"/>
    <n v="8"/>
    <x v="0"/>
    <s v="Honda"/>
    <x v="0"/>
    <x v="1"/>
    <n v="31718"/>
    <n v="7"/>
    <n v="49315"/>
    <n v="47580"/>
    <n v="9"/>
    <s v="No"/>
    <x v="0"/>
    <n v="1735"/>
  </r>
  <r>
    <n v="1343"/>
    <d v="2023-02-25T22:00:00"/>
    <x v="1"/>
    <n v="8"/>
    <x v="0"/>
    <s v="TVS"/>
    <x v="0"/>
    <x v="2"/>
    <n v="44972"/>
    <n v="4"/>
    <n v="42422"/>
    <n v="85916"/>
    <n v="1"/>
    <s v="Yes"/>
    <x v="0"/>
    <n v="-43494"/>
  </r>
  <r>
    <n v="1344"/>
    <d v="2023-02-25T23:00:00"/>
    <x v="1"/>
    <n v="8"/>
    <x v="0"/>
    <s v="Yamaha"/>
    <x v="0"/>
    <x v="1"/>
    <n v="92416"/>
    <n v="3"/>
    <n v="97663"/>
    <n v="50800"/>
    <n v="6"/>
    <s v="Yes"/>
    <x v="0"/>
    <n v="46863"/>
  </r>
  <r>
    <n v="1345"/>
    <d v="2023-02-26T00:00:00"/>
    <x v="1"/>
    <n v="9"/>
    <x v="0"/>
    <s v="Hero"/>
    <x v="0"/>
    <x v="3"/>
    <n v="21066"/>
    <n v="5"/>
    <n v="126216"/>
    <n v="134193"/>
    <n v="3"/>
    <s v="Yes"/>
    <x v="0"/>
    <n v="-7977"/>
  </r>
  <r>
    <n v="1346"/>
    <d v="2023-02-26T01:00:00"/>
    <x v="1"/>
    <n v="9"/>
    <x v="0"/>
    <s v="Bajaj"/>
    <x v="0"/>
    <x v="2"/>
    <n v="56625"/>
    <n v="1"/>
    <n v="57743"/>
    <n v="73770"/>
    <n v="4"/>
    <s v="Yes"/>
    <x v="0"/>
    <n v="-16027"/>
  </r>
  <r>
    <n v="1347"/>
    <d v="2023-02-26T02:00:00"/>
    <x v="1"/>
    <n v="9"/>
    <x v="0"/>
    <s v="Hero"/>
    <x v="0"/>
    <x v="1"/>
    <n v="33705"/>
    <n v="1"/>
    <n v="171708"/>
    <n v="69941"/>
    <n v="8"/>
    <s v="No"/>
    <x v="0"/>
    <n v="101767"/>
  </r>
  <r>
    <n v="1348"/>
    <d v="2023-02-26T03:00:00"/>
    <x v="1"/>
    <n v="9"/>
    <x v="0"/>
    <s v="Yamaha"/>
    <x v="0"/>
    <x v="1"/>
    <n v="30217"/>
    <n v="1"/>
    <n v="35108"/>
    <n v="99451"/>
    <n v="4"/>
    <s v="Yes"/>
    <x v="0"/>
    <n v="-64343"/>
  </r>
  <r>
    <n v="1349"/>
    <d v="2023-02-26T04:00:00"/>
    <x v="1"/>
    <n v="9"/>
    <x v="0"/>
    <s v="Honda"/>
    <x v="1"/>
    <x v="1"/>
    <n v="50484"/>
    <n v="8"/>
    <n v="61180"/>
    <n v="120775"/>
    <n v="8"/>
    <s v="No"/>
    <x v="0"/>
    <n v="-59595"/>
  </r>
  <r>
    <n v="1350"/>
    <d v="2023-02-26T05:00:00"/>
    <x v="1"/>
    <n v="9"/>
    <x v="0"/>
    <s v="Honda"/>
    <x v="0"/>
    <x v="1"/>
    <n v="25635"/>
    <n v="9"/>
    <n v="43883"/>
    <n v="52487"/>
    <n v="4"/>
    <s v="Yes"/>
    <x v="0"/>
    <n v="-8604"/>
  </r>
  <r>
    <n v="1351"/>
    <d v="2023-02-26T06:00:00"/>
    <x v="1"/>
    <n v="9"/>
    <x v="0"/>
    <s v="Yamaha"/>
    <x v="0"/>
    <x v="1"/>
    <n v="28664"/>
    <n v="2"/>
    <n v="69400"/>
    <n v="27943"/>
    <n v="9"/>
    <s v="No"/>
    <x v="0"/>
    <n v="41457"/>
  </r>
  <r>
    <n v="1352"/>
    <d v="2023-02-26T07:00:00"/>
    <x v="1"/>
    <n v="9"/>
    <x v="0"/>
    <s v="Honda"/>
    <x v="1"/>
    <x v="2"/>
    <n v="74989"/>
    <n v="9"/>
    <n v="72951"/>
    <n v="118167"/>
    <n v="6"/>
    <s v="Yes"/>
    <x v="1"/>
    <n v="-45216"/>
  </r>
  <r>
    <n v="1353"/>
    <d v="2023-02-26T08:00:00"/>
    <x v="1"/>
    <n v="9"/>
    <x v="0"/>
    <s v="Honda"/>
    <x v="0"/>
    <x v="1"/>
    <n v="39062"/>
    <n v="3"/>
    <n v="163232"/>
    <n v="117342"/>
    <n v="1"/>
    <s v="Yes"/>
    <x v="1"/>
    <n v="45890"/>
  </r>
  <r>
    <n v="1354"/>
    <d v="2023-02-26T09:00:00"/>
    <x v="1"/>
    <n v="9"/>
    <x v="0"/>
    <s v="Honda"/>
    <x v="0"/>
    <x v="2"/>
    <n v="69610"/>
    <n v="9"/>
    <n v="80262"/>
    <n v="76457"/>
    <n v="13"/>
    <s v="No"/>
    <x v="0"/>
    <n v="3805"/>
  </r>
  <r>
    <n v="1355"/>
    <d v="2023-02-26T10:00:00"/>
    <x v="1"/>
    <n v="9"/>
    <x v="0"/>
    <s v="Bajaj"/>
    <x v="0"/>
    <x v="1"/>
    <n v="20669"/>
    <n v="7"/>
    <n v="176001"/>
    <n v="33836"/>
    <n v="10"/>
    <s v="No"/>
    <x v="0"/>
    <n v="142165"/>
  </r>
  <r>
    <n v="1356"/>
    <d v="2023-02-26T11:00:00"/>
    <x v="1"/>
    <n v="9"/>
    <x v="0"/>
    <s v="Bajaj"/>
    <x v="0"/>
    <x v="3"/>
    <n v="60358"/>
    <n v="3"/>
    <n v="108133"/>
    <n v="116150"/>
    <n v="2"/>
    <s v="Yes"/>
    <x v="0"/>
    <n v="-8017"/>
  </r>
  <r>
    <n v="1357"/>
    <d v="2023-02-26T12:00:00"/>
    <x v="1"/>
    <n v="9"/>
    <x v="0"/>
    <s v="TVS"/>
    <x v="0"/>
    <x v="3"/>
    <n v="22104"/>
    <n v="9"/>
    <n v="167195"/>
    <n v="121368"/>
    <n v="7"/>
    <s v="Yes"/>
    <x v="0"/>
    <n v="45827"/>
  </r>
  <r>
    <n v="1358"/>
    <d v="2023-02-26T13:00:00"/>
    <x v="1"/>
    <n v="9"/>
    <x v="0"/>
    <s v="Hero"/>
    <x v="1"/>
    <x v="1"/>
    <n v="90170"/>
    <n v="9"/>
    <n v="140106"/>
    <n v="26394"/>
    <n v="10"/>
    <s v="No"/>
    <x v="0"/>
    <n v="113712"/>
  </r>
  <r>
    <n v="1359"/>
    <d v="2023-02-26T14:00:00"/>
    <x v="1"/>
    <n v="9"/>
    <x v="0"/>
    <s v="Yamaha"/>
    <x v="0"/>
    <x v="0"/>
    <n v="89238"/>
    <n v="6"/>
    <n v="95496"/>
    <n v="87158"/>
    <n v="7"/>
    <s v="Yes"/>
    <x v="0"/>
    <n v="8338"/>
  </r>
  <r>
    <n v="1360"/>
    <d v="2023-02-26T15:00:00"/>
    <x v="1"/>
    <n v="9"/>
    <x v="0"/>
    <s v="Yamaha"/>
    <x v="0"/>
    <x v="3"/>
    <n v="1184"/>
    <n v="4"/>
    <n v="86934"/>
    <n v="139696"/>
    <n v="3"/>
    <s v="Yes"/>
    <x v="0"/>
    <n v="-52762"/>
  </r>
  <r>
    <n v="1361"/>
    <d v="2023-02-26T16:00:00"/>
    <x v="1"/>
    <n v="9"/>
    <x v="0"/>
    <s v="Yamaha"/>
    <x v="0"/>
    <x v="2"/>
    <n v="8507"/>
    <n v="8"/>
    <n v="103886"/>
    <n v="139660"/>
    <n v="1"/>
    <s v="Yes"/>
    <x v="0"/>
    <n v="-35774"/>
  </r>
  <r>
    <n v="1362"/>
    <d v="2023-02-26T17:00:00"/>
    <x v="1"/>
    <n v="9"/>
    <x v="0"/>
    <s v="TVS"/>
    <x v="0"/>
    <x v="1"/>
    <n v="42287"/>
    <n v="3"/>
    <n v="55881"/>
    <n v="125599"/>
    <n v="8"/>
    <s v="No"/>
    <x v="0"/>
    <n v="-69718"/>
  </r>
  <r>
    <n v="1363"/>
    <d v="2023-02-26T18:00:00"/>
    <x v="1"/>
    <n v="9"/>
    <x v="0"/>
    <s v="Bajaj"/>
    <x v="0"/>
    <x v="2"/>
    <n v="50082"/>
    <n v="2"/>
    <n v="43409"/>
    <n v="40280"/>
    <n v="13"/>
    <s v="No"/>
    <x v="0"/>
    <n v="3129"/>
  </r>
  <r>
    <n v="1364"/>
    <d v="2023-02-26T19:00:00"/>
    <x v="1"/>
    <n v="9"/>
    <x v="0"/>
    <s v="TVS"/>
    <x v="0"/>
    <x v="0"/>
    <n v="75291"/>
    <n v="1"/>
    <n v="123171"/>
    <n v="139221"/>
    <n v="13"/>
    <s v="No"/>
    <x v="0"/>
    <n v="-16050"/>
  </r>
  <r>
    <n v="1365"/>
    <d v="2023-02-26T20:00:00"/>
    <x v="1"/>
    <n v="9"/>
    <x v="0"/>
    <s v="Yamaha"/>
    <x v="0"/>
    <x v="1"/>
    <n v="98298"/>
    <n v="0"/>
    <n v="73951"/>
    <n v="133150"/>
    <n v="10"/>
    <s v="No"/>
    <x v="0"/>
    <n v="-59199"/>
  </r>
  <r>
    <n v="1366"/>
    <d v="2023-02-26T21:00:00"/>
    <x v="1"/>
    <n v="9"/>
    <x v="0"/>
    <s v="Hero"/>
    <x v="0"/>
    <x v="3"/>
    <n v="84129"/>
    <n v="5"/>
    <n v="33752"/>
    <n v="92318"/>
    <n v="14"/>
    <s v="No"/>
    <x v="0"/>
    <n v="-58566"/>
  </r>
  <r>
    <n v="1367"/>
    <d v="2023-02-26T22:00:00"/>
    <x v="1"/>
    <n v="9"/>
    <x v="0"/>
    <s v="Honda"/>
    <x v="1"/>
    <x v="2"/>
    <n v="6282"/>
    <n v="9"/>
    <n v="142339"/>
    <n v="16159"/>
    <n v="11"/>
    <s v="No"/>
    <x v="0"/>
    <n v="126180"/>
  </r>
  <r>
    <n v="1368"/>
    <d v="2023-02-26T23:00:00"/>
    <x v="1"/>
    <n v="9"/>
    <x v="0"/>
    <s v="Bajaj"/>
    <x v="0"/>
    <x v="3"/>
    <n v="67270"/>
    <n v="1"/>
    <n v="169512"/>
    <n v="85162"/>
    <n v="11"/>
    <s v="No"/>
    <x v="0"/>
    <n v="84350"/>
  </r>
  <r>
    <n v="1369"/>
    <d v="2023-02-27T00:00:00"/>
    <x v="1"/>
    <n v="9"/>
    <x v="0"/>
    <s v="Bajaj"/>
    <x v="0"/>
    <x v="3"/>
    <n v="58145"/>
    <n v="7"/>
    <n v="69864"/>
    <n v="38440"/>
    <n v="10"/>
    <s v="No"/>
    <x v="0"/>
    <n v="31424"/>
  </r>
  <r>
    <n v="1370"/>
    <d v="2023-02-27T01:00:00"/>
    <x v="1"/>
    <n v="9"/>
    <x v="0"/>
    <s v="TVS"/>
    <x v="0"/>
    <x v="1"/>
    <n v="32496"/>
    <n v="5"/>
    <n v="97035"/>
    <n v="117026"/>
    <n v="7"/>
    <s v="Yes"/>
    <x v="0"/>
    <n v="-19991"/>
  </r>
  <r>
    <n v="1371"/>
    <d v="2023-02-27T02:00:00"/>
    <x v="1"/>
    <n v="9"/>
    <x v="0"/>
    <s v="Bajaj"/>
    <x v="0"/>
    <x v="2"/>
    <n v="29704"/>
    <n v="4"/>
    <n v="111675"/>
    <n v="92166"/>
    <n v="10"/>
    <s v="No"/>
    <x v="1"/>
    <n v="19509"/>
  </r>
  <r>
    <n v="1372"/>
    <d v="2023-02-27T03:00:00"/>
    <x v="1"/>
    <n v="9"/>
    <x v="0"/>
    <s v="Yamaha"/>
    <x v="0"/>
    <x v="0"/>
    <n v="17652"/>
    <n v="1"/>
    <n v="47343"/>
    <n v="67712"/>
    <n v="8"/>
    <s v="No"/>
    <x v="0"/>
    <n v="-20369"/>
  </r>
  <r>
    <n v="1373"/>
    <d v="2023-02-27T04:00:00"/>
    <x v="1"/>
    <n v="9"/>
    <x v="0"/>
    <s v="Yamaha"/>
    <x v="0"/>
    <x v="3"/>
    <n v="55686"/>
    <n v="6"/>
    <n v="44673"/>
    <n v="124578"/>
    <n v="1"/>
    <s v="Yes"/>
    <x v="1"/>
    <n v="-79905"/>
  </r>
  <r>
    <n v="1374"/>
    <d v="2023-02-27T05:00:00"/>
    <x v="1"/>
    <n v="9"/>
    <x v="0"/>
    <s v="TVS"/>
    <x v="0"/>
    <x v="1"/>
    <n v="91055"/>
    <n v="1"/>
    <n v="120024"/>
    <n v="135805"/>
    <n v="14"/>
    <s v="No"/>
    <x v="0"/>
    <n v="-15781"/>
  </r>
  <r>
    <n v="1375"/>
    <d v="2023-02-27T06:00:00"/>
    <x v="1"/>
    <n v="9"/>
    <x v="0"/>
    <s v="Yamaha"/>
    <x v="0"/>
    <x v="1"/>
    <n v="85524"/>
    <n v="4"/>
    <n v="51520"/>
    <n v="62656"/>
    <n v="3"/>
    <s v="Yes"/>
    <x v="0"/>
    <n v="-11136"/>
  </r>
  <r>
    <n v="1376"/>
    <d v="2023-02-27T07:00:00"/>
    <x v="1"/>
    <n v="9"/>
    <x v="0"/>
    <s v="Hero"/>
    <x v="1"/>
    <x v="0"/>
    <n v="20189"/>
    <n v="1"/>
    <n v="40784"/>
    <n v="21589"/>
    <n v="13"/>
    <s v="No"/>
    <x v="0"/>
    <n v="19195"/>
  </r>
  <r>
    <n v="1377"/>
    <d v="2023-02-27T08:00:00"/>
    <x v="1"/>
    <n v="9"/>
    <x v="0"/>
    <s v="TVS"/>
    <x v="1"/>
    <x v="1"/>
    <n v="51190"/>
    <n v="9"/>
    <n v="142446"/>
    <n v="63241"/>
    <n v="2"/>
    <s v="Yes"/>
    <x v="0"/>
    <n v="79205"/>
  </r>
  <r>
    <n v="1378"/>
    <d v="2023-02-27T09:00:00"/>
    <x v="1"/>
    <n v="9"/>
    <x v="0"/>
    <s v="Hero"/>
    <x v="1"/>
    <x v="3"/>
    <n v="94542"/>
    <n v="1"/>
    <n v="63079"/>
    <n v="139595"/>
    <n v="1"/>
    <s v="Yes"/>
    <x v="0"/>
    <n v="-76516"/>
  </r>
  <r>
    <n v="1379"/>
    <d v="2023-02-27T10:00:00"/>
    <x v="1"/>
    <n v="9"/>
    <x v="0"/>
    <s v="Honda"/>
    <x v="0"/>
    <x v="1"/>
    <n v="83751"/>
    <n v="6"/>
    <n v="69220"/>
    <n v="38233"/>
    <n v="5"/>
    <s v="Yes"/>
    <x v="0"/>
    <n v="30987"/>
  </r>
  <r>
    <n v="1380"/>
    <d v="2023-02-27T11:00:00"/>
    <x v="1"/>
    <n v="9"/>
    <x v="0"/>
    <s v="Hero"/>
    <x v="0"/>
    <x v="2"/>
    <n v="57820"/>
    <n v="8"/>
    <n v="176563"/>
    <n v="50011"/>
    <n v="3"/>
    <s v="Yes"/>
    <x v="0"/>
    <n v="126552"/>
  </r>
  <r>
    <n v="1381"/>
    <d v="2023-02-27T12:00:00"/>
    <x v="1"/>
    <n v="9"/>
    <x v="0"/>
    <s v="Honda"/>
    <x v="0"/>
    <x v="2"/>
    <n v="64726"/>
    <n v="4"/>
    <n v="137878"/>
    <n v="23177"/>
    <n v="10"/>
    <s v="No"/>
    <x v="0"/>
    <n v="114701"/>
  </r>
  <r>
    <n v="1382"/>
    <d v="2023-02-27T13:00:00"/>
    <x v="1"/>
    <n v="9"/>
    <x v="0"/>
    <s v="Honda"/>
    <x v="0"/>
    <x v="3"/>
    <n v="56591"/>
    <n v="6"/>
    <n v="141583"/>
    <n v="49528"/>
    <n v="8"/>
    <s v="No"/>
    <x v="0"/>
    <n v="92055"/>
  </r>
  <r>
    <n v="1383"/>
    <d v="2023-02-27T14:00:00"/>
    <x v="1"/>
    <n v="9"/>
    <x v="0"/>
    <s v="Hero"/>
    <x v="0"/>
    <x v="2"/>
    <n v="79801"/>
    <n v="3"/>
    <n v="73720"/>
    <n v="129506"/>
    <n v="6"/>
    <s v="Yes"/>
    <x v="1"/>
    <n v="-55786"/>
  </r>
  <r>
    <n v="1384"/>
    <d v="2023-02-27T15:00:00"/>
    <x v="1"/>
    <n v="9"/>
    <x v="0"/>
    <s v="TVS"/>
    <x v="0"/>
    <x v="0"/>
    <n v="22442"/>
    <n v="1"/>
    <n v="39718"/>
    <n v="118746"/>
    <n v="10"/>
    <s v="No"/>
    <x v="0"/>
    <n v="-79028"/>
  </r>
  <r>
    <n v="1385"/>
    <d v="2023-02-27T16:00:00"/>
    <x v="1"/>
    <n v="9"/>
    <x v="0"/>
    <s v="Yamaha"/>
    <x v="0"/>
    <x v="1"/>
    <n v="39212"/>
    <n v="2"/>
    <n v="86217"/>
    <n v="76351"/>
    <n v="14"/>
    <s v="No"/>
    <x v="1"/>
    <n v="9866"/>
  </r>
  <r>
    <n v="1386"/>
    <d v="2023-02-27T17:00:00"/>
    <x v="1"/>
    <n v="9"/>
    <x v="0"/>
    <s v="Yamaha"/>
    <x v="0"/>
    <x v="3"/>
    <n v="65777"/>
    <n v="1"/>
    <n v="125668"/>
    <n v="106908"/>
    <n v="9"/>
    <s v="No"/>
    <x v="0"/>
    <n v="18760"/>
  </r>
  <r>
    <n v="1387"/>
    <d v="2023-02-27T18:00:00"/>
    <x v="1"/>
    <n v="9"/>
    <x v="0"/>
    <s v="Honda"/>
    <x v="0"/>
    <x v="0"/>
    <n v="50132"/>
    <n v="4"/>
    <n v="168936"/>
    <n v="71831"/>
    <n v="9"/>
    <s v="No"/>
    <x v="0"/>
    <n v="97105"/>
  </r>
  <r>
    <n v="1388"/>
    <d v="2023-02-27T19:00:00"/>
    <x v="1"/>
    <n v="9"/>
    <x v="0"/>
    <s v="Honda"/>
    <x v="0"/>
    <x v="1"/>
    <n v="38531"/>
    <n v="5"/>
    <n v="113378"/>
    <n v="66827"/>
    <n v="11"/>
    <s v="No"/>
    <x v="0"/>
    <n v="46551"/>
  </r>
  <r>
    <n v="1389"/>
    <d v="2023-02-27T20:00:00"/>
    <x v="1"/>
    <n v="9"/>
    <x v="0"/>
    <s v="TVS"/>
    <x v="0"/>
    <x v="0"/>
    <n v="20978"/>
    <n v="6"/>
    <n v="33177"/>
    <n v="38508"/>
    <n v="6"/>
    <s v="Yes"/>
    <x v="0"/>
    <n v="-5331"/>
  </r>
  <r>
    <n v="1390"/>
    <d v="2023-02-27T21:00:00"/>
    <x v="1"/>
    <n v="9"/>
    <x v="0"/>
    <s v="Bajaj"/>
    <x v="0"/>
    <x v="3"/>
    <n v="23051"/>
    <n v="2"/>
    <n v="147318"/>
    <n v="69933"/>
    <n v="2"/>
    <s v="Yes"/>
    <x v="1"/>
    <n v="77385"/>
  </r>
  <r>
    <n v="1391"/>
    <d v="2023-02-27T22:00:00"/>
    <x v="1"/>
    <n v="9"/>
    <x v="0"/>
    <s v="Hero"/>
    <x v="0"/>
    <x v="3"/>
    <n v="48568"/>
    <n v="3"/>
    <n v="136145"/>
    <n v="95501"/>
    <n v="9"/>
    <s v="No"/>
    <x v="0"/>
    <n v="40644"/>
  </r>
  <r>
    <n v="1392"/>
    <d v="2023-02-27T23:00:00"/>
    <x v="1"/>
    <n v="9"/>
    <x v="0"/>
    <s v="Honda"/>
    <x v="0"/>
    <x v="0"/>
    <n v="94108"/>
    <n v="7"/>
    <n v="167916"/>
    <n v="83772"/>
    <n v="2"/>
    <s v="Yes"/>
    <x v="0"/>
    <n v="84144"/>
  </r>
  <r>
    <n v="1393"/>
    <d v="2023-02-28T00:00:00"/>
    <x v="1"/>
    <n v="9"/>
    <x v="0"/>
    <s v="Yamaha"/>
    <x v="0"/>
    <x v="1"/>
    <n v="36061"/>
    <n v="3"/>
    <n v="38418"/>
    <n v="30611"/>
    <n v="3"/>
    <s v="Yes"/>
    <x v="1"/>
    <n v="7807"/>
  </r>
  <r>
    <n v="1394"/>
    <d v="2023-02-28T01:00:00"/>
    <x v="1"/>
    <n v="9"/>
    <x v="0"/>
    <s v="TVS"/>
    <x v="0"/>
    <x v="2"/>
    <n v="3392"/>
    <n v="6"/>
    <n v="113075"/>
    <n v="37282"/>
    <n v="6"/>
    <s v="Yes"/>
    <x v="1"/>
    <n v="75793"/>
  </r>
  <r>
    <n v="1395"/>
    <d v="2023-02-28T02:00:00"/>
    <x v="1"/>
    <n v="9"/>
    <x v="0"/>
    <s v="Hero"/>
    <x v="0"/>
    <x v="2"/>
    <n v="24895"/>
    <n v="5"/>
    <n v="90227"/>
    <n v="56003"/>
    <n v="2"/>
    <s v="Yes"/>
    <x v="0"/>
    <n v="34224"/>
  </r>
  <r>
    <n v="1396"/>
    <d v="2023-02-28T03:00:00"/>
    <x v="1"/>
    <n v="9"/>
    <x v="0"/>
    <s v="TVS"/>
    <x v="0"/>
    <x v="0"/>
    <n v="19256"/>
    <n v="6"/>
    <n v="168907"/>
    <n v="96365"/>
    <n v="5"/>
    <s v="Yes"/>
    <x v="0"/>
    <n v="72542"/>
  </r>
  <r>
    <n v="1397"/>
    <d v="2023-02-28T04:00:00"/>
    <x v="1"/>
    <n v="9"/>
    <x v="0"/>
    <s v="Hero"/>
    <x v="0"/>
    <x v="3"/>
    <n v="88210"/>
    <n v="0"/>
    <n v="42533"/>
    <n v="89216"/>
    <n v="2"/>
    <s v="Yes"/>
    <x v="0"/>
    <n v="-46683"/>
  </r>
  <r>
    <n v="1398"/>
    <d v="2023-02-28T05:00:00"/>
    <x v="1"/>
    <n v="9"/>
    <x v="0"/>
    <s v="Hero"/>
    <x v="1"/>
    <x v="1"/>
    <n v="35151"/>
    <n v="2"/>
    <n v="126457"/>
    <n v="133964"/>
    <n v="12"/>
    <s v="No"/>
    <x v="1"/>
    <n v="-7507"/>
  </r>
  <r>
    <n v="1399"/>
    <d v="2023-02-28T06:00:00"/>
    <x v="1"/>
    <n v="9"/>
    <x v="0"/>
    <s v="Honda"/>
    <x v="0"/>
    <x v="1"/>
    <n v="66833"/>
    <n v="5"/>
    <n v="132504"/>
    <n v="26340"/>
    <n v="4"/>
    <s v="Yes"/>
    <x v="0"/>
    <n v="106164"/>
  </r>
  <r>
    <n v="1400"/>
    <d v="2023-02-28T07:00:00"/>
    <x v="1"/>
    <n v="9"/>
    <x v="0"/>
    <s v="TVS"/>
    <x v="0"/>
    <x v="3"/>
    <n v="74245"/>
    <n v="2"/>
    <n v="166295"/>
    <n v="111629"/>
    <n v="11"/>
    <s v="No"/>
    <x v="0"/>
    <n v="54666"/>
  </r>
  <r>
    <n v="1401"/>
    <d v="2023-02-28T08:00:00"/>
    <x v="1"/>
    <n v="9"/>
    <x v="0"/>
    <s v="TVS"/>
    <x v="0"/>
    <x v="2"/>
    <n v="49806"/>
    <n v="6"/>
    <n v="149202"/>
    <n v="101643"/>
    <n v="11"/>
    <s v="No"/>
    <x v="0"/>
    <n v="47559"/>
  </r>
  <r>
    <n v="1402"/>
    <d v="2023-02-28T09:00:00"/>
    <x v="1"/>
    <n v="9"/>
    <x v="0"/>
    <s v="Yamaha"/>
    <x v="1"/>
    <x v="1"/>
    <n v="21846"/>
    <n v="8"/>
    <n v="35273"/>
    <n v="89684"/>
    <n v="3"/>
    <s v="Yes"/>
    <x v="0"/>
    <n v="-54411"/>
  </r>
  <r>
    <n v="1403"/>
    <d v="2023-02-28T10:00:00"/>
    <x v="1"/>
    <n v="9"/>
    <x v="0"/>
    <s v="Yamaha"/>
    <x v="0"/>
    <x v="0"/>
    <n v="28524"/>
    <n v="2"/>
    <n v="58519"/>
    <n v="123610"/>
    <n v="5"/>
    <s v="Yes"/>
    <x v="1"/>
    <n v="-65091"/>
  </r>
  <r>
    <n v="1404"/>
    <d v="2023-02-28T11:00:00"/>
    <x v="1"/>
    <n v="9"/>
    <x v="0"/>
    <s v="Honda"/>
    <x v="0"/>
    <x v="2"/>
    <n v="95450"/>
    <n v="0"/>
    <n v="152024"/>
    <n v="135332"/>
    <n v="6"/>
    <s v="Yes"/>
    <x v="0"/>
    <n v="16692"/>
  </r>
  <r>
    <n v="1405"/>
    <d v="2023-02-28T12:00:00"/>
    <x v="1"/>
    <n v="9"/>
    <x v="0"/>
    <s v="Honda"/>
    <x v="0"/>
    <x v="0"/>
    <n v="41318"/>
    <n v="9"/>
    <n v="149540"/>
    <n v="98035"/>
    <n v="13"/>
    <s v="No"/>
    <x v="0"/>
    <n v="51505"/>
  </r>
  <r>
    <n v="1406"/>
    <d v="2023-02-28T13:00:00"/>
    <x v="1"/>
    <n v="9"/>
    <x v="0"/>
    <s v="Bajaj"/>
    <x v="1"/>
    <x v="2"/>
    <n v="6447"/>
    <n v="5"/>
    <n v="166420"/>
    <n v="33165"/>
    <n v="7"/>
    <s v="Yes"/>
    <x v="0"/>
    <n v="133255"/>
  </r>
  <r>
    <n v="1407"/>
    <d v="2023-02-28T14:00:00"/>
    <x v="1"/>
    <n v="9"/>
    <x v="0"/>
    <s v="Yamaha"/>
    <x v="0"/>
    <x v="3"/>
    <n v="75653"/>
    <n v="0"/>
    <n v="108460"/>
    <n v="124322"/>
    <n v="10"/>
    <s v="No"/>
    <x v="0"/>
    <n v="-15862"/>
  </r>
  <r>
    <n v="1408"/>
    <d v="2023-02-28T15:00:00"/>
    <x v="1"/>
    <n v="9"/>
    <x v="0"/>
    <s v="Hero"/>
    <x v="0"/>
    <x v="0"/>
    <n v="86740"/>
    <n v="0"/>
    <n v="129471"/>
    <n v="105762"/>
    <n v="8"/>
    <s v="No"/>
    <x v="0"/>
    <n v="23709"/>
  </r>
  <r>
    <n v="1409"/>
    <d v="2023-02-28T16:00:00"/>
    <x v="1"/>
    <n v="9"/>
    <x v="0"/>
    <s v="TVS"/>
    <x v="0"/>
    <x v="0"/>
    <n v="94738"/>
    <n v="7"/>
    <n v="129668"/>
    <n v="33260"/>
    <n v="9"/>
    <s v="No"/>
    <x v="1"/>
    <n v="96408"/>
  </r>
  <r>
    <n v="1410"/>
    <d v="2023-02-28T17:00:00"/>
    <x v="1"/>
    <n v="9"/>
    <x v="0"/>
    <s v="Honda"/>
    <x v="0"/>
    <x v="3"/>
    <n v="67928"/>
    <n v="8"/>
    <n v="92519"/>
    <n v="69515"/>
    <n v="14"/>
    <s v="No"/>
    <x v="0"/>
    <n v="23004"/>
  </r>
  <r>
    <n v="1411"/>
    <d v="2023-02-28T18:00:00"/>
    <x v="1"/>
    <n v="9"/>
    <x v="0"/>
    <s v="TVS"/>
    <x v="0"/>
    <x v="0"/>
    <n v="30254"/>
    <n v="1"/>
    <n v="115426"/>
    <n v="105452"/>
    <n v="4"/>
    <s v="Yes"/>
    <x v="0"/>
    <n v="9974"/>
  </r>
  <r>
    <n v="1412"/>
    <d v="2023-02-28T19:00:00"/>
    <x v="1"/>
    <n v="9"/>
    <x v="0"/>
    <s v="TVS"/>
    <x v="0"/>
    <x v="2"/>
    <n v="63855"/>
    <n v="8"/>
    <n v="39629"/>
    <n v="124446"/>
    <n v="4"/>
    <s v="Yes"/>
    <x v="0"/>
    <n v="-84817"/>
  </r>
  <r>
    <n v="1413"/>
    <d v="2023-02-28T20:00:00"/>
    <x v="1"/>
    <n v="9"/>
    <x v="0"/>
    <s v="Bajaj"/>
    <x v="0"/>
    <x v="1"/>
    <n v="58741"/>
    <n v="4"/>
    <n v="74056"/>
    <n v="45480"/>
    <n v="7"/>
    <s v="Yes"/>
    <x v="0"/>
    <n v="28576"/>
  </r>
  <r>
    <n v="1414"/>
    <d v="2023-02-28T21:00:00"/>
    <x v="1"/>
    <n v="9"/>
    <x v="0"/>
    <s v="Yamaha"/>
    <x v="0"/>
    <x v="1"/>
    <n v="69460"/>
    <n v="7"/>
    <n v="36273"/>
    <n v="67527"/>
    <n v="12"/>
    <s v="No"/>
    <x v="0"/>
    <n v="-31254"/>
  </r>
  <r>
    <n v="1415"/>
    <d v="2023-02-28T22:00:00"/>
    <x v="1"/>
    <n v="9"/>
    <x v="0"/>
    <s v="Honda"/>
    <x v="0"/>
    <x v="3"/>
    <n v="13918"/>
    <n v="6"/>
    <n v="145484"/>
    <n v="74789"/>
    <n v="10"/>
    <s v="No"/>
    <x v="0"/>
    <n v="70695"/>
  </r>
  <r>
    <n v="1416"/>
    <d v="2023-02-28T23:00:00"/>
    <x v="1"/>
    <n v="9"/>
    <x v="0"/>
    <s v="TVS"/>
    <x v="1"/>
    <x v="2"/>
    <n v="95922"/>
    <n v="6"/>
    <n v="122275"/>
    <n v="66902"/>
    <n v="10"/>
    <s v="No"/>
    <x v="0"/>
    <n v="55373"/>
  </r>
  <r>
    <n v="1417"/>
    <d v="2023-03-01T00:00:00"/>
    <x v="2"/>
    <n v="9"/>
    <x v="0"/>
    <s v="Honda"/>
    <x v="0"/>
    <x v="0"/>
    <n v="89093"/>
    <n v="3"/>
    <n v="163966"/>
    <n v="47191"/>
    <n v="11"/>
    <s v="No"/>
    <x v="0"/>
    <n v="116775"/>
  </r>
  <r>
    <n v="1418"/>
    <d v="2023-03-01T01:00:00"/>
    <x v="2"/>
    <n v="9"/>
    <x v="0"/>
    <s v="Hero"/>
    <x v="0"/>
    <x v="0"/>
    <n v="55684"/>
    <n v="1"/>
    <n v="71073"/>
    <n v="74488"/>
    <n v="9"/>
    <s v="No"/>
    <x v="1"/>
    <n v="-3415"/>
  </r>
  <r>
    <n v="1419"/>
    <d v="2023-03-01T02:00:00"/>
    <x v="2"/>
    <n v="9"/>
    <x v="0"/>
    <s v="Bajaj"/>
    <x v="0"/>
    <x v="1"/>
    <n v="5333"/>
    <n v="4"/>
    <n v="70693"/>
    <n v="90082"/>
    <n v="11"/>
    <s v="No"/>
    <x v="0"/>
    <n v="-19389"/>
  </r>
  <r>
    <n v="1420"/>
    <d v="2023-03-01T03:00:00"/>
    <x v="2"/>
    <n v="9"/>
    <x v="0"/>
    <s v="Hero"/>
    <x v="0"/>
    <x v="0"/>
    <n v="75930"/>
    <n v="2"/>
    <n v="49343"/>
    <n v="51044"/>
    <n v="2"/>
    <s v="Yes"/>
    <x v="0"/>
    <n v="-1701"/>
  </r>
  <r>
    <n v="1421"/>
    <d v="2023-03-01T04:00:00"/>
    <x v="2"/>
    <n v="9"/>
    <x v="0"/>
    <s v="Honda"/>
    <x v="0"/>
    <x v="1"/>
    <n v="42333"/>
    <n v="8"/>
    <n v="68095"/>
    <n v="64600"/>
    <n v="13"/>
    <s v="No"/>
    <x v="0"/>
    <n v="3495"/>
  </r>
  <r>
    <n v="1422"/>
    <d v="2023-03-01T05:00:00"/>
    <x v="2"/>
    <n v="9"/>
    <x v="0"/>
    <s v="Honda"/>
    <x v="0"/>
    <x v="3"/>
    <n v="1065"/>
    <n v="5"/>
    <n v="147388"/>
    <n v="102457"/>
    <n v="11"/>
    <s v="No"/>
    <x v="0"/>
    <n v="44931"/>
  </r>
  <r>
    <n v="1423"/>
    <d v="2023-03-01T06:00:00"/>
    <x v="2"/>
    <n v="9"/>
    <x v="0"/>
    <s v="Yamaha"/>
    <x v="0"/>
    <x v="0"/>
    <n v="40680"/>
    <n v="0"/>
    <n v="139441"/>
    <n v="63776"/>
    <n v="6"/>
    <s v="Yes"/>
    <x v="0"/>
    <n v="75665"/>
  </r>
  <r>
    <n v="1424"/>
    <d v="2023-03-01T07:00:00"/>
    <x v="2"/>
    <n v="9"/>
    <x v="0"/>
    <s v="TVS"/>
    <x v="0"/>
    <x v="2"/>
    <n v="18902"/>
    <n v="2"/>
    <n v="125782"/>
    <n v="117476"/>
    <n v="10"/>
    <s v="No"/>
    <x v="0"/>
    <n v="8306"/>
  </r>
  <r>
    <n v="1425"/>
    <d v="2023-03-01T08:00:00"/>
    <x v="2"/>
    <n v="9"/>
    <x v="0"/>
    <s v="TVS"/>
    <x v="0"/>
    <x v="0"/>
    <n v="43345"/>
    <n v="3"/>
    <n v="97590"/>
    <n v="126487"/>
    <n v="10"/>
    <s v="No"/>
    <x v="0"/>
    <n v="-28897"/>
  </r>
  <r>
    <n v="1426"/>
    <d v="2023-03-01T09:00:00"/>
    <x v="2"/>
    <n v="9"/>
    <x v="0"/>
    <s v="Hero"/>
    <x v="0"/>
    <x v="1"/>
    <n v="76351"/>
    <n v="8"/>
    <n v="133263"/>
    <n v="27836"/>
    <n v="8"/>
    <s v="No"/>
    <x v="1"/>
    <n v="105427"/>
  </r>
  <r>
    <n v="1427"/>
    <d v="2023-03-01T10:00:00"/>
    <x v="2"/>
    <n v="9"/>
    <x v="0"/>
    <s v="Bajaj"/>
    <x v="0"/>
    <x v="3"/>
    <n v="13334"/>
    <n v="5"/>
    <n v="54373"/>
    <n v="89525"/>
    <n v="13"/>
    <s v="No"/>
    <x v="0"/>
    <n v="-35152"/>
  </r>
  <r>
    <n v="1428"/>
    <d v="2023-03-01T11:00:00"/>
    <x v="2"/>
    <n v="9"/>
    <x v="0"/>
    <s v="TVS"/>
    <x v="1"/>
    <x v="1"/>
    <n v="68350"/>
    <n v="3"/>
    <n v="52525"/>
    <n v="67648"/>
    <n v="5"/>
    <s v="Yes"/>
    <x v="0"/>
    <n v="-15123"/>
  </r>
  <r>
    <n v="1429"/>
    <d v="2023-03-01T12:00:00"/>
    <x v="2"/>
    <n v="9"/>
    <x v="0"/>
    <s v="Yamaha"/>
    <x v="0"/>
    <x v="0"/>
    <n v="37680"/>
    <n v="0"/>
    <n v="152716"/>
    <n v="28740"/>
    <n v="5"/>
    <s v="Yes"/>
    <x v="0"/>
    <n v="123976"/>
  </r>
  <r>
    <n v="1430"/>
    <d v="2023-03-01T13:00:00"/>
    <x v="2"/>
    <n v="9"/>
    <x v="0"/>
    <s v="Hero"/>
    <x v="1"/>
    <x v="1"/>
    <n v="4383"/>
    <n v="7"/>
    <n v="129513"/>
    <n v="110716"/>
    <n v="8"/>
    <s v="No"/>
    <x v="0"/>
    <n v="18797"/>
  </r>
  <r>
    <n v="1431"/>
    <d v="2023-03-01T14:00:00"/>
    <x v="2"/>
    <n v="9"/>
    <x v="0"/>
    <s v="Hero"/>
    <x v="0"/>
    <x v="1"/>
    <n v="76087"/>
    <n v="1"/>
    <n v="154401"/>
    <n v="28102"/>
    <n v="1"/>
    <s v="Yes"/>
    <x v="0"/>
    <n v="126299"/>
  </r>
  <r>
    <n v="1432"/>
    <d v="2023-03-01T15:00:00"/>
    <x v="2"/>
    <n v="9"/>
    <x v="0"/>
    <s v="Yamaha"/>
    <x v="1"/>
    <x v="3"/>
    <n v="12195"/>
    <n v="7"/>
    <n v="121643"/>
    <n v="95893"/>
    <n v="6"/>
    <s v="Yes"/>
    <x v="0"/>
    <n v="25750"/>
  </r>
  <r>
    <n v="1433"/>
    <d v="2023-03-01T16:00:00"/>
    <x v="2"/>
    <n v="9"/>
    <x v="0"/>
    <s v="Bajaj"/>
    <x v="0"/>
    <x v="2"/>
    <n v="23623"/>
    <n v="5"/>
    <n v="174712"/>
    <n v="66334"/>
    <n v="10"/>
    <s v="No"/>
    <x v="0"/>
    <n v="108378"/>
  </r>
  <r>
    <n v="1434"/>
    <d v="2023-03-01T17:00:00"/>
    <x v="2"/>
    <n v="9"/>
    <x v="0"/>
    <s v="Yamaha"/>
    <x v="0"/>
    <x v="0"/>
    <n v="58981"/>
    <n v="7"/>
    <n v="122694"/>
    <n v="128917"/>
    <n v="13"/>
    <s v="No"/>
    <x v="1"/>
    <n v="-6223"/>
  </r>
  <r>
    <n v="1435"/>
    <d v="2023-03-01T18:00:00"/>
    <x v="2"/>
    <n v="9"/>
    <x v="0"/>
    <s v="Bajaj"/>
    <x v="0"/>
    <x v="3"/>
    <n v="73938"/>
    <n v="5"/>
    <n v="61136"/>
    <n v="45255"/>
    <n v="9"/>
    <s v="No"/>
    <x v="0"/>
    <n v="15881"/>
  </r>
  <r>
    <n v="1436"/>
    <d v="2023-03-01T19:00:00"/>
    <x v="2"/>
    <n v="9"/>
    <x v="0"/>
    <s v="Yamaha"/>
    <x v="0"/>
    <x v="2"/>
    <n v="18073"/>
    <n v="4"/>
    <n v="81539"/>
    <n v="116630"/>
    <n v="12"/>
    <s v="No"/>
    <x v="0"/>
    <n v="-35091"/>
  </r>
  <r>
    <n v="1437"/>
    <d v="2023-03-01T20:00:00"/>
    <x v="2"/>
    <n v="9"/>
    <x v="0"/>
    <s v="Yamaha"/>
    <x v="0"/>
    <x v="1"/>
    <n v="95410"/>
    <n v="4"/>
    <n v="93363"/>
    <n v="40221"/>
    <n v="6"/>
    <s v="Yes"/>
    <x v="0"/>
    <n v="53142"/>
  </r>
  <r>
    <n v="1438"/>
    <d v="2023-03-01T21:00:00"/>
    <x v="2"/>
    <n v="9"/>
    <x v="0"/>
    <s v="Honda"/>
    <x v="0"/>
    <x v="2"/>
    <n v="56994"/>
    <n v="9"/>
    <n v="106526"/>
    <n v="78265"/>
    <n v="7"/>
    <s v="Yes"/>
    <x v="0"/>
    <n v="28261"/>
  </r>
  <r>
    <n v="1439"/>
    <d v="2023-03-01T22:00:00"/>
    <x v="2"/>
    <n v="9"/>
    <x v="0"/>
    <s v="Hero"/>
    <x v="0"/>
    <x v="1"/>
    <n v="12788"/>
    <n v="9"/>
    <n v="60255"/>
    <n v="15719"/>
    <n v="4"/>
    <s v="Yes"/>
    <x v="0"/>
    <n v="44536"/>
  </r>
  <r>
    <n v="1440"/>
    <d v="2023-03-01T23:00:00"/>
    <x v="2"/>
    <n v="9"/>
    <x v="0"/>
    <s v="Yamaha"/>
    <x v="0"/>
    <x v="1"/>
    <n v="47478"/>
    <n v="7"/>
    <n v="143209"/>
    <n v="98442"/>
    <n v="12"/>
    <s v="No"/>
    <x v="0"/>
    <n v="44767"/>
  </r>
  <r>
    <n v="1441"/>
    <d v="2023-03-02T00:00:00"/>
    <x v="2"/>
    <n v="9"/>
    <x v="0"/>
    <s v="Yamaha"/>
    <x v="0"/>
    <x v="3"/>
    <n v="72920"/>
    <n v="6"/>
    <n v="111437"/>
    <n v="38140"/>
    <n v="10"/>
    <s v="No"/>
    <x v="0"/>
    <n v="73297"/>
  </r>
  <r>
    <n v="1442"/>
    <d v="2023-03-02T01:00:00"/>
    <x v="2"/>
    <n v="9"/>
    <x v="0"/>
    <s v="TVS"/>
    <x v="0"/>
    <x v="1"/>
    <n v="76595"/>
    <n v="7"/>
    <n v="172349"/>
    <n v="70779"/>
    <n v="1"/>
    <s v="Yes"/>
    <x v="0"/>
    <n v="101570"/>
  </r>
  <r>
    <n v="1443"/>
    <d v="2023-03-02T02:00:00"/>
    <x v="2"/>
    <n v="9"/>
    <x v="0"/>
    <s v="Hero"/>
    <x v="0"/>
    <x v="3"/>
    <n v="55172"/>
    <n v="7"/>
    <n v="157715"/>
    <n v="16069"/>
    <n v="9"/>
    <s v="No"/>
    <x v="1"/>
    <n v="141646"/>
  </r>
  <r>
    <n v="1444"/>
    <d v="2023-03-02T03:00:00"/>
    <x v="2"/>
    <n v="9"/>
    <x v="0"/>
    <s v="TVS"/>
    <x v="0"/>
    <x v="2"/>
    <n v="62321"/>
    <n v="6"/>
    <n v="140900"/>
    <n v="69714"/>
    <n v="12"/>
    <s v="No"/>
    <x v="0"/>
    <n v="71186"/>
  </r>
  <r>
    <n v="1445"/>
    <d v="2023-03-02T04:00:00"/>
    <x v="2"/>
    <n v="9"/>
    <x v="0"/>
    <s v="Hero"/>
    <x v="0"/>
    <x v="2"/>
    <n v="84161"/>
    <n v="1"/>
    <n v="48729"/>
    <n v="88285"/>
    <n v="6"/>
    <s v="Yes"/>
    <x v="0"/>
    <n v="-39556"/>
  </r>
  <r>
    <n v="1446"/>
    <d v="2023-03-02T05:00:00"/>
    <x v="2"/>
    <n v="9"/>
    <x v="0"/>
    <s v="TVS"/>
    <x v="0"/>
    <x v="1"/>
    <n v="69724"/>
    <n v="8"/>
    <n v="46818"/>
    <n v="27935"/>
    <n v="3"/>
    <s v="Yes"/>
    <x v="0"/>
    <n v="18883"/>
  </r>
  <r>
    <n v="1447"/>
    <d v="2023-03-02T06:00:00"/>
    <x v="2"/>
    <n v="9"/>
    <x v="0"/>
    <s v="Yamaha"/>
    <x v="0"/>
    <x v="3"/>
    <n v="89905"/>
    <n v="6"/>
    <n v="90555"/>
    <n v="118191"/>
    <n v="4"/>
    <s v="Yes"/>
    <x v="0"/>
    <n v="-27636"/>
  </r>
  <r>
    <n v="1448"/>
    <d v="2023-03-02T07:00:00"/>
    <x v="2"/>
    <n v="9"/>
    <x v="0"/>
    <s v="Yamaha"/>
    <x v="0"/>
    <x v="1"/>
    <n v="55296"/>
    <n v="5"/>
    <n v="123979"/>
    <n v="134362"/>
    <n v="10"/>
    <s v="No"/>
    <x v="0"/>
    <n v="-10383"/>
  </r>
  <r>
    <n v="1449"/>
    <d v="2023-03-02T08:00:00"/>
    <x v="2"/>
    <n v="9"/>
    <x v="0"/>
    <s v="Honda"/>
    <x v="0"/>
    <x v="3"/>
    <n v="45206"/>
    <n v="8"/>
    <n v="78629"/>
    <n v="59035"/>
    <n v="12"/>
    <s v="No"/>
    <x v="0"/>
    <n v="19594"/>
  </r>
  <r>
    <n v="1450"/>
    <d v="2023-03-02T09:00:00"/>
    <x v="2"/>
    <n v="9"/>
    <x v="0"/>
    <s v="TVS"/>
    <x v="0"/>
    <x v="3"/>
    <n v="4523"/>
    <n v="0"/>
    <n v="140296"/>
    <n v="111256"/>
    <n v="6"/>
    <s v="Yes"/>
    <x v="0"/>
    <n v="29040"/>
  </r>
  <r>
    <n v="1451"/>
    <d v="2023-03-02T10:00:00"/>
    <x v="2"/>
    <n v="9"/>
    <x v="0"/>
    <s v="Bajaj"/>
    <x v="0"/>
    <x v="3"/>
    <n v="83136"/>
    <n v="1"/>
    <n v="80438"/>
    <n v="42937"/>
    <n v="6"/>
    <s v="Yes"/>
    <x v="0"/>
    <n v="37501"/>
  </r>
  <r>
    <n v="1452"/>
    <d v="2023-03-02T11:00:00"/>
    <x v="2"/>
    <n v="9"/>
    <x v="0"/>
    <s v="Honda"/>
    <x v="0"/>
    <x v="2"/>
    <n v="37235"/>
    <n v="0"/>
    <n v="34457"/>
    <n v="33540"/>
    <n v="12"/>
    <s v="No"/>
    <x v="0"/>
    <n v="917"/>
  </r>
  <r>
    <n v="1453"/>
    <d v="2023-03-02T12:00:00"/>
    <x v="2"/>
    <n v="9"/>
    <x v="0"/>
    <s v="TVS"/>
    <x v="0"/>
    <x v="3"/>
    <n v="73459"/>
    <n v="9"/>
    <n v="58922"/>
    <n v="88480"/>
    <n v="9"/>
    <s v="No"/>
    <x v="0"/>
    <n v="-29558"/>
  </r>
  <r>
    <n v="1454"/>
    <d v="2023-03-02T13:00:00"/>
    <x v="2"/>
    <n v="9"/>
    <x v="0"/>
    <s v="TVS"/>
    <x v="0"/>
    <x v="2"/>
    <n v="39718"/>
    <n v="2"/>
    <n v="165892"/>
    <n v="63702"/>
    <n v="4"/>
    <s v="Yes"/>
    <x v="0"/>
    <n v="102190"/>
  </r>
  <r>
    <n v="1455"/>
    <d v="2023-03-02T14:00:00"/>
    <x v="2"/>
    <n v="9"/>
    <x v="0"/>
    <s v="Honda"/>
    <x v="0"/>
    <x v="3"/>
    <n v="12713"/>
    <n v="4"/>
    <n v="133122"/>
    <n v="93283"/>
    <n v="5"/>
    <s v="Yes"/>
    <x v="0"/>
    <n v="39839"/>
  </r>
  <r>
    <n v="1456"/>
    <d v="2023-03-02T15:00:00"/>
    <x v="2"/>
    <n v="9"/>
    <x v="0"/>
    <s v="Yamaha"/>
    <x v="0"/>
    <x v="2"/>
    <n v="99194"/>
    <n v="0"/>
    <n v="127020"/>
    <n v="91041"/>
    <n v="5"/>
    <s v="Yes"/>
    <x v="0"/>
    <n v="35979"/>
  </r>
  <r>
    <n v="1457"/>
    <d v="2023-03-02T16:00:00"/>
    <x v="2"/>
    <n v="9"/>
    <x v="0"/>
    <s v="TVS"/>
    <x v="0"/>
    <x v="0"/>
    <n v="28960"/>
    <n v="3"/>
    <n v="113405"/>
    <n v="126753"/>
    <n v="3"/>
    <s v="Yes"/>
    <x v="0"/>
    <n v="-13348"/>
  </r>
  <r>
    <n v="1458"/>
    <d v="2023-03-02T17:00:00"/>
    <x v="2"/>
    <n v="9"/>
    <x v="0"/>
    <s v="Yamaha"/>
    <x v="0"/>
    <x v="2"/>
    <n v="65180"/>
    <n v="7"/>
    <n v="141130"/>
    <n v="92233"/>
    <n v="2"/>
    <s v="Yes"/>
    <x v="1"/>
    <n v="48897"/>
  </r>
  <r>
    <n v="1459"/>
    <d v="2023-03-02T18:00:00"/>
    <x v="2"/>
    <n v="9"/>
    <x v="0"/>
    <s v="Honda"/>
    <x v="0"/>
    <x v="2"/>
    <n v="31517"/>
    <n v="5"/>
    <n v="93038"/>
    <n v="51907"/>
    <n v="8"/>
    <s v="No"/>
    <x v="0"/>
    <n v="41131"/>
  </r>
  <r>
    <n v="1460"/>
    <d v="2023-03-02T19:00:00"/>
    <x v="2"/>
    <n v="9"/>
    <x v="0"/>
    <s v="Yamaha"/>
    <x v="0"/>
    <x v="1"/>
    <n v="99036"/>
    <n v="0"/>
    <n v="87325"/>
    <n v="30221"/>
    <n v="10"/>
    <s v="No"/>
    <x v="0"/>
    <n v="57104"/>
  </r>
  <r>
    <n v="1461"/>
    <d v="2023-03-02T20:00:00"/>
    <x v="2"/>
    <n v="9"/>
    <x v="0"/>
    <s v="Hero"/>
    <x v="0"/>
    <x v="3"/>
    <n v="92538"/>
    <n v="0"/>
    <n v="50600"/>
    <n v="69781"/>
    <n v="9"/>
    <s v="No"/>
    <x v="1"/>
    <n v="-19181"/>
  </r>
  <r>
    <n v="1462"/>
    <d v="2023-03-02T21:00:00"/>
    <x v="2"/>
    <n v="9"/>
    <x v="0"/>
    <s v="Bajaj"/>
    <x v="0"/>
    <x v="0"/>
    <n v="31490"/>
    <n v="2"/>
    <n v="86526"/>
    <n v="22087"/>
    <n v="10"/>
    <s v="No"/>
    <x v="0"/>
    <n v="64439"/>
  </r>
  <r>
    <n v="1463"/>
    <d v="2023-03-02T22:00:00"/>
    <x v="2"/>
    <n v="9"/>
    <x v="0"/>
    <s v="TVS"/>
    <x v="1"/>
    <x v="1"/>
    <n v="20015"/>
    <n v="9"/>
    <n v="38149"/>
    <n v="101998"/>
    <n v="11"/>
    <s v="No"/>
    <x v="0"/>
    <n v="-63849"/>
  </r>
  <r>
    <n v="1464"/>
    <d v="2023-03-02T23:00:00"/>
    <x v="2"/>
    <n v="9"/>
    <x v="0"/>
    <s v="Bajaj"/>
    <x v="0"/>
    <x v="3"/>
    <n v="30491"/>
    <n v="7"/>
    <n v="170468"/>
    <n v="37789"/>
    <n v="13"/>
    <s v="No"/>
    <x v="0"/>
    <n v="132679"/>
  </r>
  <r>
    <n v="1465"/>
    <d v="2023-03-03T00:00:00"/>
    <x v="2"/>
    <n v="9"/>
    <x v="0"/>
    <s v="Yamaha"/>
    <x v="1"/>
    <x v="0"/>
    <n v="8134"/>
    <n v="7"/>
    <n v="179396"/>
    <n v="71023"/>
    <n v="9"/>
    <s v="No"/>
    <x v="1"/>
    <n v="108373"/>
  </r>
  <r>
    <n v="1466"/>
    <d v="2023-03-03T01:00:00"/>
    <x v="2"/>
    <n v="9"/>
    <x v="0"/>
    <s v="TVS"/>
    <x v="0"/>
    <x v="0"/>
    <n v="77534"/>
    <n v="2"/>
    <n v="137168"/>
    <n v="48400"/>
    <n v="14"/>
    <s v="No"/>
    <x v="0"/>
    <n v="88768"/>
  </r>
  <r>
    <n v="1467"/>
    <d v="2023-03-03T02:00:00"/>
    <x v="2"/>
    <n v="9"/>
    <x v="0"/>
    <s v="Yamaha"/>
    <x v="0"/>
    <x v="0"/>
    <n v="76952"/>
    <n v="6"/>
    <n v="134813"/>
    <n v="17199"/>
    <n v="5"/>
    <s v="Yes"/>
    <x v="0"/>
    <n v="117614"/>
  </r>
  <r>
    <n v="1468"/>
    <d v="2023-03-03T03:00:00"/>
    <x v="2"/>
    <n v="9"/>
    <x v="0"/>
    <s v="Hero"/>
    <x v="0"/>
    <x v="3"/>
    <n v="29877"/>
    <n v="2"/>
    <n v="116779"/>
    <n v="62316"/>
    <n v="11"/>
    <s v="No"/>
    <x v="1"/>
    <n v="54463"/>
  </r>
  <r>
    <n v="1469"/>
    <d v="2023-03-03T04:00:00"/>
    <x v="2"/>
    <n v="9"/>
    <x v="0"/>
    <s v="Honda"/>
    <x v="0"/>
    <x v="0"/>
    <n v="33501"/>
    <n v="3"/>
    <n v="159266"/>
    <n v="124559"/>
    <n v="9"/>
    <s v="No"/>
    <x v="0"/>
    <n v="34707"/>
  </r>
  <r>
    <n v="1470"/>
    <d v="2023-03-03T05:00:00"/>
    <x v="2"/>
    <n v="9"/>
    <x v="0"/>
    <s v="TVS"/>
    <x v="0"/>
    <x v="0"/>
    <n v="1891"/>
    <n v="8"/>
    <n v="57398"/>
    <n v="102273"/>
    <n v="4"/>
    <s v="Yes"/>
    <x v="0"/>
    <n v="-44875"/>
  </r>
  <r>
    <n v="1471"/>
    <d v="2023-03-03T06:00:00"/>
    <x v="2"/>
    <n v="9"/>
    <x v="0"/>
    <s v="Hero"/>
    <x v="0"/>
    <x v="1"/>
    <n v="65706"/>
    <n v="3"/>
    <n v="29789"/>
    <n v="67062"/>
    <n v="2"/>
    <s v="Yes"/>
    <x v="0"/>
    <n v="-37273"/>
  </r>
  <r>
    <n v="1472"/>
    <d v="2023-03-03T07:00:00"/>
    <x v="2"/>
    <n v="9"/>
    <x v="0"/>
    <s v="Hero"/>
    <x v="0"/>
    <x v="2"/>
    <n v="42715"/>
    <n v="2"/>
    <n v="89967"/>
    <n v="130310"/>
    <n v="3"/>
    <s v="Yes"/>
    <x v="0"/>
    <n v="-40343"/>
  </r>
  <r>
    <n v="1473"/>
    <d v="2023-03-03T08:00:00"/>
    <x v="2"/>
    <n v="9"/>
    <x v="0"/>
    <s v="TVS"/>
    <x v="1"/>
    <x v="3"/>
    <n v="80220"/>
    <n v="4"/>
    <n v="123837"/>
    <n v="86609"/>
    <n v="1"/>
    <s v="Yes"/>
    <x v="1"/>
    <n v="37228"/>
  </r>
  <r>
    <n v="1474"/>
    <d v="2023-03-03T09:00:00"/>
    <x v="2"/>
    <n v="9"/>
    <x v="0"/>
    <s v="Yamaha"/>
    <x v="0"/>
    <x v="2"/>
    <n v="27614"/>
    <n v="6"/>
    <n v="126967"/>
    <n v="31744"/>
    <n v="5"/>
    <s v="Yes"/>
    <x v="0"/>
    <n v="95223"/>
  </r>
  <r>
    <n v="1475"/>
    <d v="2023-03-03T10:00:00"/>
    <x v="2"/>
    <n v="9"/>
    <x v="0"/>
    <s v="Hero"/>
    <x v="0"/>
    <x v="1"/>
    <n v="12382"/>
    <n v="4"/>
    <n v="156201"/>
    <n v="91095"/>
    <n v="1"/>
    <s v="Yes"/>
    <x v="0"/>
    <n v="65106"/>
  </r>
  <r>
    <n v="1476"/>
    <d v="2023-03-03T11:00:00"/>
    <x v="2"/>
    <n v="9"/>
    <x v="0"/>
    <s v="Bajaj"/>
    <x v="0"/>
    <x v="2"/>
    <n v="17773"/>
    <n v="3"/>
    <n v="84683"/>
    <n v="70517"/>
    <n v="12"/>
    <s v="No"/>
    <x v="0"/>
    <n v="14166"/>
  </r>
  <r>
    <n v="1477"/>
    <d v="2023-03-03T12:00:00"/>
    <x v="2"/>
    <n v="9"/>
    <x v="0"/>
    <s v="Hero"/>
    <x v="0"/>
    <x v="0"/>
    <n v="46147"/>
    <n v="7"/>
    <n v="70331"/>
    <n v="113231"/>
    <n v="11"/>
    <s v="No"/>
    <x v="0"/>
    <n v="-42900"/>
  </r>
  <r>
    <n v="1478"/>
    <d v="2023-03-03T13:00:00"/>
    <x v="2"/>
    <n v="9"/>
    <x v="0"/>
    <s v="Yamaha"/>
    <x v="0"/>
    <x v="0"/>
    <n v="83165"/>
    <n v="3"/>
    <n v="59626"/>
    <n v="63865"/>
    <n v="1"/>
    <s v="Yes"/>
    <x v="0"/>
    <n v="-4239"/>
  </r>
  <r>
    <n v="1479"/>
    <d v="2023-03-03T14:00:00"/>
    <x v="2"/>
    <n v="9"/>
    <x v="0"/>
    <s v="Yamaha"/>
    <x v="0"/>
    <x v="3"/>
    <n v="65392"/>
    <n v="1"/>
    <n v="37342"/>
    <n v="88937"/>
    <n v="14"/>
    <s v="No"/>
    <x v="0"/>
    <n v="-51595"/>
  </r>
  <r>
    <n v="1480"/>
    <d v="2023-03-03T15:00:00"/>
    <x v="2"/>
    <n v="9"/>
    <x v="0"/>
    <s v="Bajaj"/>
    <x v="1"/>
    <x v="3"/>
    <n v="43179"/>
    <n v="9"/>
    <n v="61417"/>
    <n v="92195"/>
    <n v="11"/>
    <s v="No"/>
    <x v="0"/>
    <n v="-30778"/>
  </r>
  <r>
    <n v="1481"/>
    <d v="2023-03-03T16:00:00"/>
    <x v="2"/>
    <n v="9"/>
    <x v="0"/>
    <s v="Hero"/>
    <x v="0"/>
    <x v="3"/>
    <n v="927"/>
    <n v="5"/>
    <n v="77664"/>
    <n v="122426"/>
    <n v="11"/>
    <s v="No"/>
    <x v="0"/>
    <n v="-44762"/>
  </r>
  <r>
    <n v="1482"/>
    <d v="2023-03-03T17:00:00"/>
    <x v="2"/>
    <n v="9"/>
    <x v="0"/>
    <s v="Yamaha"/>
    <x v="0"/>
    <x v="1"/>
    <n v="97452"/>
    <n v="1"/>
    <n v="33833"/>
    <n v="28894"/>
    <n v="13"/>
    <s v="No"/>
    <x v="1"/>
    <n v="4939"/>
  </r>
  <r>
    <n v="1483"/>
    <d v="2023-03-03T18:00:00"/>
    <x v="2"/>
    <n v="9"/>
    <x v="0"/>
    <s v="TVS"/>
    <x v="0"/>
    <x v="3"/>
    <n v="66767"/>
    <n v="2"/>
    <n v="85658"/>
    <n v="44160"/>
    <n v="7"/>
    <s v="Yes"/>
    <x v="0"/>
    <n v="41498"/>
  </r>
  <r>
    <n v="1484"/>
    <d v="2023-03-03T19:00:00"/>
    <x v="2"/>
    <n v="9"/>
    <x v="0"/>
    <s v="Honda"/>
    <x v="0"/>
    <x v="1"/>
    <n v="1299"/>
    <n v="0"/>
    <n v="156809"/>
    <n v="68095"/>
    <n v="2"/>
    <s v="Yes"/>
    <x v="0"/>
    <n v="88714"/>
  </r>
  <r>
    <n v="1485"/>
    <d v="2023-03-03T20:00:00"/>
    <x v="2"/>
    <n v="9"/>
    <x v="0"/>
    <s v="Honda"/>
    <x v="0"/>
    <x v="0"/>
    <n v="56159"/>
    <n v="4"/>
    <n v="119965"/>
    <n v="44272"/>
    <n v="8"/>
    <s v="No"/>
    <x v="1"/>
    <n v="75693"/>
  </r>
  <r>
    <n v="1486"/>
    <d v="2023-03-03T21:00:00"/>
    <x v="2"/>
    <n v="9"/>
    <x v="0"/>
    <s v="Honda"/>
    <x v="0"/>
    <x v="2"/>
    <n v="94909"/>
    <n v="8"/>
    <n v="89054"/>
    <n v="69021"/>
    <n v="6"/>
    <s v="Yes"/>
    <x v="0"/>
    <n v="20033"/>
  </r>
  <r>
    <n v="1487"/>
    <d v="2023-03-03T22:00:00"/>
    <x v="2"/>
    <n v="9"/>
    <x v="0"/>
    <s v="Hero"/>
    <x v="0"/>
    <x v="0"/>
    <n v="7525"/>
    <n v="1"/>
    <n v="26299"/>
    <n v="105048"/>
    <n v="4"/>
    <s v="Yes"/>
    <x v="1"/>
    <n v="-78749"/>
  </r>
  <r>
    <n v="1488"/>
    <d v="2023-03-03T23:00:00"/>
    <x v="2"/>
    <n v="9"/>
    <x v="0"/>
    <s v="Bajaj"/>
    <x v="0"/>
    <x v="0"/>
    <n v="14981"/>
    <n v="6"/>
    <n v="90875"/>
    <n v="48645"/>
    <n v="9"/>
    <s v="No"/>
    <x v="0"/>
    <n v="42230"/>
  </r>
  <r>
    <n v="1489"/>
    <d v="2023-03-04T00:00:00"/>
    <x v="2"/>
    <n v="9"/>
    <x v="0"/>
    <s v="Yamaha"/>
    <x v="0"/>
    <x v="0"/>
    <n v="25911"/>
    <n v="4"/>
    <n v="139286"/>
    <n v="127079"/>
    <n v="10"/>
    <s v="No"/>
    <x v="0"/>
    <n v="12207"/>
  </r>
  <r>
    <n v="1490"/>
    <d v="2023-03-04T01:00:00"/>
    <x v="2"/>
    <n v="9"/>
    <x v="0"/>
    <s v="TVS"/>
    <x v="0"/>
    <x v="3"/>
    <n v="97394"/>
    <n v="1"/>
    <n v="123730"/>
    <n v="36179"/>
    <n v="8"/>
    <s v="No"/>
    <x v="0"/>
    <n v="87551"/>
  </r>
  <r>
    <n v="1491"/>
    <d v="2023-03-04T02:00:00"/>
    <x v="2"/>
    <n v="9"/>
    <x v="0"/>
    <s v="TVS"/>
    <x v="0"/>
    <x v="3"/>
    <n v="15461"/>
    <n v="7"/>
    <n v="81298"/>
    <n v="137479"/>
    <n v="13"/>
    <s v="No"/>
    <x v="0"/>
    <n v="-56181"/>
  </r>
  <r>
    <n v="1492"/>
    <d v="2023-03-04T03:00:00"/>
    <x v="2"/>
    <n v="9"/>
    <x v="0"/>
    <s v="Hero"/>
    <x v="0"/>
    <x v="3"/>
    <n v="22267"/>
    <n v="5"/>
    <n v="146035"/>
    <n v="25691"/>
    <n v="10"/>
    <s v="No"/>
    <x v="0"/>
    <n v="120344"/>
  </r>
  <r>
    <n v="1493"/>
    <d v="2023-03-04T04:00:00"/>
    <x v="2"/>
    <n v="9"/>
    <x v="0"/>
    <s v="Honda"/>
    <x v="0"/>
    <x v="2"/>
    <n v="52190"/>
    <n v="3"/>
    <n v="134825"/>
    <n v="96646"/>
    <n v="3"/>
    <s v="Yes"/>
    <x v="0"/>
    <n v="38179"/>
  </r>
  <r>
    <n v="1494"/>
    <d v="2023-03-04T05:00:00"/>
    <x v="2"/>
    <n v="9"/>
    <x v="0"/>
    <s v="Hero"/>
    <x v="0"/>
    <x v="3"/>
    <n v="53370"/>
    <n v="3"/>
    <n v="140637"/>
    <n v="115827"/>
    <n v="3"/>
    <s v="Yes"/>
    <x v="0"/>
    <n v="24810"/>
  </r>
  <r>
    <n v="1495"/>
    <d v="2023-03-04T06:00:00"/>
    <x v="2"/>
    <n v="9"/>
    <x v="0"/>
    <s v="Bajaj"/>
    <x v="0"/>
    <x v="1"/>
    <n v="36635"/>
    <n v="1"/>
    <n v="97618"/>
    <n v="60311"/>
    <n v="4"/>
    <s v="Yes"/>
    <x v="0"/>
    <n v="37307"/>
  </r>
  <r>
    <n v="1496"/>
    <d v="2023-03-04T07:00:00"/>
    <x v="2"/>
    <n v="9"/>
    <x v="0"/>
    <s v="Bajaj"/>
    <x v="0"/>
    <x v="0"/>
    <n v="65014"/>
    <n v="2"/>
    <n v="50532"/>
    <n v="110381"/>
    <n v="14"/>
    <s v="No"/>
    <x v="0"/>
    <n v="-59849"/>
  </r>
  <r>
    <n v="1497"/>
    <d v="2023-03-04T08:00:00"/>
    <x v="2"/>
    <n v="9"/>
    <x v="0"/>
    <s v="Yamaha"/>
    <x v="0"/>
    <x v="2"/>
    <n v="87428"/>
    <n v="6"/>
    <n v="133197"/>
    <n v="54038"/>
    <n v="9"/>
    <s v="No"/>
    <x v="0"/>
    <n v="79159"/>
  </r>
  <r>
    <n v="1498"/>
    <d v="2023-03-04T09:00:00"/>
    <x v="2"/>
    <n v="9"/>
    <x v="0"/>
    <s v="Yamaha"/>
    <x v="0"/>
    <x v="2"/>
    <n v="79298"/>
    <n v="2"/>
    <n v="155860"/>
    <n v="39967"/>
    <n v="9"/>
    <s v="No"/>
    <x v="0"/>
    <n v="115893"/>
  </r>
  <r>
    <n v="1499"/>
    <d v="2023-03-04T10:00:00"/>
    <x v="2"/>
    <n v="9"/>
    <x v="0"/>
    <s v="Bajaj"/>
    <x v="0"/>
    <x v="2"/>
    <n v="71265"/>
    <n v="4"/>
    <n v="85285"/>
    <n v="43478"/>
    <n v="5"/>
    <s v="Yes"/>
    <x v="0"/>
    <n v="41807"/>
  </r>
  <r>
    <n v="1500"/>
    <d v="2023-03-04T11:00:00"/>
    <x v="2"/>
    <n v="9"/>
    <x v="0"/>
    <s v="Bajaj"/>
    <x v="0"/>
    <x v="2"/>
    <n v="24272"/>
    <n v="9"/>
    <n v="43866"/>
    <n v="70775"/>
    <n v="12"/>
    <s v="No"/>
    <x v="0"/>
    <n v="-26909"/>
  </r>
  <r>
    <n v="1501"/>
    <d v="2023-03-04T12:00:00"/>
    <x v="2"/>
    <n v="9"/>
    <x v="0"/>
    <s v="Bajaj"/>
    <x v="0"/>
    <x v="2"/>
    <n v="19299"/>
    <n v="5"/>
    <n v="163665"/>
    <n v="85624"/>
    <n v="9"/>
    <s v="No"/>
    <x v="0"/>
    <n v="78041"/>
  </r>
  <r>
    <n v="1502"/>
    <d v="2023-03-04T13:00:00"/>
    <x v="2"/>
    <n v="9"/>
    <x v="0"/>
    <s v="Hero"/>
    <x v="0"/>
    <x v="1"/>
    <n v="24055"/>
    <n v="5"/>
    <n v="34495"/>
    <n v="55332"/>
    <n v="6"/>
    <s v="Yes"/>
    <x v="0"/>
    <n v="-20837"/>
  </r>
  <r>
    <n v="1503"/>
    <d v="2023-03-04T14:00:00"/>
    <x v="2"/>
    <n v="9"/>
    <x v="0"/>
    <s v="Bajaj"/>
    <x v="0"/>
    <x v="0"/>
    <n v="92652"/>
    <n v="3"/>
    <n v="32837"/>
    <n v="22066"/>
    <n v="8"/>
    <s v="No"/>
    <x v="0"/>
    <n v="10771"/>
  </r>
  <r>
    <n v="1504"/>
    <d v="2023-03-04T15:00:00"/>
    <x v="2"/>
    <n v="9"/>
    <x v="0"/>
    <s v="TVS"/>
    <x v="1"/>
    <x v="2"/>
    <n v="19833"/>
    <n v="5"/>
    <n v="174752"/>
    <n v="54313"/>
    <n v="11"/>
    <s v="No"/>
    <x v="0"/>
    <n v="120439"/>
  </r>
  <r>
    <n v="1505"/>
    <d v="2023-03-04T16:00:00"/>
    <x v="2"/>
    <n v="9"/>
    <x v="0"/>
    <s v="Honda"/>
    <x v="0"/>
    <x v="0"/>
    <n v="4761"/>
    <n v="2"/>
    <n v="55346"/>
    <n v="82857"/>
    <n v="8"/>
    <s v="No"/>
    <x v="0"/>
    <n v="-27511"/>
  </r>
  <r>
    <n v="1506"/>
    <d v="2023-03-04T17:00:00"/>
    <x v="2"/>
    <n v="9"/>
    <x v="0"/>
    <s v="Bajaj"/>
    <x v="0"/>
    <x v="3"/>
    <n v="69502"/>
    <n v="6"/>
    <n v="133621"/>
    <n v="60900"/>
    <n v="12"/>
    <s v="No"/>
    <x v="0"/>
    <n v="72721"/>
  </r>
  <r>
    <n v="1507"/>
    <d v="2023-03-04T18:00:00"/>
    <x v="2"/>
    <n v="9"/>
    <x v="0"/>
    <s v="Honda"/>
    <x v="0"/>
    <x v="2"/>
    <n v="47053"/>
    <n v="6"/>
    <n v="48412"/>
    <n v="105069"/>
    <n v="10"/>
    <s v="No"/>
    <x v="0"/>
    <n v="-56657"/>
  </r>
  <r>
    <n v="1508"/>
    <d v="2023-03-04T19:00:00"/>
    <x v="2"/>
    <n v="9"/>
    <x v="0"/>
    <s v="Hero"/>
    <x v="0"/>
    <x v="2"/>
    <n v="3588"/>
    <n v="3"/>
    <n v="143833"/>
    <n v="105045"/>
    <n v="7"/>
    <s v="Yes"/>
    <x v="0"/>
    <n v="38788"/>
  </r>
  <r>
    <n v="1509"/>
    <d v="2023-03-04T20:00:00"/>
    <x v="2"/>
    <n v="9"/>
    <x v="0"/>
    <s v="Honda"/>
    <x v="1"/>
    <x v="0"/>
    <n v="46283"/>
    <n v="1"/>
    <n v="90206"/>
    <n v="56098"/>
    <n v="4"/>
    <s v="Yes"/>
    <x v="0"/>
    <n v="34108"/>
  </r>
  <r>
    <n v="1510"/>
    <d v="2023-03-04T21:00:00"/>
    <x v="2"/>
    <n v="9"/>
    <x v="0"/>
    <s v="Hero"/>
    <x v="0"/>
    <x v="2"/>
    <n v="1615"/>
    <n v="6"/>
    <n v="35934"/>
    <n v="23294"/>
    <n v="4"/>
    <s v="Yes"/>
    <x v="0"/>
    <n v="12640"/>
  </r>
  <r>
    <n v="1511"/>
    <d v="2023-03-04T22:00:00"/>
    <x v="2"/>
    <n v="9"/>
    <x v="0"/>
    <s v="TVS"/>
    <x v="1"/>
    <x v="2"/>
    <n v="70614"/>
    <n v="2"/>
    <n v="55723"/>
    <n v="126857"/>
    <n v="6"/>
    <s v="Yes"/>
    <x v="0"/>
    <n v="-71134"/>
  </r>
  <r>
    <n v="1512"/>
    <d v="2023-03-04T23:00:00"/>
    <x v="2"/>
    <n v="9"/>
    <x v="0"/>
    <s v="Hero"/>
    <x v="1"/>
    <x v="2"/>
    <n v="68626"/>
    <n v="0"/>
    <n v="152968"/>
    <n v="77580"/>
    <n v="14"/>
    <s v="No"/>
    <x v="0"/>
    <n v="75388"/>
  </r>
  <r>
    <n v="1513"/>
    <d v="2023-03-05T00:00:00"/>
    <x v="2"/>
    <n v="10"/>
    <x v="0"/>
    <s v="Hero"/>
    <x v="1"/>
    <x v="1"/>
    <n v="73408"/>
    <n v="1"/>
    <n v="176477"/>
    <n v="53101"/>
    <n v="9"/>
    <s v="No"/>
    <x v="0"/>
    <n v="123376"/>
  </r>
  <r>
    <n v="1514"/>
    <d v="2023-03-05T01:00:00"/>
    <x v="2"/>
    <n v="10"/>
    <x v="0"/>
    <s v="Yamaha"/>
    <x v="0"/>
    <x v="1"/>
    <n v="69609"/>
    <n v="9"/>
    <n v="174820"/>
    <n v="40059"/>
    <n v="7"/>
    <s v="Yes"/>
    <x v="0"/>
    <n v="134761"/>
  </r>
  <r>
    <n v="1515"/>
    <d v="2023-03-05T02:00:00"/>
    <x v="2"/>
    <n v="10"/>
    <x v="0"/>
    <s v="Bajaj"/>
    <x v="0"/>
    <x v="2"/>
    <n v="3478"/>
    <n v="8"/>
    <n v="178426"/>
    <n v="111784"/>
    <n v="5"/>
    <s v="Yes"/>
    <x v="0"/>
    <n v="66642"/>
  </r>
  <r>
    <n v="1516"/>
    <d v="2023-03-05T03:00:00"/>
    <x v="2"/>
    <n v="10"/>
    <x v="0"/>
    <s v="Bajaj"/>
    <x v="0"/>
    <x v="1"/>
    <n v="9922"/>
    <n v="7"/>
    <n v="146988"/>
    <n v="55626"/>
    <n v="5"/>
    <s v="Yes"/>
    <x v="0"/>
    <n v="91362"/>
  </r>
  <r>
    <n v="1517"/>
    <d v="2023-03-05T04:00:00"/>
    <x v="2"/>
    <n v="10"/>
    <x v="0"/>
    <s v="TVS"/>
    <x v="0"/>
    <x v="3"/>
    <n v="44126"/>
    <n v="5"/>
    <n v="173460"/>
    <n v="35703"/>
    <n v="8"/>
    <s v="No"/>
    <x v="0"/>
    <n v="137757"/>
  </r>
  <r>
    <n v="1518"/>
    <d v="2023-03-05T05:00:00"/>
    <x v="2"/>
    <n v="10"/>
    <x v="0"/>
    <s v="TVS"/>
    <x v="0"/>
    <x v="2"/>
    <n v="89733"/>
    <n v="5"/>
    <n v="61523"/>
    <n v="118693"/>
    <n v="6"/>
    <s v="Yes"/>
    <x v="1"/>
    <n v="-57170"/>
  </r>
  <r>
    <n v="1519"/>
    <d v="2023-03-05T06:00:00"/>
    <x v="2"/>
    <n v="10"/>
    <x v="0"/>
    <s v="Bajaj"/>
    <x v="0"/>
    <x v="3"/>
    <n v="56674"/>
    <n v="0"/>
    <n v="126150"/>
    <n v="76417"/>
    <n v="1"/>
    <s v="Yes"/>
    <x v="0"/>
    <n v="49733"/>
  </r>
  <r>
    <n v="1520"/>
    <d v="2023-03-05T07:00:00"/>
    <x v="2"/>
    <n v="10"/>
    <x v="0"/>
    <s v="Yamaha"/>
    <x v="0"/>
    <x v="0"/>
    <n v="96856"/>
    <n v="1"/>
    <n v="145950"/>
    <n v="131536"/>
    <n v="1"/>
    <s v="Yes"/>
    <x v="0"/>
    <n v="14414"/>
  </r>
  <r>
    <n v="1521"/>
    <d v="2023-03-05T08:00:00"/>
    <x v="2"/>
    <n v="10"/>
    <x v="0"/>
    <s v="Bajaj"/>
    <x v="0"/>
    <x v="3"/>
    <n v="38243"/>
    <n v="3"/>
    <n v="66646"/>
    <n v="74228"/>
    <n v="9"/>
    <s v="No"/>
    <x v="0"/>
    <n v="-7582"/>
  </r>
  <r>
    <n v="1522"/>
    <d v="2023-03-05T09:00:00"/>
    <x v="2"/>
    <n v="10"/>
    <x v="0"/>
    <s v="Yamaha"/>
    <x v="0"/>
    <x v="0"/>
    <n v="70961"/>
    <n v="2"/>
    <n v="177093"/>
    <n v="18205"/>
    <n v="8"/>
    <s v="No"/>
    <x v="0"/>
    <n v="158888"/>
  </r>
  <r>
    <n v="1523"/>
    <d v="2023-03-05T10:00:00"/>
    <x v="2"/>
    <n v="10"/>
    <x v="0"/>
    <s v="TVS"/>
    <x v="0"/>
    <x v="2"/>
    <n v="57699"/>
    <n v="0"/>
    <n v="77776"/>
    <n v="49929"/>
    <n v="6"/>
    <s v="Yes"/>
    <x v="0"/>
    <n v="27847"/>
  </r>
  <r>
    <n v="1524"/>
    <d v="2023-03-05T11:00:00"/>
    <x v="2"/>
    <n v="10"/>
    <x v="0"/>
    <s v="Honda"/>
    <x v="0"/>
    <x v="0"/>
    <n v="29930"/>
    <n v="7"/>
    <n v="44116"/>
    <n v="98384"/>
    <n v="13"/>
    <s v="No"/>
    <x v="0"/>
    <n v="-54268"/>
  </r>
  <r>
    <n v="1525"/>
    <d v="2023-03-05T12:00:00"/>
    <x v="2"/>
    <n v="10"/>
    <x v="0"/>
    <s v="TVS"/>
    <x v="0"/>
    <x v="0"/>
    <n v="29334"/>
    <n v="6"/>
    <n v="137858"/>
    <n v="48411"/>
    <n v="1"/>
    <s v="Yes"/>
    <x v="0"/>
    <n v="89447"/>
  </r>
  <r>
    <n v="1526"/>
    <d v="2023-03-05T13:00:00"/>
    <x v="2"/>
    <n v="10"/>
    <x v="0"/>
    <s v="TVS"/>
    <x v="0"/>
    <x v="3"/>
    <n v="24935"/>
    <n v="3"/>
    <n v="101620"/>
    <n v="95522"/>
    <n v="14"/>
    <s v="No"/>
    <x v="0"/>
    <n v="6098"/>
  </r>
  <r>
    <n v="1527"/>
    <d v="2023-03-05T14:00:00"/>
    <x v="2"/>
    <n v="10"/>
    <x v="0"/>
    <s v="Hero"/>
    <x v="0"/>
    <x v="3"/>
    <n v="87712"/>
    <n v="8"/>
    <n v="107604"/>
    <n v="26628"/>
    <n v="2"/>
    <s v="Yes"/>
    <x v="0"/>
    <n v="80976"/>
  </r>
  <r>
    <n v="1528"/>
    <d v="2023-03-05T15:00:00"/>
    <x v="2"/>
    <n v="10"/>
    <x v="0"/>
    <s v="Hero"/>
    <x v="0"/>
    <x v="3"/>
    <n v="56297"/>
    <n v="3"/>
    <n v="119452"/>
    <n v="118655"/>
    <n v="10"/>
    <s v="No"/>
    <x v="0"/>
    <n v="797"/>
  </r>
  <r>
    <n v="1529"/>
    <d v="2023-03-05T16:00:00"/>
    <x v="2"/>
    <n v="10"/>
    <x v="0"/>
    <s v="Hero"/>
    <x v="1"/>
    <x v="2"/>
    <n v="44054"/>
    <n v="0"/>
    <n v="158991"/>
    <n v="85089"/>
    <n v="3"/>
    <s v="Yes"/>
    <x v="0"/>
    <n v="73902"/>
  </r>
  <r>
    <n v="1530"/>
    <d v="2023-03-05T17:00:00"/>
    <x v="2"/>
    <n v="10"/>
    <x v="0"/>
    <s v="Hero"/>
    <x v="0"/>
    <x v="2"/>
    <n v="55055"/>
    <n v="9"/>
    <n v="48550"/>
    <n v="21518"/>
    <n v="10"/>
    <s v="No"/>
    <x v="0"/>
    <n v="27032"/>
  </r>
  <r>
    <n v="1531"/>
    <d v="2023-03-05T18:00:00"/>
    <x v="2"/>
    <n v="10"/>
    <x v="0"/>
    <s v="Yamaha"/>
    <x v="0"/>
    <x v="3"/>
    <n v="85850"/>
    <n v="0"/>
    <n v="95227"/>
    <n v="53491"/>
    <n v="12"/>
    <s v="No"/>
    <x v="0"/>
    <n v="41736"/>
  </r>
  <r>
    <n v="1532"/>
    <d v="2023-03-05T19:00:00"/>
    <x v="2"/>
    <n v="10"/>
    <x v="0"/>
    <s v="Bajaj"/>
    <x v="0"/>
    <x v="2"/>
    <n v="15216"/>
    <n v="0"/>
    <n v="48212"/>
    <n v="22946"/>
    <n v="3"/>
    <s v="Yes"/>
    <x v="0"/>
    <n v="25266"/>
  </r>
  <r>
    <n v="1533"/>
    <d v="2023-03-05T20:00:00"/>
    <x v="2"/>
    <n v="10"/>
    <x v="0"/>
    <s v="Honda"/>
    <x v="0"/>
    <x v="2"/>
    <n v="60761"/>
    <n v="0"/>
    <n v="65118"/>
    <n v="15610"/>
    <n v="2"/>
    <s v="Yes"/>
    <x v="0"/>
    <n v="49508"/>
  </r>
  <r>
    <n v="1534"/>
    <d v="2023-03-05T21:00:00"/>
    <x v="2"/>
    <n v="10"/>
    <x v="0"/>
    <s v="TVS"/>
    <x v="0"/>
    <x v="0"/>
    <n v="28028"/>
    <n v="3"/>
    <n v="53602"/>
    <n v="84838"/>
    <n v="12"/>
    <s v="No"/>
    <x v="0"/>
    <n v="-31236"/>
  </r>
  <r>
    <n v="1535"/>
    <d v="2023-03-05T22:00:00"/>
    <x v="2"/>
    <n v="10"/>
    <x v="0"/>
    <s v="Yamaha"/>
    <x v="0"/>
    <x v="0"/>
    <n v="2495"/>
    <n v="0"/>
    <n v="42540"/>
    <n v="49311"/>
    <n v="2"/>
    <s v="Yes"/>
    <x v="0"/>
    <n v="-6771"/>
  </r>
  <r>
    <n v="1536"/>
    <d v="2023-03-05T23:00:00"/>
    <x v="2"/>
    <n v="10"/>
    <x v="0"/>
    <s v="Honda"/>
    <x v="0"/>
    <x v="3"/>
    <n v="22914"/>
    <n v="1"/>
    <n v="96455"/>
    <n v="114770"/>
    <n v="6"/>
    <s v="Yes"/>
    <x v="0"/>
    <n v="-18315"/>
  </r>
  <r>
    <n v="1537"/>
    <d v="2023-03-06T00:00:00"/>
    <x v="2"/>
    <n v="10"/>
    <x v="0"/>
    <s v="Yamaha"/>
    <x v="0"/>
    <x v="2"/>
    <n v="14344"/>
    <n v="3"/>
    <n v="47277"/>
    <n v="56876"/>
    <n v="7"/>
    <s v="Yes"/>
    <x v="0"/>
    <n v="-9599"/>
  </r>
  <r>
    <n v="1538"/>
    <d v="2023-03-06T01:00:00"/>
    <x v="2"/>
    <n v="10"/>
    <x v="0"/>
    <s v="Yamaha"/>
    <x v="0"/>
    <x v="0"/>
    <n v="37159"/>
    <n v="6"/>
    <n v="144133"/>
    <n v="95192"/>
    <n v="4"/>
    <s v="Yes"/>
    <x v="0"/>
    <n v="48941"/>
  </r>
  <r>
    <n v="1539"/>
    <d v="2023-03-06T02:00:00"/>
    <x v="2"/>
    <n v="10"/>
    <x v="0"/>
    <s v="TVS"/>
    <x v="0"/>
    <x v="1"/>
    <n v="16022"/>
    <n v="1"/>
    <n v="173748"/>
    <n v="119540"/>
    <n v="1"/>
    <s v="Yes"/>
    <x v="0"/>
    <n v="54208"/>
  </r>
  <r>
    <n v="1540"/>
    <d v="2023-03-06T03:00:00"/>
    <x v="2"/>
    <n v="10"/>
    <x v="0"/>
    <s v="Bajaj"/>
    <x v="1"/>
    <x v="2"/>
    <n v="74534"/>
    <n v="7"/>
    <n v="34752"/>
    <n v="127023"/>
    <n v="6"/>
    <s v="Yes"/>
    <x v="0"/>
    <n v="-92271"/>
  </r>
  <r>
    <n v="1541"/>
    <d v="2023-03-06T04:00:00"/>
    <x v="2"/>
    <n v="10"/>
    <x v="0"/>
    <s v="Hero"/>
    <x v="1"/>
    <x v="1"/>
    <n v="42822"/>
    <n v="6"/>
    <n v="150332"/>
    <n v="65333"/>
    <n v="7"/>
    <s v="Yes"/>
    <x v="0"/>
    <n v="84999"/>
  </r>
  <r>
    <n v="1542"/>
    <d v="2023-03-06T05:00:00"/>
    <x v="2"/>
    <n v="10"/>
    <x v="0"/>
    <s v="Bajaj"/>
    <x v="0"/>
    <x v="3"/>
    <n v="68138"/>
    <n v="8"/>
    <n v="43302"/>
    <n v="66298"/>
    <n v="4"/>
    <s v="Yes"/>
    <x v="0"/>
    <n v="-22996"/>
  </r>
  <r>
    <n v="1543"/>
    <d v="2023-03-06T06:00:00"/>
    <x v="2"/>
    <n v="10"/>
    <x v="0"/>
    <s v="TVS"/>
    <x v="0"/>
    <x v="2"/>
    <n v="9024"/>
    <n v="5"/>
    <n v="91236"/>
    <n v="99192"/>
    <n v="6"/>
    <s v="Yes"/>
    <x v="0"/>
    <n v="-7956"/>
  </r>
  <r>
    <n v="1544"/>
    <d v="2023-03-06T07:00:00"/>
    <x v="2"/>
    <n v="10"/>
    <x v="0"/>
    <s v="TVS"/>
    <x v="0"/>
    <x v="3"/>
    <n v="31346"/>
    <n v="3"/>
    <n v="89467"/>
    <n v="56811"/>
    <n v="9"/>
    <s v="No"/>
    <x v="0"/>
    <n v="32656"/>
  </r>
  <r>
    <n v="1545"/>
    <d v="2023-03-06T08:00:00"/>
    <x v="2"/>
    <n v="10"/>
    <x v="0"/>
    <s v="TVS"/>
    <x v="0"/>
    <x v="3"/>
    <n v="74143"/>
    <n v="5"/>
    <n v="127350"/>
    <n v="85072"/>
    <n v="4"/>
    <s v="Yes"/>
    <x v="1"/>
    <n v="42278"/>
  </r>
  <r>
    <n v="1546"/>
    <d v="2023-03-06T09:00:00"/>
    <x v="2"/>
    <n v="10"/>
    <x v="0"/>
    <s v="Honda"/>
    <x v="0"/>
    <x v="3"/>
    <n v="60596"/>
    <n v="3"/>
    <n v="28048"/>
    <n v="130407"/>
    <n v="12"/>
    <s v="No"/>
    <x v="0"/>
    <n v="-102359"/>
  </r>
  <r>
    <n v="1547"/>
    <d v="2023-03-06T10:00:00"/>
    <x v="2"/>
    <n v="10"/>
    <x v="0"/>
    <s v="Bajaj"/>
    <x v="1"/>
    <x v="3"/>
    <n v="84304"/>
    <n v="6"/>
    <n v="83906"/>
    <n v="134368"/>
    <n v="14"/>
    <s v="No"/>
    <x v="0"/>
    <n v="-50462"/>
  </r>
  <r>
    <n v="1548"/>
    <d v="2023-03-06T11:00:00"/>
    <x v="2"/>
    <n v="10"/>
    <x v="0"/>
    <s v="Bajaj"/>
    <x v="0"/>
    <x v="3"/>
    <n v="48203"/>
    <n v="8"/>
    <n v="101637"/>
    <n v="57974"/>
    <n v="10"/>
    <s v="No"/>
    <x v="0"/>
    <n v="43663"/>
  </r>
  <r>
    <n v="1549"/>
    <d v="2023-03-06T12:00:00"/>
    <x v="2"/>
    <n v="10"/>
    <x v="0"/>
    <s v="Yamaha"/>
    <x v="0"/>
    <x v="2"/>
    <n v="24899"/>
    <n v="2"/>
    <n v="54778"/>
    <n v="34856"/>
    <n v="4"/>
    <s v="Yes"/>
    <x v="0"/>
    <n v="19922"/>
  </r>
  <r>
    <n v="1550"/>
    <d v="2023-03-06T13:00:00"/>
    <x v="2"/>
    <n v="10"/>
    <x v="0"/>
    <s v="Yamaha"/>
    <x v="0"/>
    <x v="1"/>
    <n v="75660"/>
    <n v="2"/>
    <n v="145918"/>
    <n v="116946"/>
    <n v="10"/>
    <s v="No"/>
    <x v="0"/>
    <n v="28972"/>
  </r>
  <r>
    <n v="1551"/>
    <d v="2023-03-06T14:00:00"/>
    <x v="2"/>
    <n v="10"/>
    <x v="0"/>
    <s v="Yamaha"/>
    <x v="1"/>
    <x v="2"/>
    <n v="93162"/>
    <n v="1"/>
    <n v="115036"/>
    <n v="59830"/>
    <n v="12"/>
    <s v="No"/>
    <x v="0"/>
    <n v="55206"/>
  </r>
  <r>
    <n v="1552"/>
    <d v="2023-03-06T15:00:00"/>
    <x v="2"/>
    <n v="10"/>
    <x v="0"/>
    <s v="TVS"/>
    <x v="0"/>
    <x v="2"/>
    <n v="89167"/>
    <n v="0"/>
    <n v="168746"/>
    <n v="96983"/>
    <n v="5"/>
    <s v="Yes"/>
    <x v="0"/>
    <n v="71763"/>
  </r>
  <r>
    <n v="1553"/>
    <d v="2023-03-06T16:00:00"/>
    <x v="2"/>
    <n v="10"/>
    <x v="0"/>
    <s v="Bajaj"/>
    <x v="0"/>
    <x v="2"/>
    <n v="49091"/>
    <n v="0"/>
    <n v="36957"/>
    <n v="60823"/>
    <n v="3"/>
    <s v="Yes"/>
    <x v="0"/>
    <n v="-23866"/>
  </r>
  <r>
    <n v="1554"/>
    <d v="2023-03-06T17:00:00"/>
    <x v="2"/>
    <n v="10"/>
    <x v="0"/>
    <s v="TVS"/>
    <x v="0"/>
    <x v="0"/>
    <n v="21214"/>
    <n v="2"/>
    <n v="97644"/>
    <n v="113863"/>
    <n v="10"/>
    <s v="No"/>
    <x v="0"/>
    <n v="-16219"/>
  </r>
  <r>
    <n v="1555"/>
    <d v="2023-03-06T18:00:00"/>
    <x v="2"/>
    <n v="10"/>
    <x v="0"/>
    <s v="Honda"/>
    <x v="0"/>
    <x v="0"/>
    <n v="36377"/>
    <n v="6"/>
    <n v="138294"/>
    <n v="137134"/>
    <n v="2"/>
    <s v="Yes"/>
    <x v="0"/>
    <n v="1160"/>
  </r>
  <r>
    <n v="1556"/>
    <d v="2023-03-06T19:00:00"/>
    <x v="2"/>
    <n v="10"/>
    <x v="0"/>
    <s v="Yamaha"/>
    <x v="0"/>
    <x v="2"/>
    <n v="84606"/>
    <n v="8"/>
    <n v="42829"/>
    <n v="115037"/>
    <n v="9"/>
    <s v="No"/>
    <x v="0"/>
    <n v="-72208"/>
  </r>
  <r>
    <n v="1557"/>
    <d v="2023-03-06T20:00:00"/>
    <x v="2"/>
    <n v="10"/>
    <x v="0"/>
    <s v="TVS"/>
    <x v="1"/>
    <x v="1"/>
    <n v="78518"/>
    <n v="1"/>
    <n v="30837"/>
    <n v="89397"/>
    <n v="13"/>
    <s v="No"/>
    <x v="0"/>
    <n v="-58560"/>
  </r>
  <r>
    <n v="1558"/>
    <d v="2023-03-06T21:00:00"/>
    <x v="2"/>
    <n v="10"/>
    <x v="0"/>
    <s v="TVS"/>
    <x v="0"/>
    <x v="2"/>
    <n v="59636"/>
    <n v="6"/>
    <n v="171104"/>
    <n v="100814"/>
    <n v="1"/>
    <s v="Yes"/>
    <x v="0"/>
    <n v="70290"/>
  </r>
  <r>
    <n v="1559"/>
    <d v="2023-03-06T22:00:00"/>
    <x v="2"/>
    <n v="10"/>
    <x v="0"/>
    <s v="Honda"/>
    <x v="0"/>
    <x v="3"/>
    <n v="33914"/>
    <n v="0"/>
    <n v="124770"/>
    <n v="82078"/>
    <n v="5"/>
    <s v="Yes"/>
    <x v="0"/>
    <n v="42692"/>
  </r>
  <r>
    <n v="1560"/>
    <d v="2023-03-06T23:00:00"/>
    <x v="2"/>
    <n v="10"/>
    <x v="0"/>
    <s v="Hero"/>
    <x v="0"/>
    <x v="0"/>
    <n v="87076"/>
    <n v="1"/>
    <n v="51352"/>
    <n v="122767"/>
    <n v="5"/>
    <s v="Yes"/>
    <x v="0"/>
    <n v="-71415"/>
  </r>
  <r>
    <n v="1561"/>
    <d v="2023-03-07T00:00:00"/>
    <x v="2"/>
    <n v="10"/>
    <x v="0"/>
    <s v="Bajaj"/>
    <x v="0"/>
    <x v="0"/>
    <n v="79443"/>
    <n v="5"/>
    <n v="55215"/>
    <n v="82951"/>
    <n v="8"/>
    <s v="No"/>
    <x v="0"/>
    <n v="-27736"/>
  </r>
  <r>
    <n v="1562"/>
    <d v="2023-03-07T01:00:00"/>
    <x v="2"/>
    <n v="10"/>
    <x v="0"/>
    <s v="Hero"/>
    <x v="0"/>
    <x v="2"/>
    <n v="45968"/>
    <n v="4"/>
    <n v="66247"/>
    <n v="124287"/>
    <n v="6"/>
    <s v="Yes"/>
    <x v="0"/>
    <n v="-58040"/>
  </r>
  <r>
    <n v="1563"/>
    <d v="2023-03-07T02:00:00"/>
    <x v="2"/>
    <n v="10"/>
    <x v="0"/>
    <s v="Yamaha"/>
    <x v="0"/>
    <x v="2"/>
    <n v="99341"/>
    <n v="7"/>
    <n v="154692"/>
    <n v="27905"/>
    <n v="6"/>
    <s v="Yes"/>
    <x v="0"/>
    <n v="126787"/>
  </r>
  <r>
    <n v="1564"/>
    <d v="2023-03-07T03:00:00"/>
    <x v="2"/>
    <n v="10"/>
    <x v="0"/>
    <s v="TVS"/>
    <x v="0"/>
    <x v="1"/>
    <n v="80202"/>
    <n v="1"/>
    <n v="91714"/>
    <n v="135778"/>
    <n v="6"/>
    <s v="Yes"/>
    <x v="0"/>
    <n v="-44064"/>
  </r>
  <r>
    <n v="1565"/>
    <d v="2023-03-07T04:00:00"/>
    <x v="2"/>
    <n v="10"/>
    <x v="0"/>
    <s v="Honda"/>
    <x v="0"/>
    <x v="1"/>
    <n v="72608"/>
    <n v="0"/>
    <n v="60319"/>
    <n v="36601"/>
    <n v="4"/>
    <s v="Yes"/>
    <x v="0"/>
    <n v="23718"/>
  </r>
  <r>
    <n v="1566"/>
    <d v="2023-03-07T05:00:00"/>
    <x v="2"/>
    <n v="10"/>
    <x v="0"/>
    <s v="Honda"/>
    <x v="0"/>
    <x v="3"/>
    <n v="99038"/>
    <n v="6"/>
    <n v="144058"/>
    <n v="118691"/>
    <n v="1"/>
    <s v="Yes"/>
    <x v="0"/>
    <n v="25367"/>
  </r>
  <r>
    <n v="1567"/>
    <d v="2023-03-07T06:00:00"/>
    <x v="2"/>
    <n v="10"/>
    <x v="0"/>
    <s v="Bajaj"/>
    <x v="0"/>
    <x v="2"/>
    <n v="93008"/>
    <n v="5"/>
    <n v="41025"/>
    <n v="102099"/>
    <n v="3"/>
    <s v="Yes"/>
    <x v="0"/>
    <n v="-61074"/>
  </r>
  <r>
    <n v="1568"/>
    <d v="2023-03-07T07:00:00"/>
    <x v="2"/>
    <n v="10"/>
    <x v="0"/>
    <s v="Hero"/>
    <x v="1"/>
    <x v="2"/>
    <n v="47335"/>
    <n v="7"/>
    <n v="34780"/>
    <n v="55955"/>
    <n v="13"/>
    <s v="No"/>
    <x v="0"/>
    <n v="-21175"/>
  </r>
  <r>
    <n v="1569"/>
    <d v="2023-03-07T08:00:00"/>
    <x v="2"/>
    <n v="10"/>
    <x v="0"/>
    <s v="Bajaj"/>
    <x v="0"/>
    <x v="2"/>
    <n v="63833"/>
    <n v="7"/>
    <n v="47706"/>
    <n v="87179"/>
    <n v="13"/>
    <s v="No"/>
    <x v="0"/>
    <n v="-39473"/>
  </r>
  <r>
    <n v="1570"/>
    <d v="2023-03-07T09:00:00"/>
    <x v="2"/>
    <n v="10"/>
    <x v="0"/>
    <s v="TVS"/>
    <x v="0"/>
    <x v="0"/>
    <n v="42964"/>
    <n v="1"/>
    <n v="100503"/>
    <n v="63435"/>
    <n v="10"/>
    <s v="No"/>
    <x v="0"/>
    <n v="37068"/>
  </r>
  <r>
    <n v="1571"/>
    <d v="2023-03-07T10:00:00"/>
    <x v="2"/>
    <n v="10"/>
    <x v="0"/>
    <s v="Bajaj"/>
    <x v="0"/>
    <x v="3"/>
    <n v="23423"/>
    <n v="7"/>
    <n v="128166"/>
    <n v="39044"/>
    <n v="12"/>
    <s v="No"/>
    <x v="0"/>
    <n v="89122"/>
  </r>
  <r>
    <n v="1572"/>
    <d v="2023-03-07T11:00:00"/>
    <x v="2"/>
    <n v="10"/>
    <x v="0"/>
    <s v="Honda"/>
    <x v="0"/>
    <x v="1"/>
    <n v="62355"/>
    <n v="5"/>
    <n v="34179"/>
    <n v="26246"/>
    <n v="11"/>
    <s v="No"/>
    <x v="1"/>
    <n v="7933"/>
  </r>
  <r>
    <n v="1573"/>
    <d v="2023-03-07T12:00:00"/>
    <x v="2"/>
    <n v="10"/>
    <x v="0"/>
    <s v="Honda"/>
    <x v="0"/>
    <x v="0"/>
    <n v="67945"/>
    <n v="8"/>
    <n v="173659"/>
    <n v="17458"/>
    <n v="6"/>
    <s v="Yes"/>
    <x v="0"/>
    <n v="156201"/>
  </r>
  <r>
    <n v="1574"/>
    <d v="2023-03-07T13:00:00"/>
    <x v="2"/>
    <n v="10"/>
    <x v="0"/>
    <s v="Yamaha"/>
    <x v="0"/>
    <x v="0"/>
    <n v="98884"/>
    <n v="6"/>
    <n v="179805"/>
    <n v="73507"/>
    <n v="5"/>
    <s v="Yes"/>
    <x v="0"/>
    <n v="106298"/>
  </r>
  <r>
    <n v="1575"/>
    <d v="2023-03-07T14:00:00"/>
    <x v="2"/>
    <n v="10"/>
    <x v="0"/>
    <s v="Yamaha"/>
    <x v="0"/>
    <x v="0"/>
    <n v="68119"/>
    <n v="1"/>
    <n v="124423"/>
    <n v="21028"/>
    <n v="10"/>
    <s v="No"/>
    <x v="0"/>
    <n v="103395"/>
  </r>
  <r>
    <n v="1576"/>
    <d v="2023-03-07T15:00:00"/>
    <x v="2"/>
    <n v="10"/>
    <x v="0"/>
    <s v="TVS"/>
    <x v="0"/>
    <x v="0"/>
    <n v="46646"/>
    <n v="7"/>
    <n v="148076"/>
    <n v="118751"/>
    <n v="1"/>
    <s v="Yes"/>
    <x v="0"/>
    <n v="29325"/>
  </r>
  <r>
    <n v="1577"/>
    <d v="2023-03-07T16:00:00"/>
    <x v="2"/>
    <n v="10"/>
    <x v="0"/>
    <s v="Hero"/>
    <x v="0"/>
    <x v="3"/>
    <n v="60532"/>
    <n v="8"/>
    <n v="160047"/>
    <n v="134247"/>
    <n v="5"/>
    <s v="Yes"/>
    <x v="0"/>
    <n v="25800"/>
  </r>
  <r>
    <n v="1578"/>
    <d v="2023-03-07T17:00:00"/>
    <x v="2"/>
    <n v="10"/>
    <x v="0"/>
    <s v="Bajaj"/>
    <x v="0"/>
    <x v="2"/>
    <n v="17640"/>
    <n v="6"/>
    <n v="100138"/>
    <n v="66901"/>
    <n v="2"/>
    <s v="Yes"/>
    <x v="0"/>
    <n v="33237"/>
  </r>
  <r>
    <n v="1579"/>
    <d v="2023-03-07T18:00:00"/>
    <x v="2"/>
    <n v="10"/>
    <x v="0"/>
    <s v="TVS"/>
    <x v="1"/>
    <x v="1"/>
    <n v="3170"/>
    <n v="3"/>
    <n v="111706"/>
    <n v="115252"/>
    <n v="1"/>
    <s v="Yes"/>
    <x v="0"/>
    <n v="-3546"/>
  </r>
  <r>
    <n v="1580"/>
    <d v="2023-03-07T19:00:00"/>
    <x v="2"/>
    <n v="10"/>
    <x v="0"/>
    <s v="Yamaha"/>
    <x v="0"/>
    <x v="1"/>
    <n v="37019"/>
    <n v="8"/>
    <n v="141905"/>
    <n v="21306"/>
    <n v="4"/>
    <s v="Yes"/>
    <x v="0"/>
    <n v="120599"/>
  </r>
  <r>
    <n v="1581"/>
    <d v="2023-03-07T20:00:00"/>
    <x v="2"/>
    <n v="10"/>
    <x v="0"/>
    <s v="Bajaj"/>
    <x v="0"/>
    <x v="0"/>
    <n v="45012"/>
    <n v="3"/>
    <n v="53830"/>
    <n v="121555"/>
    <n v="6"/>
    <s v="Yes"/>
    <x v="0"/>
    <n v="-67725"/>
  </r>
  <r>
    <n v="1582"/>
    <d v="2023-03-07T21:00:00"/>
    <x v="2"/>
    <n v="10"/>
    <x v="0"/>
    <s v="Yamaha"/>
    <x v="1"/>
    <x v="0"/>
    <n v="58311"/>
    <n v="3"/>
    <n v="135076"/>
    <n v="121396"/>
    <n v="7"/>
    <s v="Yes"/>
    <x v="0"/>
    <n v="13680"/>
  </r>
  <r>
    <n v="1583"/>
    <d v="2023-03-07T22:00:00"/>
    <x v="2"/>
    <n v="10"/>
    <x v="0"/>
    <s v="Bajaj"/>
    <x v="1"/>
    <x v="3"/>
    <n v="15191"/>
    <n v="8"/>
    <n v="55609"/>
    <n v="42678"/>
    <n v="9"/>
    <s v="No"/>
    <x v="0"/>
    <n v="12931"/>
  </r>
  <r>
    <n v="1584"/>
    <d v="2023-03-07T23:00:00"/>
    <x v="2"/>
    <n v="10"/>
    <x v="0"/>
    <s v="Hero"/>
    <x v="0"/>
    <x v="0"/>
    <n v="34762"/>
    <n v="7"/>
    <n v="42401"/>
    <n v="105444"/>
    <n v="5"/>
    <s v="Yes"/>
    <x v="0"/>
    <n v="-63043"/>
  </r>
  <r>
    <n v="1585"/>
    <d v="2023-03-08T00:00:00"/>
    <x v="2"/>
    <n v="10"/>
    <x v="0"/>
    <s v="TVS"/>
    <x v="0"/>
    <x v="1"/>
    <n v="55392"/>
    <n v="3"/>
    <n v="128480"/>
    <n v="27363"/>
    <n v="8"/>
    <s v="No"/>
    <x v="0"/>
    <n v="101117"/>
  </r>
  <r>
    <n v="1586"/>
    <d v="2023-03-08T01:00:00"/>
    <x v="2"/>
    <n v="10"/>
    <x v="0"/>
    <s v="Bajaj"/>
    <x v="0"/>
    <x v="1"/>
    <n v="26095"/>
    <n v="7"/>
    <n v="143278"/>
    <n v="29066"/>
    <n v="8"/>
    <s v="No"/>
    <x v="0"/>
    <n v="114212"/>
  </r>
  <r>
    <n v="1587"/>
    <d v="2023-03-08T02:00:00"/>
    <x v="2"/>
    <n v="10"/>
    <x v="0"/>
    <s v="Honda"/>
    <x v="0"/>
    <x v="2"/>
    <n v="57707"/>
    <n v="7"/>
    <n v="82391"/>
    <n v="78804"/>
    <n v="11"/>
    <s v="No"/>
    <x v="0"/>
    <n v="3587"/>
  </r>
  <r>
    <n v="1588"/>
    <d v="2023-03-08T03:00:00"/>
    <x v="2"/>
    <n v="10"/>
    <x v="0"/>
    <s v="Honda"/>
    <x v="0"/>
    <x v="2"/>
    <n v="33940"/>
    <n v="6"/>
    <n v="151543"/>
    <n v="129433"/>
    <n v="9"/>
    <s v="No"/>
    <x v="0"/>
    <n v="22110"/>
  </r>
  <r>
    <n v="1589"/>
    <d v="2023-03-08T04:00:00"/>
    <x v="2"/>
    <n v="10"/>
    <x v="0"/>
    <s v="Bajaj"/>
    <x v="0"/>
    <x v="1"/>
    <n v="9130"/>
    <n v="9"/>
    <n v="153886"/>
    <n v="63544"/>
    <n v="3"/>
    <s v="Yes"/>
    <x v="0"/>
    <n v="90342"/>
  </r>
  <r>
    <n v="1590"/>
    <d v="2023-03-08T05:00:00"/>
    <x v="2"/>
    <n v="10"/>
    <x v="0"/>
    <s v="Bajaj"/>
    <x v="0"/>
    <x v="1"/>
    <n v="31750"/>
    <n v="5"/>
    <n v="119583"/>
    <n v="113247"/>
    <n v="3"/>
    <s v="Yes"/>
    <x v="0"/>
    <n v="6336"/>
  </r>
  <r>
    <n v="1591"/>
    <d v="2023-03-08T06:00:00"/>
    <x v="2"/>
    <n v="10"/>
    <x v="0"/>
    <s v="Bajaj"/>
    <x v="0"/>
    <x v="3"/>
    <n v="94834"/>
    <n v="7"/>
    <n v="162719"/>
    <n v="15189"/>
    <n v="9"/>
    <s v="No"/>
    <x v="0"/>
    <n v="147530"/>
  </r>
  <r>
    <n v="1592"/>
    <d v="2023-03-08T07:00:00"/>
    <x v="2"/>
    <n v="10"/>
    <x v="0"/>
    <s v="Honda"/>
    <x v="0"/>
    <x v="3"/>
    <n v="99248"/>
    <n v="6"/>
    <n v="177178"/>
    <n v="26752"/>
    <n v="7"/>
    <s v="Yes"/>
    <x v="0"/>
    <n v="150426"/>
  </r>
  <r>
    <n v="1593"/>
    <d v="2023-03-08T08:00:00"/>
    <x v="2"/>
    <n v="10"/>
    <x v="0"/>
    <s v="Honda"/>
    <x v="0"/>
    <x v="1"/>
    <n v="78018"/>
    <n v="4"/>
    <n v="31015"/>
    <n v="135696"/>
    <n v="4"/>
    <s v="Yes"/>
    <x v="0"/>
    <n v="-104681"/>
  </r>
  <r>
    <n v="1594"/>
    <d v="2023-03-08T09:00:00"/>
    <x v="2"/>
    <n v="10"/>
    <x v="0"/>
    <s v="Bajaj"/>
    <x v="0"/>
    <x v="0"/>
    <n v="74691"/>
    <n v="3"/>
    <n v="46506"/>
    <n v="22482"/>
    <n v="1"/>
    <s v="Yes"/>
    <x v="0"/>
    <n v="24024"/>
  </r>
  <r>
    <n v="1595"/>
    <d v="2023-03-08T10:00:00"/>
    <x v="2"/>
    <n v="10"/>
    <x v="0"/>
    <s v="Yamaha"/>
    <x v="0"/>
    <x v="2"/>
    <n v="65291"/>
    <n v="1"/>
    <n v="49067"/>
    <n v="31679"/>
    <n v="7"/>
    <s v="Yes"/>
    <x v="0"/>
    <n v="17388"/>
  </r>
  <r>
    <n v="1596"/>
    <d v="2023-03-08T11:00:00"/>
    <x v="2"/>
    <n v="10"/>
    <x v="0"/>
    <s v="Yamaha"/>
    <x v="0"/>
    <x v="1"/>
    <n v="84618"/>
    <n v="7"/>
    <n v="155819"/>
    <n v="138056"/>
    <n v="10"/>
    <s v="No"/>
    <x v="0"/>
    <n v="17763"/>
  </r>
  <r>
    <n v="1597"/>
    <d v="2023-03-08T12:00:00"/>
    <x v="2"/>
    <n v="10"/>
    <x v="0"/>
    <s v="Hero"/>
    <x v="1"/>
    <x v="0"/>
    <n v="64253"/>
    <n v="8"/>
    <n v="27056"/>
    <n v="105088"/>
    <n v="6"/>
    <s v="Yes"/>
    <x v="0"/>
    <n v="-78032"/>
  </r>
  <r>
    <n v="1598"/>
    <d v="2023-03-08T13:00:00"/>
    <x v="2"/>
    <n v="10"/>
    <x v="0"/>
    <s v="TVS"/>
    <x v="0"/>
    <x v="1"/>
    <n v="61020"/>
    <n v="3"/>
    <n v="54328"/>
    <n v="15799"/>
    <n v="3"/>
    <s v="Yes"/>
    <x v="0"/>
    <n v="38529"/>
  </r>
  <r>
    <n v="1599"/>
    <d v="2023-03-08T14:00:00"/>
    <x v="2"/>
    <n v="10"/>
    <x v="0"/>
    <s v="Yamaha"/>
    <x v="0"/>
    <x v="2"/>
    <n v="4508"/>
    <n v="3"/>
    <n v="102712"/>
    <n v="105917"/>
    <n v="14"/>
    <s v="No"/>
    <x v="0"/>
    <n v="-3205"/>
  </r>
  <r>
    <n v="1600"/>
    <d v="2023-03-08T15:00:00"/>
    <x v="2"/>
    <n v="10"/>
    <x v="0"/>
    <s v="Honda"/>
    <x v="0"/>
    <x v="2"/>
    <n v="44964"/>
    <n v="4"/>
    <n v="77832"/>
    <n v="136691"/>
    <n v="5"/>
    <s v="Yes"/>
    <x v="0"/>
    <n v="-58859"/>
  </r>
  <r>
    <n v="1601"/>
    <d v="2023-03-08T16:00:00"/>
    <x v="2"/>
    <n v="10"/>
    <x v="0"/>
    <s v="Yamaha"/>
    <x v="0"/>
    <x v="3"/>
    <n v="996"/>
    <n v="1"/>
    <n v="67771"/>
    <n v="24934"/>
    <n v="3"/>
    <s v="Yes"/>
    <x v="0"/>
    <n v="42837"/>
  </r>
  <r>
    <n v="1602"/>
    <d v="2023-03-08T17:00:00"/>
    <x v="2"/>
    <n v="10"/>
    <x v="0"/>
    <s v="Hero"/>
    <x v="1"/>
    <x v="3"/>
    <n v="23712"/>
    <n v="6"/>
    <n v="122421"/>
    <n v="72558"/>
    <n v="8"/>
    <s v="No"/>
    <x v="0"/>
    <n v="49863"/>
  </r>
  <r>
    <n v="1603"/>
    <d v="2023-03-08T18:00:00"/>
    <x v="2"/>
    <n v="10"/>
    <x v="0"/>
    <s v="Hero"/>
    <x v="0"/>
    <x v="3"/>
    <n v="21137"/>
    <n v="4"/>
    <n v="89538"/>
    <n v="74223"/>
    <n v="5"/>
    <s v="Yes"/>
    <x v="0"/>
    <n v="15315"/>
  </r>
  <r>
    <n v="1604"/>
    <d v="2023-03-08T19:00:00"/>
    <x v="2"/>
    <n v="10"/>
    <x v="0"/>
    <s v="TVS"/>
    <x v="0"/>
    <x v="3"/>
    <n v="45727"/>
    <n v="5"/>
    <n v="65151"/>
    <n v="99620"/>
    <n v="10"/>
    <s v="No"/>
    <x v="0"/>
    <n v="-34469"/>
  </r>
  <r>
    <n v="1605"/>
    <d v="2023-03-08T20:00:00"/>
    <x v="2"/>
    <n v="10"/>
    <x v="0"/>
    <s v="Yamaha"/>
    <x v="0"/>
    <x v="2"/>
    <n v="82913"/>
    <n v="3"/>
    <n v="157701"/>
    <n v="56556"/>
    <n v="10"/>
    <s v="No"/>
    <x v="0"/>
    <n v="101145"/>
  </r>
  <r>
    <n v="1606"/>
    <d v="2023-03-08T21:00:00"/>
    <x v="2"/>
    <n v="10"/>
    <x v="0"/>
    <s v="Honda"/>
    <x v="0"/>
    <x v="0"/>
    <n v="83846"/>
    <n v="7"/>
    <n v="108463"/>
    <n v="24909"/>
    <n v="6"/>
    <s v="Yes"/>
    <x v="0"/>
    <n v="83554"/>
  </r>
  <r>
    <n v="1607"/>
    <d v="2023-03-08T22:00:00"/>
    <x v="2"/>
    <n v="10"/>
    <x v="0"/>
    <s v="Honda"/>
    <x v="0"/>
    <x v="0"/>
    <n v="10384"/>
    <n v="7"/>
    <n v="121853"/>
    <n v="106467"/>
    <n v="2"/>
    <s v="Yes"/>
    <x v="0"/>
    <n v="15386"/>
  </r>
  <r>
    <n v="1608"/>
    <d v="2023-03-08T23:00:00"/>
    <x v="2"/>
    <n v="10"/>
    <x v="0"/>
    <s v="Bajaj"/>
    <x v="0"/>
    <x v="0"/>
    <n v="68759"/>
    <n v="4"/>
    <n v="114432"/>
    <n v="125719"/>
    <n v="8"/>
    <s v="No"/>
    <x v="0"/>
    <n v="-11287"/>
  </r>
  <r>
    <n v="1609"/>
    <d v="2023-03-09T00:00:00"/>
    <x v="2"/>
    <n v="10"/>
    <x v="0"/>
    <s v="Honda"/>
    <x v="0"/>
    <x v="1"/>
    <n v="50310"/>
    <n v="5"/>
    <n v="53155"/>
    <n v="106404"/>
    <n v="9"/>
    <s v="No"/>
    <x v="1"/>
    <n v="-53249"/>
  </r>
  <r>
    <n v="1610"/>
    <d v="2023-03-09T01:00:00"/>
    <x v="2"/>
    <n v="10"/>
    <x v="0"/>
    <s v="TVS"/>
    <x v="0"/>
    <x v="3"/>
    <n v="5261"/>
    <n v="2"/>
    <n v="174360"/>
    <n v="58558"/>
    <n v="3"/>
    <s v="Yes"/>
    <x v="0"/>
    <n v="115802"/>
  </r>
  <r>
    <n v="1611"/>
    <d v="2023-03-09T02:00:00"/>
    <x v="2"/>
    <n v="10"/>
    <x v="0"/>
    <s v="TVS"/>
    <x v="0"/>
    <x v="3"/>
    <n v="73666"/>
    <n v="0"/>
    <n v="75588"/>
    <n v="94382"/>
    <n v="13"/>
    <s v="No"/>
    <x v="1"/>
    <n v="-18794"/>
  </r>
  <r>
    <n v="1612"/>
    <d v="2023-03-09T03:00:00"/>
    <x v="2"/>
    <n v="10"/>
    <x v="0"/>
    <s v="Honda"/>
    <x v="1"/>
    <x v="2"/>
    <n v="16875"/>
    <n v="8"/>
    <n v="36251"/>
    <n v="102793"/>
    <n v="6"/>
    <s v="Yes"/>
    <x v="0"/>
    <n v="-66542"/>
  </r>
  <r>
    <n v="1613"/>
    <d v="2023-03-09T04:00:00"/>
    <x v="2"/>
    <n v="10"/>
    <x v="0"/>
    <s v="Honda"/>
    <x v="0"/>
    <x v="2"/>
    <n v="25718"/>
    <n v="8"/>
    <n v="127420"/>
    <n v="43013"/>
    <n v="6"/>
    <s v="Yes"/>
    <x v="1"/>
    <n v="84407"/>
  </r>
  <r>
    <n v="1614"/>
    <d v="2023-03-09T05:00:00"/>
    <x v="2"/>
    <n v="10"/>
    <x v="0"/>
    <s v="Bajaj"/>
    <x v="0"/>
    <x v="1"/>
    <n v="31065"/>
    <n v="2"/>
    <n v="34623"/>
    <n v="118018"/>
    <n v="2"/>
    <s v="Yes"/>
    <x v="0"/>
    <n v="-83395"/>
  </r>
  <r>
    <n v="1615"/>
    <d v="2023-03-09T06:00:00"/>
    <x v="2"/>
    <n v="10"/>
    <x v="0"/>
    <s v="Honda"/>
    <x v="0"/>
    <x v="1"/>
    <n v="33475"/>
    <n v="3"/>
    <n v="79715"/>
    <n v="37875"/>
    <n v="10"/>
    <s v="No"/>
    <x v="0"/>
    <n v="41840"/>
  </r>
  <r>
    <n v="1616"/>
    <d v="2023-03-09T07:00:00"/>
    <x v="2"/>
    <n v="10"/>
    <x v="0"/>
    <s v="Bajaj"/>
    <x v="1"/>
    <x v="0"/>
    <n v="27573"/>
    <n v="6"/>
    <n v="31123"/>
    <n v="105253"/>
    <n v="8"/>
    <s v="No"/>
    <x v="0"/>
    <n v="-74130"/>
  </r>
  <r>
    <n v="1617"/>
    <d v="2023-03-09T08:00:00"/>
    <x v="2"/>
    <n v="10"/>
    <x v="0"/>
    <s v="Bajaj"/>
    <x v="0"/>
    <x v="2"/>
    <n v="70226"/>
    <n v="1"/>
    <n v="28061"/>
    <n v="26408"/>
    <n v="5"/>
    <s v="Yes"/>
    <x v="1"/>
    <n v="1653"/>
  </r>
  <r>
    <n v="1618"/>
    <d v="2023-03-09T09:00:00"/>
    <x v="2"/>
    <n v="10"/>
    <x v="0"/>
    <s v="Honda"/>
    <x v="0"/>
    <x v="3"/>
    <n v="2383"/>
    <n v="2"/>
    <n v="131393"/>
    <n v="50607"/>
    <n v="11"/>
    <s v="No"/>
    <x v="0"/>
    <n v="80786"/>
  </r>
  <r>
    <n v="1619"/>
    <d v="2023-03-09T10:00:00"/>
    <x v="2"/>
    <n v="10"/>
    <x v="0"/>
    <s v="Hero"/>
    <x v="0"/>
    <x v="0"/>
    <n v="68922"/>
    <n v="5"/>
    <n v="127035"/>
    <n v="76684"/>
    <n v="11"/>
    <s v="No"/>
    <x v="0"/>
    <n v="50351"/>
  </r>
  <r>
    <n v="1620"/>
    <d v="2023-03-09T11:00:00"/>
    <x v="2"/>
    <n v="10"/>
    <x v="0"/>
    <s v="Hero"/>
    <x v="0"/>
    <x v="3"/>
    <n v="50129"/>
    <n v="7"/>
    <n v="64095"/>
    <n v="51281"/>
    <n v="8"/>
    <s v="No"/>
    <x v="0"/>
    <n v="12814"/>
  </r>
  <r>
    <n v="1621"/>
    <d v="2023-03-09T12:00:00"/>
    <x v="2"/>
    <n v="10"/>
    <x v="0"/>
    <s v="Bajaj"/>
    <x v="0"/>
    <x v="0"/>
    <n v="64670"/>
    <n v="0"/>
    <n v="106897"/>
    <n v="42326"/>
    <n v="14"/>
    <s v="No"/>
    <x v="0"/>
    <n v="64571"/>
  </r>
  <r>
    <n v="1622"/>
    <d v="2023-03-09T13:00:00"/>
    <x v="2"/>
    <n v="10"/>
    <x v="0"/>
    <s v="Honda"/>
    <x v="0"/>
    <x v="3"/>
    <n v="74989"/>
    <n v="3"/>
    <n v="106443"/>
    <n v="28601"/>
    <n v="13"/>
    <s v="No"/>
    <x v="0"/>
    <n v="77842"/>
  </r>
  <r>
    <n v="1623"/>
    <d v="2023-03-09T14:00:00"/>
    <x v="2"/>
    <n v="10"/>
    <x v="0"/>
    <s v="Hero"/>
    <x v="0"/>
    <x v="1"/>
    <n v="8881"/>
    <n v="0"/>
    <n v="143005"/>
    <n v="139594"/>
    <n v="14"/>
    <s v="No"/>
    <x v="0"/>
    <n v="3411"/>
  </r>
  <r>
    <n v="1624"/>
    <d v="2023-03-09T15:00:00"/>
    <x v="2"/>
    <n v="10"/>
    <x v="0"/>
    <s v="Honda"/>
    <x v="0"/>
    <x v="0"/>
    <n v="23738"/>
    <n v="1"/>
    <n v="59814"/>
    <n v="16135"/>
    <n v="8"/>
    <s v="No"/>
    <x v="0"/>
    <n v="43679"/>
  </r>
  <r>
    <n v="1625"/>
    <d v="2023-03-09T16:00:00"/>
    <x v="2"/>
    <n v="10"/>
    <x v="0"/>
    <s v="Honda"/>
    <x v="0"/>
    <x v="3"/>
    <n v="14295"/>
    <n v="7"/>
    <n v="110141"/>
    <n v="37741"/>
    <n v="12"/>
    <s v="No"/>
    <x v="0"/>
    <n v="72400"/>
  </r>
  <r>
    <n v="1626"/>
    <d v="2023-03-09T17:00:00"/>
    <x v="2"/>
    <n v="10"/>
    <x v="0"/>
    <s v="Honda"/>
    <x v="0"/>
    <x v="3"/>
    <n v="96464"/>
    <n v="5"/>
    <n v="165517"/>
    <n v="26913"/>
    <n v="3"/>
    <s v="Yes"/>
    <x v="0"/>
    <n v="138604"/>
  </r>
  <r>
    <n v="1627"/>
    <d v="2023-03-09T18:00:00"/>
    <x v="2"/>
    <n v="10"/>
    <x v="0"/>
    <s v="Yamaha"/>
    <x v="0"/>
    <x v="2"/>
    <n v="63499"/>
    <n v="8"/>
    <n v="54767"/>
    <n v="25101"/>
    <n v="5"/>
    <s v="Yes"/>
    <x v="0"/>
    <n v="29666"/>
  </r>
  <r>
    <n v="1628"/>
    <d v="2023-03-09T19:00:00"/>
    <x v="2"/>
    <n v="10"/>
    <x v="0"/>
    <s v="Honda"/>
    <x v="0"/>
    <x v="0"/>
    <n v="50407"/>
    <n v="1"/>
    <n v="71057"/>
    <n v="33631"/>
    <n v="7"/>
    <s v="Yes"/>
    <x v="0"/>
    <n v="37426"/>
  </r>
  <r>
    <n v="1629"/>
    <d v="2023-03-09T20:00:00"/>
    <x v="2"/>
    <n v="10"/>
    <x v="0"/>
    <s v="Yamaha"/>
    <x v="0"/>
    <x v="3"/>
    <n v="10138"/>
    <n v="2"/>
    <n v="111755"/>
    <n v="87084"/>
    <n v="5"/>
    <s v="Yes"/>
    <x v="0"/>
    <n v="24671"/>
  </r>
  <r>
    <n v="1630"/>
    <d v="2023-03-09T21:00:00"/>
    <x v="2"/>
    <n v="10"/>
    <x v="0"/>
    <s v="Bajaj"/>
    <x v="0"/>
    <x v="2"/>
    <n v="70967"/>
    <n v="8"/>
    <n v="52946"/>
    <n v="117820"/>
    <n v="6"/>
    <s v="Yes"/>
    <x v="0"/>
    <n v="-64874"/>
  </r>
  <r>
    <n v="1631"/>
    <d v="2023-03-09T22:00:00"/>
    <x v="2"/>
    <n v="10"/>
    <x v="0"/>
    <s v="Hero"/>
    <x v="0"/>
    <x v="3"/>
    <n v="43123"/>
    <n v="8"/>
    <n v="28364"/>
    <n v="51870"/>
    <n v="2"/>
    <s v="Yes"/>
    <x v="0"/>
    <n v="-23506"/>
  </r>
  <r>
    <n v="1632"/>
    <d v="2023-03-09T23:00:00"/>
    <x v="2"/>
    <n v="10"/>
    <x v="0"/>
    <s v="Hero"/>
    <x v="0"/>
    <x v="0"/>
    <n v="38992"/>
    <n v="5"/>
    <n v="102015"/>
    <n v="63985"/>
    <n v="8"/>
    <s v="No"/>
    <x v="0"/>
    <n v="38030"/>
  </r>
  <r>
    <n v="1633"/>
    <d v="2023-03-10T00:00:00"/>
    <x v="2"/>
    <n v="10"/>
    <x v="0"/>
    <s v="Hero"/>
    <x v="0"/>
    <x v="1"/>
    <n v="26911"/>
    <n v="2"/>
    <n v="163470"/>
    <n v="131236"/>
    <n v="5"/>
    <s v="Yes"/>
    <x v="0"/>
    <n v="32234"/>
  </r>
  <r>
    <n v="1634"/>
    <d v="2023-03-10T01:00:00"/>
    <x v="2"/>
    <n v="10"/>
    <x v="0"/>
    <s v="Hero"/>
    <x v="0"/>
    <x v="0"/>
    <n v="21034"/>
    <n v="4"/>
    <n v="158524"/>
    <n v="42215"/>
    <n v="6"/>
    <s v="Yes"/>
    <x v="0"/>
    <n v="116309"/>
  </r>
  <r>
    <n v="1635"/>
    <d v="2023-03-10T02:00:00"/>
    <x v="2"/>
    <n v="10"/>
    <x v="0"/>
    <s v="Hero"/>
    <x v="0"/>
    <x v="0"/>
    <n v="29681"/>
    <n v="1"/>
    <n v="112208"/>
    <n v="77110"/>
    <n v="1"/>
    <s v="Yes"/>
    <x v="0"/>
    <n v="35098"/>
  </r>
  <r>
    <n v="1636"/>
    <d v="2023-03-10T03:00:00"/>
    <x v="2"/>
    <n v="10"/>
    <x v="0"/>
    <s v="Hero"/>
    <x v="0"/>
    <x v="3"/>
    <n v="20496"/>
    <n v="6"/>
    <n v="148208"/>
    <n v="136220"/>
    <n v="10"/>
    <s v="No"/>
    <x v="0"/>
    <n v="11988"/>
  </r>
  <r>
    <n v="1637"/>
    <d v="2023-03-10T04:00:00"/>
    <x v="2"/>
    <n v="10"/>
    <x v="0"/>
    <s v="Hero"/>
    <x v="0"/>
    <x v="3"/>
    <n v="72589"/>
    <n v="9"/>
    <n v="50345"/>
    <n v="117815"/>
    <n v="2"/>
    <s v="Yes"/>
    <x v="0"/>
    <n v="-67470"/>
  </r>
  <r>
    <n v="1638"/>
    <d v="2023-03-10T05:00:00"/>
    <x v="2"/>
    <n v="10"/>
    <x v="0"/>
    <s v="Bajaj"/>
    <x v="0"/>
    <x v="0"/>
    <n v="84109"/>
    <n v="7"/>
    <n v="110895"/>
    <n v="34215"/>
    <n v="11"/>
    <s v="No"/>
    <x v="0"/>
    <n v="76680"/>
  </r>
  <r>
    <n v="1639"/>
    <d v="2023-03-10T06:00:00"/>
    <x v="2"/>
    <n v="10"/>
    <x v="0"/>
    <s v="Honda"/>
    <x v="0"/>
    <x v="2"/>
    <n v="73166"/>
    <n v="5"/>
    <n v="179125"/>
    <n v="106118"/>
    <n v="4"/>
    <s v="Yes"/>
    <x v="0"/>
    <n v="73007"/>
  </r>
  <r>
    <n v="1640"/>
    <d v="2023-03-10T07:00:00"/>
    <x v="2"/>
    <n v="10"/>
    <x v="0"/>
    <s v="TVS"/>
    <x v="0"/>
    <x v="2"/>
    <n v="29905"/>
    <n v="7"/>
    <n v="154022"/>
    <n v="29024"/>
    <n v="11"/>
    <s v="No"/>
    <x v="0"/>
    <n v="124998"/>
  </r>
  <r>
    <n v="1641"/>
    <d v="2023-03-10T08:00:00"/>
    <x v="2"/>
    <n v="10"/>
    <x v="0"/>
    <s v="Yamaha"/>
    <x v="0"/>
    <x v="2"/>
    <n v="71825"/>
    <n v="1"/>
    <n v="161087"/>
    <n v="91949"/>
    <n v="9"/>
    <s v="No"/>
    <x v="1"/>
    <n v="69138"/>
  </r>
  <r>
    <n v="1642"/>
    <d v="2023-03-10T09:00:00"/>
    <x v="2"/>
    <n v="10"/>
    <x v="0"/>
    <s v="TVS"/>
    <x v="0"/>
    <x v="3"/>
    <n v="29430"/>
    <n v="2"/>
    <n v="164729"/>
    <n v="96855"/>
    <n v="6"/>
    <s v="Yes"/>
    <x v="1"/>
    <n v="67874"/>
  </r>
  <r>
    <n v="1643"/>
    <d v="2023-03-10T10:00:00"/>
    <x v="2"/>
    <n v="10"/>
    <x v="0"/>
    <s v="TVS"/>
    <x v="1"/>
    <x v="3"/>
    <n v="18029"/>
    <n v="6"/>
    <n v="76116"/>
    <n v="99982"/>
    <n v="8"/>
    <s v="No"/>
    <x v="0"/>
    <n v="-23866"/>
  </r>
  <r>
    <n v="1644"/>
    <d v="2023-03-10T11:00:00"/>
    <x v="2"/>
    <n v="10"/>
    <x v="0"/>
    <s v="Honda"/>
    <x v="1"/>
    <x v="0"/>
    <n v="54046"/>
    <n v="9"/>
    <n v="178023"/>
    <n v="60483"/>
    <n v="2"/>
    <s v="Yes"/>
    <x v="0"/>
    <n v="117540"/>
  </r>
  <r>
    <n v="1645"/>
    <d v="2023-03-10T12:00:00"/>
    <x v="2"/>
    <n v="10"/>
    <x v="0"/>
    <s v="Honda"/>
    <x v="0"/>
    <x v="1"/>
    <n v="8442"/>
    <n v="0"/>
    <n v="122599"/>
    <n v="121279"/>
    <n v="10"/>
    <s v="No"/>
    <x v="0"/>
    <n v="1320"/>
  </r>
  <r>
    <n v="1646"/>
    <d v="2023-03-10T13:00:00"/>
    <x v="2"/>
    <n v="10"/>
    <x v="0"/>
    <s v="Honda"/>
    <x v="0"/>
    <x v="3"/>
    <n v="8048"/>
    <n v="6"/>
    <n v="51521"/>
    <n v="132740"/>
    <n v="5"/>
    <s v="Yes"/>
    <x v="0"/>
    <n v="-81219"/>
  </r>
  <r>
    <n v="1647"/>
    <d v="2023-03-10T14:00:00"/>
    <x v="2"/>
    <n v="10"/>
    <x v="0"/>
    <s v="Hero"/>
    <x v="0"/>
    <x v="0"/>
    <n v="18796"/>
    <n v="5"/>
    <n v="79431"/>
    <n v="112572"/>
    <n v="12"/>
    <s v="No"/>
    <x v="0"/>
    <n v="-33141"/>
  </r>
  <r>
    <n v="1648"/>
    <d v="2023-03-10T15:00:00"/>
    <x v="2"/>
    <n v="10"/>
    <x v="0"/>
    <s v="Bajaj"/>
    <x v="0"/>
    <x v="0"/>
    <n v="51516"/>
    <n v="7"/>
    <n v="35731"/>
    <n v="93157"/>
    <n v="12"/>
    <s v="No"/>
    <x v="0"/>
    <n v="-57426"/>
  </r>
  <r>
    <n v="1649"/>
    <d v="2023-03-10T16:00:00"/>
    <x v="2"/>
    <n v="10"/>
    <x v="0"/>
    <s v="Hero"/>
    <x v="0"/>
    <x v="1"/>
    <n v="98280"/>
    <n v="6"/>
    <n v="174816"/>
    <n v="25511"/>
    <n v="13"/>
    <s v="No"/>
    <x v="0"/>
    <n v="149305"/>
  </r>
  <r>
    <n v="1650"/>
    <d v="2023-03-10T17:00:00"/>
    <x v="2"/>
    <n v="10"/>
    <x v="0"/>
    <s v="Bajaj"/>
    <x v="0"/>
    <x v="2"/>
    <n v="796"/>
    <n v="3"/>
    <n v="88094"/>
    <n v="136898"/>
    <n v="1"/>
    <s v="Yes"/>
    <x v="0"/>
    <n v="-48804"/>
  </r>
  <r>
    <n v="1651"/>
    <d v="2023-03-10T18:00:00"/>
    <x v="2"/>
    <n v="10"/>
    <x v="0"/>
    <s v="Bajaj"/>
    <x v="0"/>
    <x v="0"/>
    <n v="68445"/>
    <n v="2"/>
    <n v="43423"/>
    <n v="34923"/>
    <n v="4"/>
    <s v="Yes"/>
    <x v="0"/>
    <n v="8500"/>
  </r>
  <r>
    <n v="1652"/>
    <d v="2023-03-10T19:00:00"/>
    <x v="2"/>
    <n v="10"/>
    <x v="0"/>
    <s v="TVS"/>
    <x v="0"/>
    <x v="0"/>
    <n v="60480"/>
    <n v="2"/>
    <n v="139612"/>
    <n v="25558"/>
    <n v="10"/>
    <s v="No"/>
    <x v="0"/>
    <n v="114054"/>
  </r>
  <r>
    <n v="1653"/>
    <d v="2023-03-10T20:00:00"/>
    <x v="2"/>
    <n v="10"/>
    <x v="0"/>
    <s v="TVS"/>
    <x v="0"/>
    <x v="0"/>
    <n v="57282"/>
    <n v="3"/>
    <n v="173640"/>
    <n v="112771"/>
    <n v="1"/>
    <s v="Yes"/>
    <x v="0"/>
    <n v="60869"/>
  </r>
  <r>
    <n v="1654"/>
    <d v="2023-03-10T21:00:00"/>
    <x v="2"/>
    <n v="10"/>
    <x v="0"/>
    <s v="Bajaj"/>
    <x v="0"/>
    <x v="2"/>
    <n v="34729"/>
    <n v="8"/>
    <n v="28934"/>
    <n v="15526"/>
    <n v="11"/>
    <s v="No"/>
    <x v="0"/>
    <n v="13408"/>
  </r>
  <r>
    <n v="1655"/>
    <d v="2023-03-10T22:00:00"/>
    <x v="2"/>
    <n v="10"/>
    <x v="0"/>
    <s v="Bajaj"/>
    <x v="0"/>
    <x v="2"/>
    <n v="96882"/>
    <n v="8"/>
    <n v="101945"/>
    <n v="132495"/>
    <n v="11"/>
    <s v="No"/>
    <x v="0"/>
    <n v="-30550"/>
  </r>
  <r>
    <n v="1656"/>
    <d v="2023-03-10T23:00:00"/>
    <x v="2"/>
    <n v="10"/>
    <x v="0"/>
    <s v="Hero"/>
    <x v="0"/>
    <x v="1"/>
    <n v="53944"/>
    <n v="1"/>
    <n v="155443"/>
    <n v="139075"/>
    <n v="9"/>
    <s v="No"/>
    <x v="0"/>
    <n v="16368"/>
  </r>
  <r>
    <n v="1657"/>
    <d v="2023-03-11T00:00:00"/>
    <x v="2"/>
    <n v="10"/>
    <x v="0"/>
    <s v="Hero"/>
    <x v="0"/>
    <x v="3"/>
    <n v="35536"/>
    <n v="4"/>
    <n v="121946"/>
    <n v="16753"/>
    <n v="2"/>
    <s v="Yes"/>
    <x v="0"/>
    <n v="105193"/>
  </r>
  <r>
    <n v="1658"/>
    <d v="2023-03-11T01:00:00"/>
    <x v="2"/>
    <n v="10"/>
    <x v="0"/>
    <s v="TVS"/>
    <x v="0"/>
    <x v="2"/>
    <n v="39822"/>
    <n v="0"/>
    <n v="121344"/>
    <n v="41248"/>
    <n v="7"/>
    <s v="Yes"/>
    <x v="1"/>
    <n v="80096"/>
  </r>
  <r>
    <n v="1659"/>
    <d v="2023-03-11T02:00:00"/>
    <x v="2"/>
    <n v="10"/>
    <x v="0"/>
    <s v="Honda"/>
    <x v="0"/>
    <x v="3"/>
    <n v="27667"/>
    <n v="3"/>
    <n v="164244"/>
    <n v="29656"/>
    <n v="3"/>
    <s v="Yes"/>
    <x v="0"/>
    <n v="134588"/>
  </r>
  <r>
    <n v="1660"/>
    <d v="2023-03-11T03:00:00"/>
    <x v="2"/>
    <n v="10"/>
    <x v="0"/>
    <s v="Bajaj"/>
    <x v="1"/>
    <x v="3"/>
    <n v="52167"/>
    <n v="1"/>
    <n v="52358"/>
    <n v="38266"/>
    <n v="14"/>
    <s v="No"/>
    <x v="0"/>
    <n v="14092"/>
  </r>
  <r>
    <n v="1661"/>
    <d v="2023-03-11T04:00:00"/>
    <x v="2"/>
    <n v="10"/>
    <x v="0"/>
    <s v="Hero"/>
    <x v="0"/>
    <x v="2"/>
    <n v="95027"/>
    <n v="7"/>
    <n v="154774"/>
    <n v="79555"/>
    <n v="2"/>
    <s v="Yes"/>
    <x v="0"/>
    <n v="75219"/>
  </r>
  <r>
    <n v="1662"/>
    <d v="2023-03-11T05:00:00"/>
    <x v="2"/>
    <n v="10"/>
    <x v="0"/>
    <s v="TVS"/>
    <x v="1"/>
    <x v="0"/>
    <n v="83837"/>
    <n v="3"/>
    <n v="44763"/>
    <n v="77995"/>
    <n v="13"/>
    <s v="No"/>
    <x v="0"/>
    <n v="-33232"/>
  </r>
  <r>
    <n v="1663"/>
    <d v="2023-03-11T06:00:00"/>
    <x v="2"/>
    <n v="10"/>
    <x v="0"/>
    <s v="Hero"/>
    <x v="1"/>
    <x v="1"/>
    <n v="51968"/>
    <n v="4"/>
    <n v="110997"/>
    <n v="90756"/>
    <n v="4"/>
    <s v="Yes"/>
    <x v="1"/>
    <n v="20241"/>
  </r>
  <r>
    <n v="1664"/>
    <d v="2023-03-11T07:00:00"/>
    <x v="2"/>
    <n v="10"/>
    <x v="0"/>
    <s v="Bajaj"/>
    <x v="0"/>
    <x v="3"/>
    <n v="73394"/>
    <n v="3"/>
    <n v="92975"/>
    <n v="98574"/>
    <n v="7"/>
    <s v="Yes"/>
    <x v="0"/>
    <n v="-5599"/>
  </r>
  <r>
    <n v="1665"/>
    <d v="2023-03-11T08:00:00"/>
    <x v="2"/>
    <n v="10"/>
    <x v="0"/>
    <s v="Bajaj"/>
    <x v="0"/>
    <x v="0"/>
    <n v="53584"/>
    <n v="4"/>
    <n v="163876"/>
    <n v="93277"/>
    <n v="7"/>
    <s v="Yes"/>
    <x v="0"/>
    <n v="70599"/>
  </r>
  <r>
    <n v="1666"/>
    <d v="2023-03-11T09:00:00"/>
    <x v="2"/>
    <n v="10"/>
    <x v="0"/>
    <s v="Yamaha"/>
    <x v="0"/>
    <x v="2"/>
    <n v="63638"/>
    <n v="4"/>
    <n v="112189"/>
    <n v="85377"/>
    <n v="9"/>
    <s v="No"/>
    <x v="0"/>
    <n v="26812"/>
  </r>
  <r>
    <n v="1667"/>
    <d v="2023-03-11T10:00:00"/>
    <x v="2"/>
    <n v="10"/>
    <x v="0"/>
    <s v="Honda"/>
    <x v="1"/>
    <x v="3"/>
    <n v="23088"/>
    <n v="4"/>
    <n v="112507"/>
    <n v="117345"/>
    <n v="12"/>
    <s v="No"/>
    <x v="0"/>
    <n v="-4838"/>
  </r>
  <r>
    <n v="1668"/>
    <d v="2023-03-11T11:00:00"/>
    <x v="2"/>
    <n v="10"/>
    <x v="0"/>
    <s v="Yamaha"/>
    <x v="0"/>
    <x v="3"/>
    <n v="63401"/>
    <n v="2"/>
    <n v="92525"/>
    <n v="111111"/>
    <n v="13"/>
    <s v="No"/>
    <x v="0"/>
    <n v="-18586"/>
  </r>
  <r>
    <n v="1669"/>
    <d v="2023-03-11T12:00:00"/>
    <x v="2"/>
    <n v="10"/>
    <x v="0"/>
    <s v="TVS"/>
    <x v="0"/>
    <x v="3"/>
    <n v="18171"/>
    <n v="6"/>
    <n v="124248"/>
    <n v="80402"/>
    <n v="3"/>
    <s v="Yes"/>
    <x v="1"/>
    <n v="43846"/>
  </r>
  <r>
    <n v="1670"/>
    <d v="2023-03-11T13:00:00"/>
    <x v="2"/>
    <n v="10"/>
    <x v="0"/>
    <s v="Hero"/>
    <x v="0"/>
    <x v="0"/>
    <n v="83538"/>
    <n v="2"/>
    <n v="49604"/>
    <n v="69176"/>
    <n v="7"/>
    <s v="Yes"/>
    <x v="0"/>
    <n v="-19572"/>
  </r>
  <r>
    <n v="1671"/>
    <d v="2023-03-11T14:00:00"/>
    <x v="2"/>
    <n v="10"/>
    <x v="0"/>
    <s v="TVS"/>
    <x v="0"/>
    <x v="0"/>
    <n v="91164"/>
    <n v="1"/>
    <n v="141585"/>
    <n v="138727"/>
    <n v="6"/>
    <s v="Yes"/>
    <x v="0"/>
    <n v="2858"/>
  </r>
  <r>
    <n v="1672"/>
    <d v="2023-03-11T15:00:00"/>
    <x v="2"/>
    <n v="10"/>
    <x v="0"/>
    <s v="Bajaj"/>
    <x v="0"/>
    <x v="0"/>
    <n v="32145"/>
    <n v="2"/>
    <n v="178207"/>
    <n v="138747"/>
    <n v="10"/>
    <s v="No"/>
    <x v="0"/>
    <n v="39460"/>
  </r>
  <r>
    <n v="1673"/>
    <d v="2023-03-11T16:00:00"/>
    <x v="2"/>
    <n v="10"/>
    <x v="0"/>
    <s v="Yamaha"/>
    <x v="0"/>
    <x v="3"/>
    <n v="8137"/>
    <n v="2"/>
    <n v="154716"/>
    <n v="56733"/>
    <n v="7"/>
    <s v="Yes"/>
    <x v="1"/>
    <n v="97983"/>
  </r>
  <r>
    <n v="1674"/>
    <d v="2023-03-11T17:00:00"/>
    <x v="2"/>
    <n v="10"/>
    <x v="0"/>
    <s v="Yamaha"/>
    <x v="0"/>
    <x v="3"/>
    <n v="1160"/>
    <n v="7"/>
    <n v="35680"/>
    <n v="29418"/>
    <n v="7"/>
    <s v="Yes"/>
    <x v="0"/>
    <n v="6262"/>
  </r>
  <r>
    <n v="1675"/>
    <d v="2023-03-11T18:00:00"/>
    <x v="2"/>
    <n v="10"/>
    <x v="0"/>
    <s v="Yamaha"/>
    <x v="1"/>
    <x v="1"/>
    <n v="7422"/>
    <n v="3"/>
    <n v="138508"/>
    <n v="138422"/>
    <n v="10"/>
    <s v="No"/>
    <x v="0"/>
    <n v="86"/>
  </r>
  <r>
    <n v="1676"/>
    <d v="2023-03-11T19:00:00"/>
    <x v="2"/>
    <n v="10"/>
    <x v="0"/>
    <s v="TVS"/>
    <x v="0"/>
    <x v="1"/>
    <n v="94197"/>
    <n v="2"/>
    <n v="120619"/>
    <n v="52185"/>
    <n v="5"/>
    <s v="Yes"/>
    <x v="0"/>
    <n v="68434"/>
  </r>
  <r>
    <n v="1677"/>
    <d v="2023-03-11T20:00:00"/>
    <x v="2"/>
    <n v="10"/>
    <x v="0"/>
    <s v="Bajaj"/>
    <x v="1"/>
    <x v="0"/>
    <n v="45221"/>
    <n v="9"/>
    <n v="80037"/>
    <n v="56745"/>
    <n v="9"/>
    <s v="No"/>
    <x v="0"/>
    <n v="23292"/>
  </r>
  <r>
    <n v="1678"/>
    <d v="2023-03-11T21:00:00"/>
    <x v="2"/>
    <n v="10"/>
    <x v="0"/>
    <s v="Hero"/>
    <x v="0"/>
    <x v="0"/>
    <n v="57756"/>
    <n v="4"/>
    <n v="124969"/>
    <n v="108417"/>
    <n v="7"/>
    <s v="Yes"/>
    <x v="0"/>
    <n v="16552"/>
  </r>
  <r>
    <n v="1679"/>
    <d v="2023-03-11T22:00:00"/>
    <x v="2"/>
    <n v="10"/>
    <x v="0"/>
    <s v="Hero"/>
    <x v="0"/>
    <x v="2"/>
    <n v="70006"/>
    <n v="3"/>
    <n v="136115"/>
    <n v="68787"/>
    <n v="7"/>
    <s v="Yes"/>
    <x v="1"/>
    <n v="67328"/>
  </r>
  <r>
    <n v="1680"/>
    <d v="2023-03-11T23:00:00"/>
    <x v="2"/>
    <n v="10"/>
    <x v="0"/>
    <s v="TVS"/>
    <x v="0"/>
    <x v="0"/>
    <n v="69443"/>
    <n v="8"/>
    <n v="83914"/>
    <n v="95123"/>
    <n v="12"/>
    <s v="No"/>
    <x v="0"/>
    <n v="-11209"/>
  </r>
  <r>
    <n v="1681"/>
    <d v="2023-03-12T00:00:00"/>
    <x v="2"/>
    <n v="11"/>
    <x v="0"/>
    <s v="Yamaha"/>
    <x v="0"/>
    <x v="1"/>
    <n v="28343"/>
    <n v="7"/>
    <n v="132255"/>
    <n v="67035"/>
    <n v="14"/>
    <s v="No"/>
    <x v="0"/>
    <n v="65220"/>
  </r>
  <r>
    <n v="1682"/>
    <d v="2023-03-12T01:00:00"/>
    <x v="2"/>
    <n v="11"/>
    <x v="0"/>
    <s v="Honda"/>
    <x v="0"/>
    <x v="1"/>
    <n v="9546"/>
    <n v="6"/>
    <n v="35349"/>
    <n v="102804"/>
    <n v="3"/>
    <s v="Yes"/>
    <x v="0"/>
    <n v="-67455"/>
  </r>
  <r>
    <n v="1683"/>
    <d v="2023-03-12T02:00:00"/>
    <x v="2"/>
    <n v="11"/>
    <x v="0"/>
    <s v="TVS"/>
    <x v="0"/>
    <x v="1"/>
    <n v="89836"/>
    <n v="7"/>
    <n v="53525"/>
    <n v="80984"/>
    <n v="1"/>
    <s v="Yes"/>
    <x v="0"/>
    <n v="-27459"/>
  </r>
  <r>
    <n v="1684"/>
    <d v="2023-03-12T03:00:00"/>
    <x v="2"/>
    <n v="11"/>
    <x v="0"/>
    <s v="TVS"/>
    <x v="0"/>
    <x v="3"/>
    <n v="64485"/>
    <n v="4"/>
    <n v="30948"/>
    <n v="67462"/>
    <n v="14"/>
    <s v="No"/>
    <x v="0"/>
    <n v="-36514"/>
  </r>
  <r>
    <n v="1685"/>
    <d v="2023-03-12T04:00:00"/>
    <x v="2"/>
    <n v="11"/>
    <x v="0"/>
    <s v="Bajaj"/>
    <x v="1"/>
    <x v="3"/>
    <n v="80583"/>
    <n v="3"/>
    <n v="39498"/>
    <n v="52353"/>
    <n v="14"/>
    <s v="No"/>
    <x v="0"/>
    <n v="-12855"/>
  </r>
  <r>
    <n v="1686"/>
    <d v="2023-03-12T05:00:00"/>
    <x v="2"/>
    <n v="11"/>
    <x v="0"/>
    <s v="Hero"/>
    <x v="1"/>
    <x v="0"/>
    <n v="97425"/>
    <n v="6"/>
    <n v="175063"/>
    <n v="139785"/>
    <n v="5"/>
    <s v="Yes"/>
    <x v="1"/>
    <n v="35278"/>
  </r>
  <r>
    <n v="1687"/>
    <d v="2023-03-12T06:00:00"/>
    <x v="2"/>
    <n v="11"/>
    <x v="0"/>
    <s v="TVS"/>
    <x v="0"/>
    <x v="2"/>
    <n v="30846"/>
    <n v="0"/>
    <n v="84790"/>
    <n v="126055"/>
    <n v="8"/>
    <s v="No"/>
    <x v="0"/>
    <n v="-41265"/>
  </r>
  <r>
    <n v="1688"/>
    <d v="2023-03-12T07:00:00"/>
    <x v="2"/>
    <n v="11"/>
    <x v="0"/>
    <s v="TVS"/>
    <x v="0"/>
    <x v="2"/>
    <n v="88784"/>
    <n v="5"/>
    <n v="163732"/>
    <n v="88644"/>
    <n v="5"/>
    <s v="Yes"/>
    <x v="0"/>
    <n v="75088"/>
  </r>
  <r>
    <n v="1689"/>
    <d v="2023-03-12T08:00:00"/>
    <x v="2"/>
    <n v="11"/>
    <x v="0"/>
    <s v="Yamaha"/>
    <x v="0"/>
    <x v="2"/>
    <n v="91884"/>
    <n v="7"/>
    <n v="51245"/>
    <n v="134097"/>
    <n v="10"/>
    <s v="No"/>
    <x v="0"/>
    <n v="-82852"/>
  </r>
  <r>
    <n v="1690"/>
    <d v="2023-03-12T09:00:00"/>
    <x v="2"/>
    <n v="11"/>
    <x v="0"/>
    <s v="Yamaha"/>
    <x v="0"/>
    <x v="3"/>
    <n v="54026"/>
    <n v="6"/>
    <n v="156310"/>
    <n v="63302"/>
    <n v="3"/>
    <s v="Yes"/>
    <x v="0"/>
    <n v="93008"/>
  </r>
  <r>
    <n v="1691"/>
    <d v="2023-03-12T10:00:00"/>
    <x v="2"/>
    <n v="11"/>
    <x v="0"/>
    <s v="Honda"/>
    <x v="1"/>
    <x v="1"/>
    <n v="73643"/>
    <n v="1"/>
    <n v="175992"/>
    <n v="137561"/>
    <n v="9"/>
    <s v="No"/>
    <x v="0"/>
    <n v="38431"/>
  </r>
  <r>
    <n v="1692"/>
    <d v="2023-03-12T11:00:00"/>
    <x v="2"/>
    <n v="11"/>
    <x v="0"/>
    <s v="Bajaj"/>
    <x v="0"/>
    <x v="1"/>
    <n v="37287"/>
    <n v="6"/>
    <n v="71659"/>
    <n v="91979"/>
    <n v="2"/>
    <s v="Yes"/>
    <x v="1"/>
    <n v="-20320"/>
  </r>
  <r>
    <n v="1693"/>
    <d v="2023-03-12T12:00:00"/>
    <x v="2"/>
    <n v="11"/>
    <x v="0"/>
    <s v="Honda"/>
    <x v="0"/>
    <x v="3"/>
    <n v="34083"/>
    <n v="5"/>
    <n v="150983"/>
    <n v="37435"/>
    <n v="3"/>
    <s v="Yes"/>
    <x v="0"/>
    <n v="113548"/>
  </r>
  <r>
    <n v="1694"/>
    <d v="2023-03-12T13:00:00"/>
    <x v="2"/>
    <n v="11"/>
    <x v="0"/>
    <s v="Yamaha"/>
    <x v="1"/>
    <x v="2"/>
    <n v="13063"/>
    <n v="4"/>
    <n v="99874"/>
    <n v="72728"/>
    <n v="12"/>
    <s v="No"/>
    <x v="0"/>
    <n v="27146"/>
  </r>
  <r>
    <n v="1695"/>
    <d v="2023-03-12T14:00:00"/>
    <x v="2"/>
    <n v="11"/>
    <x v="0"/>
    <s v="Hero"/>
    <x v="0"/>
    <x v="2"/>
    <n v="46560"/>
    <n v="3"/>
    <n v="67517"/>
    <n v="113598"/>
    <n v="4"/>
    <s v="Yes"/>
    <x v="0"/>
    <n v="-46081"/>
  </r>
  <r>
    <n v="1696"/>
    <d v="2023-03-12T15:00:00"/>
    <x v="2"/>
    <n v="11"/>
    <x v="0"/>
    <s v="Yamaha"/>
    <x v="0"/>
    <x v="0"/>
    <n v="34190"/>
    <n v="0"/>
    <n v="151618"/>
    <n v="16238"/>
    <n v="10"/>
    <s v="No"/>
    <x v="0"/>
    <n v="135380"/>
  </r>
  <r>
    <n v="1697"/>
    <d v="2023-03-12T16:00:00"/>
    <x v="2"/>
    <n v="11"/>
    <x v="0"/>
    <s v="Bajaj"/>
    <x v="0"/>
    <x v="0"/>
    <n v="95212"/>
    <n v="1"/>
    <n v="100885"/>
    <n v="95857"/>
    <n v="1"/>
    <s v="Yes"/>
    <x v="0"/>
    <n v="5028"/>
  </r>
  <r>
    <n v="1698"/>
    <d v="2023-03-12T17:00:00"/>
    <x v="2"/>
    <n v="11"/>
    <x v="0"/>
    <s v="Yamaha"/>
    <x v="0"/>
    <x v="2"/>
    <n v="15425"/>
    <n v="6"/>
    <n v="71350"/>
    <n v="96610"/>
    <n v="11"/>
    <s v="No"/>
    <x v="0"/>
    <n v="-25260"/>
  </r>
  <r>
    <n v="1699"/>
    <d v="2023-03-12T18:00:00"/>
    <x v="2"/>
    <n v="11"/>
    <x v="0"/>
    <s v="Bajaj"/>
    <x v="0"/>
    <x v="3"/>
    <n v="87287"/>
    <n v="9"/>
    <n v="102179"/>
    <n v="28049"/>
    <n v="4"/>
    <s v="Yes"/>
    <x v="0"/>
    <n v="74130"/>
  </r>
  <r>
    <n v="1700"/>
    <d v="2023-03-12T19:00:00"/>
    <x v="2"/>
    <n v="11"/>
    <x v="0"/>
    <s v="Bajaj"/>
    <x v="0"/>
    <x v="2"/>
    <n v="83684"/>
    <n v="2"/>
    <n v="70013"/>
    <n v="72193"/>
    <n v="4"/>
    <s v="Yes"/>
    <x v="1"/>
    <n v="-2180"/>
  </r>
  <r>
    <n v="1701"/>
    <d v="2023-03-12T20:00:00"/>
    <x v="2"/>
    <n v="11"/>
    <x v="0"/>
    <s v="Bajaj"/>
    <x v="0"/>
    <x v="0"/>
    <n v="20608"/>
    <n v="4"/>
    <n v="64913"/>
    <n v="50584"/>
    <n v="9"/>
    <s v="No"/>
    <x v="1"/>
    <n v="14329"/>
  </r>
  <r>
    <n v="1702"/>
    <d v="2023-03-12T21:00:00"/>
    <x v="2"/>
    <n v="11"/>
    <x v="0"/>
    <s v="Bajaj"/>
    <x v="0"/>
    <x v="2"/>
    <n v="77015"/>
    <n v="7"/>
    <n v="70819"/>
    <n v="81634"/>
    <n v="8"/>
    <s v="No"/>
    <x v="0"/>
    <n v="-10815"/>
  </r>
  <r>
    <n v="1703"/>
    <d v="2023-03-12T22:00:00"/>
    <x v="2"/>
    <n v="11"/>
    <x v="0"/>
    <s v="Bajaj"/>
    <x v="0"/>
    <x v="3"/>
    <n v="68758"/>
    <n v="7"/>
    <n v="107168"/>
    <n v="29679"/>
    <n v="2"/>
    <s v="Yes"/>
    <x v="0"/>
    <n v="77489"/>
  </r>
  <r>
    <n v="1704"/>
    <d v="2023-03-12T23:00:00"/>
    <x v="2"/>
    <n v="11"/>
    <x v="0"/>
    <s v="Hero"/>
    <x v="0"/>
    <x v="1"/>
    <n v="5855"/>
    <n v="5"/>
    <n v="117680"/>
    <n v="49505"/>
    <n v="13"/>
    <s v="No"/>
    <x v="0"/>
    <n v="68175"/>
  </r>
  <r>
    <n v="1705"/>
    <d v="2023-03-13T00:00:00"/>
    <x v="2"/>
    <n v="11"/>
    <x v="0"/>
    <s v="Honda"/>
    <x v="0"/>
    <x v="3"/>
    <n v="46569"/>
    <n v="4"/>
    <n v="119792"/>
    <n v="66341"/>
    <n v="7"/>
    <s v="Yes"/>
    <x v="0"/>
    <n v="53451"/>
  </r>
  <r>
    <n v="1706"/>
    <d v="2023-03-13T01:00:00"/>
    <x v="2"/>
    <n v="11"/>
    <x v="0"/>
    <s v="TVS"/>
    <x v="0"/>
    <x v="3"/>
    <n v="94835"/>
    <n v="1"/>
    <n v="179557"/>
    <n v="116069"/>
    <n v="6"/>
    <s v="Yes"/>
    <x v="0"/>
    <n v="63488"/>
  </r>
  <r>
    <n v="1707"/>
    <d v="2023-03-13T02:00:00"/>
    <x v="2"/>
    <n v="11"/>
    <x v="0"/>
    <s v="Honda"/>
    <x v="0"/>
    <x v="0"/>
    <n v="54971"/>
    <n v="8"/>
    <n v="158932"/>
    <n v="65374"/>
    <n v="7"/>
    <s v="Yes"/>
    <x v="0"/>
    <n v="93558"/>
  </r>
  <r>
    <n v="1708"/>
    <d v="2023-03-13T03:00:00"/>
    <x v="2"/>
    <n v="11"/>
    <x v="0"/>
    <s v="Bajaj"/>
    <x v="0"/>
    <x v="3"/>
    <n v="33205"/>
    <n v="0"/>
    <n v="74875"/>
    <n v="61998"/>
    <n v="11"/>
    <s v="No"/>
    <x v="0"/>
    <n v="12877"/>
  </r>
  <r>
    <n v="1709"/>
    <d v="2023-03-13T04:00:00"/>
    <x v="2"/>
    <n v="11"/>
    <x v="0"/>
    <s v="Hero"/>
    <x v="0"/>
    <x v="3"/>
    <n v="44409"/>
    <n v="1"/>
    <n v="170991"/>
    <n v="91970"/>
    <n v="4"/>
    <s v="Yes"/>
    <x v="0"/>
    <n v="79021"/>
  </r>
  <r>
    <n v="1710"/>
    <d v="2023-03-13T05:00:00"/>
    <x v="2"/>
    <n v="11"/>
    <x v="0"/>
    <s v="Yamaha"/>
    <x v="0"/>
    <x v="0"/>
    <n v="89106"/>
    <n v="0"/>
    <n v="98947"/>
    <n v="70701"/>
    <n v="14"/>
    <s v="No"/>
    <x v="0"/>
    <n v="28246"/>
  </r>
  <r>
    <n v="1711"/>
    <d v="2023-03-13T06:00:00"/>
    <x v="2"/>
    <n v="11"/>
    <x v="0"/>
    <s v="Hero"/>
    <x v="0"/>
    <x v="0"/>
    <n v="54239"/>
    <n v="3"/>
    <n v="34586"/>
    <n v="59859"/>
    <n v="14"/>
    <s v="No"/>
    <x v="0"/>
    <n v="-25273"/>
  </r>
  <r>
    <n v="1712"/>
    <d v="2023-03-13T07:00:00"/>
    <x v="2"/>
    <n v="11"/>
    <x v="0"/>
    <s v="Bajaj"/>
    <x v="0"/>
    <x v="1"/>
    <n v="77320"/>
    <n v="3"/>
    <n v="76986"/>
    <n v="48178"/>
    <n v="5"/>
    <s v="Yes"/>
    <x v="0"/>
    <n v="28808"/>
  </r>
  <r>
    <n v="1713"/>
    <d v="2023-03-13T08:00:00"/>
    <x v="2"/>
    <n v="11"/>
    <x v="0"/>
    <s v="Hero"/>
    <x v="0"/>
    <x v="2"/>
    <n v="87773"/>
    <n v="4"/>
    <n v="114848"/>
    <n v="42575"/>
    <n v="6"/>
    <s v="Yes"/>
    <x v="0"/>
    <n v="72273"/>
  </r>
  <r>
    <n v="1714"/>
    <d v="2023-03-13T09:00:00"/>
    <x v="2"/>
    <n v="11"/>
    <x v="0"/>
    <s v="Hero"/>
    <x v="0"/>
    <x v="3"/>
    <n v="23741"/>
    <n v="4"/>
    <n v="48055"/>
    <n v="34329"/>
    <n v="9"/>
    <s v="No"/>
    <x v="0"/>
    <n v="13726"/>
  </r>
  <r>
    <n v="1715"/>
    <d v="2023-03-13T10:00:00"/>
    <x v="2"/>
    <n v="11"/>
    <x v="0"/>
    <s v="Bajaj"/>
    <x v="0"/>
    <x v="0"/>
    <n v="27914"/>
    <n v="7"/>
    <n v="53807"/>
    <n v="72254"/>
    <n v="2"/>
    <s v="Yes"/>
    <x v="0"/>
    <n v="-18447"/>
  </r>
  <r>
    <n v="1716"/>
    <d v="2023-03-13T11:00:00"/>
    <x v="2"/>
    <n v="11"/>
    <x v="0"/>
    <s v="Hero"/>
    <x v="0"/>
    <x v="1"/>
    <n v="51318"/>
    <n v="2"/>
    <n v="72177"/>
    <n v="118090"/>
    <n v="11"/>
    <s v="No"/>
    <x v="0"/>
    <n v="-45913"/>
  </r>
  <r>
    <n v="1717"/>
    <d v="2023-03-13T12:00:00"/>
    <x v="2"/>
    <n v="11"/>
    <x v="0"/>
    <s v="TVS"/>
    <x v="0"/>
    <x v="2"/>
    <n v="21395"/>
    <n v="5"/>
    <n v="93625"/>
    <n v="122373"/>
    <n v="9"/>
    <s v="No"/>
    <x v="0"/>
    <n v="-28748"/>
  </r>
  <r>
    <n v="1718"/>
    <d v="2023-03-13T13:00:00"/>
    <x v="2"/>
    <n v="11"/>
    <x v="0"/>
    <s v="TVS"/>
    <x v="0"/>
    <x v="0"/>
    <n v="92807"/>
    <n v="2"/>
    <n v="170314"/>
    <n v="130474"/>
    <n v="10"/>
    <s v="No"/>
    <x v="0"/>
    <n v="39840"/>
  </r>
  <r>
    <n v="1719"/>
    <d v="2023-03-13T14:00:00"/>
    <x v="2"/>
    <n v="11"/>
    <x v="0"/>
    <s v="Hero"/>
    <x v="0"/>
    <x v="2"/>
    <n v="62909"/>
    <n v="1"/>
    <n v="81317"/>
    <n v="99029"/>
    <n v="1"/>
    <s v="Yes"/>
    <x v="0"/>
    <n v="-17712"/>
  </r>
  <r>
    <n v="1720"/>
    <d v="2023-03-13T15:00:00"/>
    <x v="2"/>
    <n v="11"/>
    <x v="0"/>
    <s v="Yamaha"/>
    <x v="1"/>
    <x v="2"/>
    <n v="55824"/>
    <n v="7"/>
    <n v="41433"/>
    <n v="102366"/>
    <n v="4"/>
    <s v="Yes"/>
    <x v="0"/>
    <n v="-60933"/>
  </r>
  <r>
    <n v="1721"/>
    <d v="2023-03-13T16:00:00"/>
    <x v="2"/>
    <n v="11"/>
    <x v="0"/>
    <s v="Bajaj"/>
    <x v="0"/>
    <x v="3"/>
    <n v="67420"/>
    <n v="0"/>
    <n v="58282"/>
    <n v="119139"/>
    <n v="12"/>
    <s v="No"/>
    <x v="0"/>
    <n v="-60857"/>
  </r>
  <r>
    <n v="1722"/>
    <d v="2023-03-13T17:00:00"/>
    <x v="2"/>
    <n v="11"/>
    <x v="0"/>
    <s v="TVS"/>
    <x v="0"/>
    <x v="3"/>
    <n v="54055"/>
    <n v="8"/>
    <n v="101519"/>
    <n v="115290"/>
    <n v="5"/>
    <s v="Yes"/>
    <x v="0"/>
    <n v="-13771"/>
  </r>
  <r>
    <n v="1723"/>
    <d v="2023-03-13T18:00:00"/>
    <x v="2"/>
    <n v="11"/>
    <x v="0"/>
    <s v="Yamaha"/>
    <x v="0"/>
    <x v="0"/>
    <n v="65953"/>
    <n v="6"/>
    <n v="68578"/>
    <n v="88662"/>
    <n v="9"/>
    <s v="No"/>
    <x v="0"/>
    <n v="-20084"/>
  </r>
  <r>
    <n v="1724"/>
    <d v="2023-03-13T19:00:00"/>
    <x v="2"/>
    <n v="11"/>
    <x v="0"/>
    <s v="Hero"/>
    <x v="0"/>
    <x v="2"/>
    <n v="23189"/>
    <n v="9"/>
    <n v="155843"/>
    <n v="122374"/>
    <n v="6"/>
    <s v="Yes"/>
    <x v="0"/>
    <n v="33469"/>
  </r>
  <r>
    <n v="1725"/>
    <d v="2023-03-13T20:00:00"/>
    <x v="2"/>
    <n v="11"/>
    <x v="0"/>
    <s v="Yamaha"/>
    <x v="0"/>
    <x v="0"/>
    <n v="64856"/>
    <n v="3"/>
    <n v="133333"/>
    <n v="55068"/>
    <n v="4"/>
    <s v="Yes"/>
    <x v="0"/>
    <n v="78265"/>
  </r>
  <r>
    <n v="1726"/>
    <d v="2023-03-13T21:00:00"/>
    <x v="2"/>
    <n v="11"/>
    <x v="0"/>
    <s v="Honda"/>
    <x v="0"/>
    <x v="0"/>
    <n v="93511"/>
    <n v="2"/>
    <n v="75317"/>
    <n v="73951"/>
    <n v="2"/>
    <s v="Yes"/>
    <x v="0"/>
    <n v="1366"/>
  </r>
  <r>
    <n v="1727"/>
    <d v="2023-03-13T22:00:00"/>
    <x v="2"/>
    <n v="11"/>
    <x v="0"/>
    <s v="TVS"/>
    <x v="0"/>
    <x v="2"/>
    <n v="8752"/>
    <n v="5"/>
    <n v="152878"/>
    <n v="102629"/>
    <n v="5"/>
    <s v="Yes"/>
    <x v="0"/>
    <n v="50249"/>
  </r>
  <r>
    <n v="1728"/>
    <d v="2023-03-13T23:00:00"/>
    <x v="2"/>
    <n v="11"/>
    <x v="0"/>
    <s v="Hero"/>
    <x v="0"/>
    <x v="0"/>
    <n v="31344"/>
    <n v="8"/>
    <n v="133745"/>
    <n v="128852"/>
    <n v="8"/>
    <s v="No"/>
    <x v="0"/>
    <n v="4893"/>
  </r>
  <r>
    <n v="1729"/>
    <d v="2023-03-14T00:00:00"/>
    <x v="2"/>
    <n v="11"/>
    <x v="0"/>
    <s v="Bajaj"/>
    <x v="0"/>
    <x v="2"/>
    <n v="96187"/>
    <n v="8"/>
    <n v="154230"/>
    <n v="50171"/>
    <n v="8"/>
    <s v="No"/>
    <x v="0"/>
    <n v="104059"/>
  </r>
  <r>
    <n v="1730"/>
    <d v="2023-03-14T01:00:00"/>
    <x v="2"/>
    <n v="11"/>
    <x v="0"/>
    <s v="Hero"/>
    <x v="0"/>
    <x v="2"/>
    <n v="23865"/>
    <n v="3"/>
    <n v="90950"/>
    <n v="23262"/>
    <n v="6"/>
    <s v="Yes"/>
    <x v="0"/>
    <n v="67688"/>
  </r>
  <r>
    <n v="1731"/>
    <d v="2023-03-14T02:00:00"/>
    <x v="2"/>
    <n v="11"/>
    <x v="0"/>
    <s v="Bajaj"/>
    <x v="0"/>
    <x v="2"/>
    <n v="6526"/>
    <n v="9"/>
    <n v="84612"/>
    <n v="58270"/>
    <n v="11"/>
    <s v="No"/>
    <x v="0"/>
    <n v="26342"/>
  </r>
  <r>
    <n v="1732"/>
    <d v="2023-03-14T03:00:00"/>
    <x v="2"/>
    <n v="11"/>
    <x v="0"/>
    <s v="Hero"/>
    <x v="0"/>
    <x v="2"/>
    <n v="98803"/>
    <n v="4"/>
    <n v="89873"/>
    <n v="35785"/>
    <n v="1"/>
    <s v="Yes"/>
    <x v="0"/>
    <n v="54088"/>
  </r>
  <r>
    <n v="1733"/>
    <d v="2023-03-14T04:00:00"/>
    <x v="2"/>
    <n v="11"/>
    <x v="0"/>
    <s v="Yamaha"/>
    <x v="1"/>
    <x v="1"/>
    <n v="29023"/>
    <n v="8"/>
    <n v="140792"/>
    <n v="54469"/>
    <n v="8"/>
    <s v="No"/>
    <x v="0"/>
    <n v="86323"/>
  </r>
  <r>
    <n v="1734"/>
    <d v="2023-03-14T05:00:00"/>
    <x v="2"/>
    <n v="11"/>
    <x v="0"/>
    <s v="Yamaha"/>
    <x v="0"/>
    <x v="2"/>
    <n v="10982"/>
    <n v="1"/>
    <n v="149814"/>
    <n v="83831"/>
    <n v="4"/>
    <s v="Yes"/>
    <x v="0"/>
    <n v="65983"/>
  </r>
  <r>
    <n v="1735"/>
    <d v="2023-03-14T06:00:00"/>
    <x v="2"/>
    <n v="11"/>
    <x v="0"/>
    <s v="Yamaha"/>
    <x v="1"/>
    <x v="3"/>
    <n v="49388"/>
    <n v="1"/>
    <n v="40231"/>
    <n v="96223"/>
    <n v="14"/>
    <s v="No"/>
    <x v="0"/>
    <n v="-55992"/>
  </r>
  <r>
    <n v="1736"/>
    <d v="2023-03-14T07:00:00"/>
    <x v="2"/>
    <n v="11"/>
    <x v="0"/>
    <s v="Honda"/>
    <x v="0"/>
    <x v="3"/>
    <n v="50610"/>
    <n v="4"/>
    <n v="112385"/>
    <n v="138641"/>
    <n v="2"/>
    <s v="Yes"/>
    <x v="0"/>
    <n v="-26256"/>
  </r>
  <r>
    <n v="1737"/>
    <d v="2023-03-14T08:00:00"/>
    <x v="2"/>
    <n v="11"/>
    <x v="0"/>
    <s v="Bajaj"/>
    <x v="0"/>
    <x v="3"/>
    <n v="91144"/>
    <n v="0"/>
    <n v="66163"/>
    <n v="60643"/>
    <n v="1"/>
    <s v="Yes"/>
    <x v="0"/>
    <n v="5520"/>
  </r>
  <r>
    <n v="1738"/>
    <d v="2023-03-14T09:00:00"/>
    <x v="2"/>
    <n v="11"/>
    <x v="0"/>
    <s v="Yamaha"/>
    <x v="0"/>
    <x v="2"/>
    <n v="993"/>
    <n v="7"/>
    <n v="146880"/>
    <n v="82657"/>
    <n v="7"/>
    <s v="Yes"/>
    <x v="0"/>
    <n v="64223"/>
  </r>
  <r>
    <n v="1739"/>
    <d v="2023-03-14T10:00:00"/>
    <x v="2"/>
    <n v="11"/>
    <x v="0"/>
    <s v="Honda"/>
    <x v="0"/>
    <x v="3"/>
    <n v="56694"/>
    <n v="4"/>
    <n v="112592"/>
    <n v="18582"/>
    <n v="2"/>
    <s v="Yes"/>
    <x v="0"/>
    <n v="94010"/>
  </r>
  <r>
    <n v="1740"/>
    <d v="2023-03-14T11:00:00"/>
    <x v="2"/>
    <n v="11"/>
    <x v="0"/>
    <s v="Bajaj"/>
    <x v="0"/>
    <x v="1"/>
    <n v="82501"/>
    <n v="9"/>
    <n v="131564"/>
    <n v="127781"/>
    <n v="13"/>
    <s v="No"/>
    <x v="0"/>
    <n v="3783"/>
  </r>
  <r>
    <n v="1741"/>
    <d v="2023-03-14T12:00:00"/>
    <x v="2"/>
    <n v="11"/>
    <x v="0"/>
    <s v="Hero"/>
    <x v="0"/>
    <x v="0"/>
    <n v="40267"/>
    <n v="1"/>
    <n v="80535"/>
    <n v="45280"/>
    <n v="4"/>
    <s v="Yes"/>
    <x v="0"/>
    <n v="35255"/>
  </r>
  <r>
    <n v="1742"/>
    <d v="2023-03-14T13:00:00"/>
    <x v="2"/>
    <n v="11"/>
    <x v="0"/>
    <s v="Honda"/>
    <x v="0"/>
    <x v="2"/>
    <n v="30050"/>
    <n v="8"/>
    <n v="135952"/>
    <n v="133885"/>
    <n v="4"/>
    <s v="Yes"/>
    <x v="0"/>
    <n v="2067"/>
  </r>
  <r>
    <n v="1743"/>
    <d v="2023-03-14T14:00:00"/>
    <x v="2"/>
    <n v="11"/>
    <x v="0"/>
    <s v="TVS"/>
    <x v="1"/>
    <x v="3"/>
    <n v="14333"/>
    <n v="1"/>
    <n v="160824"/>
    <n v="57589"/>
    <n v="13"/>
    <s v="No"/>
    <x v="0"/>
    <n v="103235"/>
  </r>
  <r>
    <n v="1744"/>
    <d v="2023-03-14T15:00:00"/>
    <x v="2"/>
    <n v="11"/>
    <x v="0"/>
    <s v="Honda"/>
    <x v="0"/>
    <x v="1"/>
    <n v="3470"/>
    <n v="6"/>
    <n v="49507"/>
    <n v="119004"/>
    <n v="10"/>
    <s v="No"/>
    <x v="0"/>
    <n v="-69497"/>
  </r>
  <r>
    <n v="1745"/>
    <d v="2023-03-14T16:00:00"/>
    <x v="2"/>
    <n v="11"/>
    <x v="0"/>
    <s v="Honda"/>
    <x v="0"/>
    <x v="0"/>
    <n v="98815"/>
    <n v="7"/>
    <n v="149225"/>
    <n v="55000"/>
    <n v="1"/>
    <s v="Yes"/>
    <x v="0"/>
    <n v="94225"/>
  </r>
  <r>
    <n v="1746"/>
    <d v="2023-03-14T17:00:00"/>
    <x v="2"/>
    <n v="11"/>
    <x v="0"/>
    <s v="Bajaj"/>
    <x v="0"/>
    <x v="1"/>
    <n v="95994"/>
    <n v="5"/>
    <n v="135282"/>
    <n v="117592"/>
    <n v="2"/>
    <s v="Yes"/>
    <x v="1"/>
    <n v="17690"/>
  </r>
  <r>
    <n v="1747"/>
    <d v="2023-03-14T18:00:00"/>
    <x v="2"/>
    <n v="11"/>
    <x v="0"/>
    <s v="Hero"/>
    <x v="0"/>
    <x v="3"/>
    <n v="83181"/>
    <n v="6"/>
    <n v="95559"/>
    <n v="112208"/>
    <n v="1"/>
    <s v="Yes"/>
    <x v="0"/>
    <n v="-16649"/>
  </r>
  <r>
    <n v="1748"/>
    <d v="2023-03-14T19:00:00"/>
    <x v="2"/>
    <n v="11"/>
    <x v="0"/>
    <s v="TVS"/>
    <x v="0"/>
    <x v="1"/>
    <n v="49677"/>
    <n v="0"/>
    <n v="25982"/>
    <n v="16085"/>
    <n v="6"/>
    <s v="Yes"/>
    <x v="1"/>
    <n v="9897"/>
  </r>
  <r>
    <n v="1749"/>
    <d v="2023-03-14T20:00:00"/>
    <x v="2"/>
    <n v="11"/>
    <x v="0"/>
    <s v="Yamaha"/>
    <x v="0"/>
    <x v="0"/>
    <n v="67842"/>
    <n v="3"/>
    <n v="154128"/>
    <n v="96427"/>
    <n v="13"/>
    <s v="No"/>
    <x v="0"/>
    <n v="57701"/>
  </r>
  <r>
    <n v="1750"/>
    <d v="2023-03-14T21:00:00"/>
    <x v="2"/>
    <n v="11"/>
    <x v="0"/>
    <s v="Yamaha"/>
    <x v="1"/>
    <x v="3"/>
    <n v="71700"/>
    <n v="6"/>
    <n v="172218"/>
    <n v="30600"/>
    <n v="3"/>
    <s v="Yes"/>
    <x v="0"/>
    <n v="141618"/>
  </r>
  <r>
    <n v="1751"/>
    <d v="2023-03-14T22:00:00"/>
    <x v="2"/>
    <n v="11"/>
    <x v="0"/>
    <s v="Honda"/>
    <x v="0"/>
    <x v="0"/>
    <n v="62001"/>
    <n v="0"/>
    <n v="101737"/>
    <n v="112994"/>
    <n v="1"/>
    <s v="Yes"/>
    <x v="0"/>
    <n v="-11257"/>
  </r>
  <r>
    <n v="1752"/>
    <d v="2023-03-14T23:00:00"/>
    <x v="2"/>
    <n v="11"/>
    <x v="0"/>
    <s v="Bajaj"/>
    <x v="0"/>
    <x v="1"/>
    <n v="29400"/>
    <n v="0"/>
    <n v="107446"/>
    <n v="74801"/>
    <n v="12"/>
    <s v="No"/>
    <x v="0"/>
    <n v="32645"/>
  </r>
  <r>
    <n v="1753"/>
    <d v="2023-03-15T00:00:00"/>
    <x v="2"/>
    <n v="11"/>
    <x v="0"/>
    <s v="Bajaj"/>
    <x v="0"/>
    <x v="2"/>
    <n v="14626"/>
    <n v="5"/>
    <n v="113567"/>
    <n v="76739"/>
    <n v="8"/>
    <s v="No"/>
    <x v="0"/>
    <n v="36828"/>
  </r>
  <r>
    <n v="1754"/>
    <d v="2023-03-15T01:00:00"/>
    <x v="2"/>
    <n v="11"/>
    <x v="0"/>
    <s v="Yamaha"/>
    <x v="1"/>
    <x v="2"/>
    <n v="71190"/>
    <n v="3"/>
    <n v="48636"/>
    <n v="89181"/>
    <n v="14"/>
    <s v="No"/>
    <x v="0"/>
    <n v="-40545"/>
  </r>
  <r>
    <n v="1755"/>
    <d v="2023-03-15T02:00:00"/>
    <x v="2"/>
    <n v="11"/>
    <x v="0"/>
    <s v="TVS"/>
    <x v="0"/>
    <x v="2"/>
    <n v="88244"/>
    <n v="2"/>
    <n v="107850"/>
    <n v="132309"/>
    <n v="12"/>
    <s v="No"/>
    <x v="0"/>
    <n v="-24459"/>
  </r>
  <r>
    <n v="1756"/>
    <d v="2023-03-15T03:00:00"/>
    <x v="2"/>
    <n v="11"/>
    <x v="0"/>
    <s v="Hero"/>
    <x v="0"/>
    <x v="2"/>
    <n v="79803"/>
    <n v="4"/>
    <n v="108866"/>
    <n v="122114"/>
    <n v="14"/>
    <s v="No"/>
    <x v="0"/>
    <n v="-13248"/>
  </r>
  <r>
    <n v="1757"/>
    <d v="2023-03-15T04:00:00"/>
    <x v="2"/>
    <n v="11"/>
    <x v="0"/>
    <s v="TVS"/>
    <x v="0"/>
    <x v="0"/>
    <n v="86079"/>
    <n v="8"/>
    <n v="87726"/>
    <n v="56596"/>
    <n v="4"/>
    <s v="Yes"/>
    <x v="0"/>
    <n v="31130"/>
  </r>
  <r>
    <n v="1758"/>
    <d v="2023-03-15T05:00:00"/>
    <x v="2"/>
    <n v="11"/>
    <x v="0"/>
    <s v="Hero"/>
    <x v="0"/>
    <x v="2"/>
    <n v="48494"/>
    <n v="9"/>
    <n v="105901"/>
    <n v="132036"/>
    <n v="10"/>
    <s v="No"/>
    <x v="0"/>
    <n v="-26135"/>
  </r>
  <r>
    <n v="1759"/>
    <d v="2023-03-15T06:00:00"/>
    <x v="2"/>
    <n v="11"/>
    <x v="0"/>
    <s v="Yamaha"/>
    <x v="0"/>
    <x v="0"/>
    <n v="67561"/>
    <n v="9"/>
    <n v="166180"/>
    <n v="85410"/>
    <n v="7"/>
    <s v="Yes"/>
    <x v="0"/>
    <n v="80770"/>
  </r>
  <r>
    <n v="1760"/>
    <d v="2023-03-15T07:00:00"/>
    <x v="2"/>
    <n v="11"/>
    <x v="0"/>
    <s v="Hero"/>
    <x v="0"/>
    <x v="3"/>
    <n v="99564"/>
    <n v="9"/>
    <n v="93896"/>
    <n v="94303"/>
    <n v="10"/>
    <s v="No"/>
    <x v="0"/>
    <n v="-407"/>
  </r>
  <r>
    <n v="1761"/>
    <d v="2023-03-15T08:00:00"/>
    <x v="2"/>
    <n v="11"/>
    <x v="0"/>
    <s v="Bajaj"/>
    <x v="0"/>
    <x v="2"/>
    <n v="17478"/>
    <n v="2"/>
    <n v="65880"/>
    <n v="67188"/>
    <n v="2"/>
    <s v="Yes"/>
    <x v="0"/>
    <n v="-1308"/>
  </r>
  <r>
    <n v="1762"/>
    <d v="2023-03-15T09:00:00"/>
    <x v="2"/>
    <n v="11"/>
    <x v="0"/>
    <s v="Honda"/>
    <x v="0"/>
    <x v="0"/>
    <n v="56844"/>
    <n v="4"/>
    <n v="77077"/>
    <n v="41825"/>
    <n v="6"/>
    <s v="Yes"/>
    <x v="0"/>
    <n v="35252"/>
  </r>
  <r>
    <n v="1763"/>
    <d v="2023-03-15T10:00:00"/>
    <x v="2"/>
    <n v="11"/>
    <x v="0"/>
    <s v="Honda"/>
    <x v="0"/>
    <x v="2"/>
    <n v="47148"/>
    <n v="9"/>
    <n v="28625"/>
    <n v="25913"/>
    <n v="6"/>
    <s v="Yes"/>
    <x v="0"/>
    <n v="2712"/>
  </r>
  <r>
    <n v="1764"/>
    <d v="2023-03-15T11:00:00"/>
    <x v="2"/>
    <n v="11"/>
    <x v="0"/>
    <s v="Yamaha"/>
    <x v="0"/>
    <x v="2"/>
    <n v="1555"/>
    <n v="4"/>
    <n v="63237"/>
    <n v="96751"/>
    <n v="7"/>
    <s v="Yes"/>
    <x v="0"/>
    <n v="-33514"/>
  </r>
  <r>
    <n v="1765"/>
    <d v="2023-03-15T12:00:00"/>
    <x v="2"/>
    <n v="11"/>
    <x v="0"/>
    <s v="Bajaj"/>
    <x v="0"/>
    <x v="2"/>
    <n v="76082"/>
    <n v="8"/>
    <n v="26223"/>
    <n v="99269"/>
    <n v="12"/>
    <s v="No"/>
    <x v="0"/>
    <n v="-73046"/>
  </r>
  <r>
    <n v="1766"/>
    <d v="2023-03-15T13:00:00"/>
    <x v="2"/>
    <n v="11"/>
    <x v="0"/>
    <s v="TVS"/>
    <x v="0"/>
    <x v="0"/>
    <n v="81714"/>
    <n v="9"/>
    <n v="90197"/>
    <n v="29332"/>
    <n v="1"/>
    <s v="Yes"/>
    <x v="0"/>
    <n v="60865"/>
  </r>
  <r>
    <n v="1767"/>
    <d v="2023-03-15T14:00:00"/>
    <x v="2"/>
    <n v="11"/>
    <x v="0"/>
    <s v="Bajaj"/>
    <x v="0"/>
    <x v="1"/>
    <n v="45376"/>
    <n v="3"/>
    <n v="99693"/>
    <n v="69895"/>
    <n v="14"/>
    <s v="No"/>
    <x v="0"/>
    <n v="29798"/>
  </r>
  <r>
    <n v="1768"/>
    <d v="2023-03-15T15:00:00"/>
    <x v="2"/>
    <n v="11"/>
    <x v="0"/>
    <s v="Honda"/>
    <x v="0"/>
    <x v="2"/>
    <n v="92660"/>
    <n v="0"/>
    <n v="136555"/>
    <n v="19432"/>
    <n v="12"/>
    <s v="No"/>
    <x v="0"/>
    <n v="117123"/>
  </r>
  <r>
    <n v="1769"/>
    <d v="2023-03-15T16:00:00"/>
    <x v="2"/>
    <n v="11"/>
    <x v="0"/>
    <s v="Honda"/>
    <x v="0"/>
    <x v="2"/>
    <n v="39225"/>
    <n v="9"/>
    <n v="62760"/>
    <n v="103095"/>
    <n v="1"/>
    <s v="Yes"/>
    <x v="0"/>
    <n v="-40335"/>
  </r>
  <r>
    <n v="1770"/>
    <d v="2023-03-15T17:00:00"/>
    <x v="2"/>
    <n v="11"/>
    <x v="0"/>
    <s v="Bajaj"/>
    <x v="0"/>
    <x v="3"/>
    <n v="5755"/>
    <n v="4"/>
    <n v="135174"/>
    <n v="41570"/>
    <n v="2"/>
    <s v="Yes"/>
    <x v="0"/>
    <n v="93604"/>
  </r>
  <r>
    <n v="1771"/>
    <d v="2023-03-15T18:00:00"/>
    <x v="2"/>
    <n v="11"/>
    <x v="0"/>
    <s v="Bajaj"/>
    <x v="1"/>
    <x v="1"/>
    <n v="75447"/>
    <n v="0"/>
    <n v="152192"/>
    <n v="120569"/>
    <n v="14"/>
    <s v="No"/>
    <x v="0"/>
    <n v="31623"/>
  </r>
  <r>
    <n v="1772"/>
    <d v="2023-03-15T19:00:00"/>
    <x v="2"/>
    <n v="11"/>
    <x v="0"/>
    <s v="Honda"/>
    <x v="0"/>
    <x v="0"/>
    <n v="53880"/>
    <n v="5"/>
    <n v="54024"/>
    <n v="21103"/>
    <n v="11"/>
    <s v="No"/>
    <x v="0"/>
    <n v="32921"/>
  </r>
  <r>
    <n v="1773"/>
    <d v="2023-03-15T20:00:00"/>
    <x v="2"/>
    <n v="11"/>
    <x v="0"/>
    <s v="TVS"/>
    <x v="0"/>
    <x v="3"/>
    <n v="53833"/>
    <n v="9"/>
    <n v="48202"/>
    <n v="124316"/>
    <n v="2"/>
    <s v="Yes"/>
    <x v="0"/>
    <n v="-76114"/>
  </r>
  <r>
    <n v="1774"/>
    <d v="2023-03-15T21:00:00"/>
    <x v="2"/>
    <n v="11"/>
    <x v="0"/>
    <s v="Yamaha"/>
    <x v="0"/>
    <x v="2"/>
    <n v="42959"/>
    <n v="9"/>
    <n v="144414"/>
    <n v="137046"/>
    <n v="5"/>
    <s v="Yes"/>
    <x v="0"/>
    <n v="7368"/>
  </r>
  <r>
    <n v="1775"/>
    <d v="2023-03-15T22:00:00"/>
    <x v="2"/>
    <n v="11"/>
    <x v="0"/>
    <s v="Yamaha"/>
    <x v="0"/>
    <x v="3"/>
    <n v="36663"/>
    <n v="6"/>
    <n v="76524"/>
    <n v="30900"/>
    <n v="1"/>
    <s v="Yes"/>
    <x v="1"/>
    <n v="45624"/>
  </r>
  <r>
    <n v="1776"/>
    <d v="2023-03-15T23:00:00"/>
    <x v="2"/>
    <n v="11"/>
    <x v="0"/>
    <s v="Bajaj"/>
    <x v="0"/>
    <x v="3"/>
    <n v="34471"/>
    <n v="0"/>
    <n v="165432"/>
    <n v="73415"/>
    <n v="11"/>
    <s v="No"/>
    <x v="0"/>
    <n v="92017"/>
  </r>
  <r>
    <n v="1777"/>
    <d v="2023-03-16T00:00:00"/>
    <x v="2"/>
    <n v="11"/>
    <x v="0"/>
    <s v="Yamaha"/>
    <x v="0"/>
    <x v="2"/>
    <n v="97271"/>
    <n v="9"/>
    <n v="123228"/>
    <n v="82567"/>
    <n v="2"/>
    <s v="Yes"/>
    <x v="0"/>
    <n v="40661"/>
  </r>
  <r>
    <n v="1778"/>
    <d v="2023-03-16T01:00:00"/>
    <x v="2"/>
    <n v="11"/>
    <x v="0"/>
    <s v="Honda"/>
    <x v="0"/>
    <x v="1"/>
    <n v="65649"/>
    <n v="3"/>
    <n v="129755"/>
    <n v="77713"/>
    <n v="6"/>
    <s v="Yes"/>
    <x v="0"/>
    <n v="52042"/>
  </r>
  <r>
    <n v="1779"/>
    <d v="2023-03-16T02:00:00"/>
    <x v="2"/>
    <n v="11"/>
    <x v="0"/>
    <s v="Honda"/>
    <x v="0"/>
    <x v="1"/>
    <n v="85230"/>
    <n v="8"/>
    <n v="169013"/>
    <n v="98169"/>
    <n v="3"/>
    <s v="Yes"/>
    <x v="0"/>
    <n v="70844"/>
  </r>
  <r>
    <n v="1780"/>
    <d v="2023-03-16T03:00:00"/>
    <x v="2"/>
    <n v="11"/>
    <x v="0"/>
    <s v="Bajaj"/>
    <x v="0"/>
    <x v="3"/>
    <n v="19976"/>
    <n v="0"/>
    <n v="40993"/>
    <n v="73639"/>
    <n v="4"/>
    <s v="Yes"/>
    <x v="0"/>
    <n v="-32646"/>
  </r>
  <r>
    <n v="1781"/>
    <d v="2023-03-16T04:00:00"/>
    <x v="2"/>
    <n v="11"/>
    <x v="0"/>
    <s v="Bajaj"/>
    <x v="0"/>
    <x v="2"/>
    <n v="69080"/>
    <n v="8"/>
    <n v="39620"/>
    <n v="103728"/>
    <n v="1"/>
    <s v="Yes"/>
    <x v="0"/>
    <n v="-64108"/>
  </r>
  <r>
    <n v="1782"/>
    <d v="2023-03-16T05:00:00"/>
    <x v="2"/>
    <n v="11"/>
    <x v="0"/>
    <s v="Bajaj"/>
    <x v="0"/>
    <x v="0"/>
    <n v="87093"/>
    <n v="7"/>
    <n v="148271"/>
    <n v="100476"/>
    <n v="5"/>
    <s v="Yes"/>
    <x v="0"/>
    <n v="47795"/>
  </r>
  <r>
    <n v="1783"/>
    <d v="2023-03-16T06:00:00"/>
    <x v="2"/>
    <n v="11"/>
    <x v="0"/>
    <s v="TVS"/>
    <x v="0"/>
    <x v="3"/>
    <n v="69550"/>
    <n v="4"/>
    <n v="45193"/>
    <n v="121823"/>
    <n v="4"/>
    <s v="Yes"/>
    <x v="0"/>
    <n v="-76630"/>
  </r>
  <r>
    <n v="1784"/>
    <d v="2023-03-16T07:00:00"/>
    <x v="2"/>
    <n v="11"/>
    <x v="0"/>
    <s v="Yamaha"/>
    <x v="1"/>
    <x v="0"/>
    <n v="76026"/>
    <n v="5"/>
    <n v="76559"/>
    <n v="23988"/>
    <n v="8"/>
    <s v="No"/>
    <x v="0"/>
    <n v="52571"/>
  </r>
  <r>
    <n v="1785"/>
    <d v="2023-03-16T08:00:00"/>
    <x v="2"/>
    <n v="11"/>
    <x v="0"/>
    <s v="Bajaj"/>
    <x v="1"/>
    <x v="3"/>
    <n v="8007"/>
    <n v="6"/>
    <n v="46248"/>
    <n v="118603"/>
    <n v="3"/>
    <s v="Yes"/>
    <x v="0"/>
    <n v="-72355"/>
  </r>
  <r>
    <n v="1786"/>
    <d v="2023-03-16T09:00:00"/>
    <x v="2"/>
    <n v="11"/>
    <x v="0"/>
    <s v="Hero"/>
    <x v="0"/>
    <x v="3"/>
    <n v="70893"/>
    <n v="3"/>
    <n v="161099"/>
    <n v="93488"/>
    <n v="10"/>
    <s v="No"/>
    <x v="1"/>
    <n v="67611"/>
  </r>
  <r>
    <n v="1787"/>
    <d v="2023-03-16T10:00:00"/>
    <x v="2"/>
    <n v="11"/>
    <x v="0"/>
    <s v="Hero"/>
    <x v="0"/>
    <x v="2"/>
    <n v="12618"/>
    <n v="5"/>
    <n v="88410"/>
    <n v="107905"/>
    <n v="1"/>
    <s v="Yes"/>
    <x v="0"/>
    <n v="-19495"/>
  </r>
  <r>
    <n v="1788"/>
    <d v="2023-03-16T11:00:00"/>
    <x v="2"/>
    <n v="11"/>
    <x v="0"/>
    <s v="Honda"/>
    <x v="0"/>
    <x v="2"/>
    <n v="51029"/>
    <n v="6"/>
    <n v="29260"/>
    <n v="116398"/>
    <n v="14"/>
    <s v="No"/>
    <x v="0"/>
    <n v="-87138"/>
  </r>
  <r>
    <n v="1789"/>
    <d v="2023-03-16T12:00:00"/>
    <x v="2"/>
    <n v="11"/>
    <x v="0"/>
    <s v="Yamaha"/>
    <x v="0"/>
    <x v="0"/>
    <n v="69182"/>
    <n v="5"/>
    <n v="62596"/>
    <n v="17977"/>
    <n v="13"/>
    <s v="No"/>
    <x v="0"/>
    <n v="44619"/>
  </r>
  <r>
    <n v="1790"/>
    <d v="2023-03-16T13:00:00"/>
    <x v="2"/>
    <n v="11"/>
    <x v="0"/>
    <s v="Bajaj"/>
    <x v="0"/>
    <x v="0"/>
    <n v="92437"/>
    <n v="5"/>
    <n v="34012"/>
    <n v="130650"/>
    <n v="10"/>
    <s v="No"/>
    <x v="1"/>
    <n v="-96638"/>
  </r>
  <r>
    <n v="1791"/>
    <d v="2023-03-16T14:00:00"/>
    <x v="2"/>
    <n v="11"/>
    <x v="0"/>
    <s v="Hero"/>
    <x v="0"/>
    <x v="1"/>
    <n v="54676"/>
    <n v="1"/>
    <n v="50823"/>
    <n v="119029"/>
    <n v="5"/>
    <s v="Yes"/>
    <x v="0"/>
    <n v="-68206"/>
  </r>
  <r>
    <n v="1792"/>
    <d v="2023-03-16T15:00:00"/>
    <x v="2"/>
    <n v="11"/>
    <x v="0"/>
    <s v="Yamaha"/>
    <x v="0"/>
    <x v="2"/>
    <n v="92213"/>
    <n v="4"/>
    <n v="98851"/>
    <n v="69641"/>
    <n v="14"/>
    <s v="No"/>
    <x v="0"/>
    <n v="29210"/>
  </r>
  <r>
    <n v="1793"/>
    <d v="2023-03-16T16:00:00"/>
    <x v="2"/>
    <n v="11"/>
    <x v="0"/>
    <s v="Honda"/>
    <x v="0"/>
    <x v="3"/>
    <n v="4914"/>
    <n v="2"/>
    <n v="72027"/>
    <n v="16268"/>
    <n v="1"/>
    <s v="Yes"/>
    <x v="0"/>
    <n v="55759"/>
  </r>
  <r>
    <n v="1794"/>
    <d v="2023-03-16T17:00:00"/>
    <x v="2"/>
    <n v="11"/>
    <x v="0"/>
    <s v="TVS"/>
    <x v="0"/>
    <x v="3"/>
    <n v="83530"/>
    <n v="6"/>
    <n v="108794"/>
    <n v="129465"/>
    <n v="11"/>
    <s v="No"/>
    <x v="0"/>
    <n v="-20671"/>
  </r>
  <r>
    <n v="1795"/>
    <d v="2023-03-16T18:00:00"/>
    <x v="2"/>
    <n v="11"/>
    <x v="0"/>
    <s v="Yamaha"/>
    <x v="0"/>
    <x v="1"/>
    <n v="86473"/>
    <n v="3"/>
    <n v="50099"/>
    <n v="69431"/>
    <n v="5"/>
    <s v="Yes"/>
    <x v="0"/>
    <n v="-19332"/>
  </r>
  <r>
    <n v="1796"/>
    <d v="2023-03-16T19:00:00"/>
    <x v="2"/>
    <n v="11"/>
    <x v="0"/>
    <s v="Yamaha"/>
    <x v="0"/>
    <x v="2"/>
    <n v="62637"/>
    <n v="0"/>
    <n v="126427"/>
    <n v="31756"/>
    <n v="9"/>
    <s v="No"/>
    <x v="0"/>
    <n v="94671"/>
  </r>
  <r>
    <n v="1797"/>
    <d v="2023-03-16T20:00:00"/>
    <x v="2"/>
    <n v="11"/>
    <x v="0"/>
    <s v="TVS"/>
    <x v="0"/>
    <x v="3"/>
    <n v="4437"/>
    <n v="5"/>
    <n v="61992"/>
    <n v="35764"/>
    <n v="5"/>
    <s v="Yes"/>
    <x v="0"/>
    <n v="26228"/>
  </r>
  <r>
    <n v="1798"/>
    <d v="2023-03-16T21:00:00"/>
    <x v="2"/>
    <n v="11"/>
    <x v="0"/>
    <s v="Yamaha"/>
    <x v="1"/>
    <x v="1"/>
    <n v="37231"/>
    <n v="5"/>
    <n v="144942"/>
    <n v="74912"/>
    <n v="2"/>
    <s v="Yes"/>
    <x v="0"/>
    <n v="70030"/>
  </r>
  <r>
    <n v="1799"/>
    <d v="2023-03-16T22:00:00"/>
    <x v="2"/>
    <n v="11"/>
    <x v="0"/>
    <s v="Honda"/>
    <x v="0"/>
    <x v="1"/>
    <n v="87362"/>
    <n v="6"/>
    <n v="142886"/>
    <n v="55385"/>
    <n v="13"/>
    <s v="No"/>
    <x v="0"/>
    <n v="87501"/>
  </r>
  <r>
    <n v="1800"/>
    <d v="2023-03-16T23:00:00"/>
    <x v="2"/>
    <n v="11"/>
    <x v="0"/>
    <s v="Honda"/>
    <x v="0"/>
    <x v="3"/>
    <n v="39165"/>
    <n v="7"/>
    <n v="167049"/>
    <n v="30032"/>
    <n v="2"/>
    <s v="Yes"/>
    <x v="0"/>
    <n v="137017"/>
  </r>
  <r>
    <n v="1801"/>
    <d v="2023-03-17T00:00:00"/>
    <x v="2"/>
    <n v="11"/>
    <x v="0"/>
    <s v="TVS"/>
    <x v="1"/>
    <x v="3"/>
    <n v="75010"/>
    <n v="2"/>
    <n v="34218"/>
    <n v="110014"/>
    <n v="10"/>
    <s v="No"/>
    <x v="0"/>
    <n v="-75796"/>
  </r>
  <r>
    <n v="1802"/>
    <d v="2023-03-17T01:00:00"/>
    <x v="2"/>
    <n v="11"/>
    <x v="0"/>
    <s v="Bajaj"/>
    <x v="1"/>
    <x v="0"/>
    <n v="18000"/>
    <n v="5"/>
    <n v="46788"/>
    <n v="60702"/>
    <n v="9"/>
    <s v="No"/>
    <x v="0"/>
    <n v="-13914"/>
  </r>
  <r>
    <n v="1803"/>
    <d v="2023-03-17T02:00:00"/>
    <x v="2"/>
    <n v="11"/>
    <x v="0"/>
    <s v="Hero"/>
    <x v="0"/>
    <x v="2"/>
    <n v="2250"/>
    <n v="9"/>
    <n v="45501"/>
    <n v="26885"/>
    <n v="12"/>
    <s v="No"/>
    <x v="0"/>
    <n v="18616"/>
  </r>
  <r>
    <n v="1804"/>
    <d v="2023-03-17T03:00:00"/>
    <x v="2"/>
    <n v="11"/>
    <x v="0"/>
    <s v="Bajaj"/>
    <x v="0"/>
    <x v="0"/>
    <n v="65518"/>
    <n v="1"/>
    <n v="128733"/>
    <n v="24796"/>
    <n v="14"/>
    <s v="No"/>
    <x v="0"/>
    <n v="103937"/>
  </r>
  <r>
    <n v="1805"/>
    <d v="2023-03-17T04:00:00"/>
    <x v="2"/>
    <n v="11"/>
    <x v="0"/>
    <s v="Yamaha"/>
    <x v="0"/>
    <x v="1"/>
    <n v="4527"/>
    <n v="8"/>
    <n v="40210"/>
    <n v="119583"/>
    <n v="5"/>
    <s v="Yes"/>
    <x v="0"/>
    <n v="-79373"/>
  </r>
  <r>
    <n v="1806"/>
    <d v="2023-03-17T05:00:00"/>
    <x v="2"/>
    <n v="11"/>
    <x v="0"/>
    <s v="Hero"/>
    <x v="0"/>
    <x v="3"/>
    <n v="6245"/>
    <n v="1"/>
    <n v="153476"/>
    <n v="47863"/>
    <n v="11"/>
    <s v="No"/>
    <x v="0"/>
    <n v="105613"/>
  </r>
  <r>
    <n v="1807"/>
    <d v="2023-03-17T06:00:00"/>
    <x v="2"/>
    <n v="11"/>
    <x v="0"/>
    <s v="TVS"/>
    <x v="0"/>
    <x v="0"/>
    <n v="62231"/>
    <n v="2"/>
    <n v="99225"/>
    <n v="96014"/>
    <n v="8"/>
    <s v="No"/>
    <x v="0"/>
    <n v="3211"/>
  </r>
  <r>
    <n v="1808"/>
    <d v="2023-03-17T07:00:00"/>
    <x v="2"/>
    <n v="11"/>
    <x v="0"/>
    <s v="TVS"/>
    <x v="0"/>
    <x v="1"/>
    <n v="87484"/>
    <n v="9"/>
    <n v="88721"/>
    <n v="47117"/>
    <n v="10"/>
    <s v="No"/>
    <x v="0"/>
    <n v="41604"/>
  </r>
  <r>
    <n v="1809"/>
    <d v="2023-03-17T08:00:00"/>
    <x v="2"/>
    <n v="11"/>
    <x v="0"/>
    <s v="Hero"/>
    <x v="0"/>
    <x v="2"/>
    <n v="28951"/>
    <n v="1"/>
    <n v="164988"/>
    <n v="35753"/>
    <n v="4"/>
    <s v="Yes"/>
    <x v="1"/>
    <n v="129235"/>
  </r>
  <r>
    <n v="1810"/>
    <d v="2023-03-17T09:00:00"/>
    <x v="2"/>
    <n v="11"/>
    <x v="0"/>
    <s v="Honda"/>
    <x v="0"/>
    <x v="3"/>
    <n v="94243"/>
    <n v="8"/>
    <n v="56449"/>
    <n v="35325"/>
    <n v="2"/>
    <s v="Yes"/>
    <x v="0"/>
    <n v="21124"/>
  </r>
  <r>
    <n v="1811"/>
    <d v="2023-03-17T10:00:00"/>
    <x v="2"/>
    <n v="11"/>
    <x v="0"/>
    <s v="Hero"/>
    <x v="0"/>
    <x v="0"/>
    <n v="71974"/>
    <n v="0"/>
    <n v="114333"/>
    <n v="22021"/>
    <n v="4"/>
    <s v="Yes"/>
    <x v="0"/>
    <n v="92312"/>
  </r>
  <r>
    <n v="1812"/>
    <d v="2023-03-17T11:00:00"/>
    <x v="2"/>
    <n v="11"/>
    <x v="0"/>
    <s v="Yamaha"/>
    <x v="0"/>
    <x v="2"/>
    <n v="62036"/>
    <n v="4"/>
    <n v="45782"/>
    <n v="95721"/>
    <n v="12"/>
    <s v="No"/>
    <x v="0"/>
    <n v="-49939"/>
  </r>
  <r>
    <n v="1813"/>
    <d v="2023-03-17T12:00:00"/>
    <x v="2"/>
    <n v="11"/>
    <x v="0"/>
    <s v="Honda"/>
    <x v="0"/>
    <x v="0"/>
    <n v="12650"/>
    <n v="0"/>
    <n v="45243"/>
    <n v="139080"/>
    <n v="11"/>
    <s v="No"/>
    <x v="0"/>
    <n v="-93837"/>
  </r>
  <r>
    <n v="1814"/>
    <d v="2023-03-17T13:00:00"/>
    <x v="2"/>
    <n v="11"/>
    <x v="0"/>
    <s v="TVS"/>
    <x v="0"/>
    <x v="1"/>
    <n v="13906"/>
    <n v="4"/>
    <n v="54379"/>
    <n v="68096"/>
    <n v="4"/>
    <s v="Yes"/>
    <x v="0"/>
    <n v="-13717"/>
  </r>
  <r>
    <n v="1815"/>
    <d v="2023-03-17T14:00:00"/>
    <x v="2"/>
    <n v="11"/>
    <x v="0"/>
    <s v="Hero"/>
    <x v="0"/>
    <x v="2"/>
    <n v="20281"/>
    <n v="7"/>
    <n v="62780"/>
    <n v="86404"/>
    <n v="11"/>
    <s v="No"/>
    <x v="0"/>
    <n v="-23624"/>
  </r>
  <r>
    <n v="1816"/>
    <d v="2023-03-17T15:00:00"/>
    <x v="2"/>
    <n v="11"/>
    <x v="0"/>
    <s v="Bajaj"/>
    <x v="0"/>
    <x v="0"/>
    <n v="57917"/>
    <n v="7"/>
    <n v="139944"/>
    <n v="28071"/>
    <n v="9"/>
    <s v="No"/>
    <x v="0"/>
    <n v="111873"/>
  </r>
  <r>
    <n v="1817"/>
    <d v="2023-03-17T16:00:00"/>
    <x v="2"/>
    <n v="11"/>
    <x v="0"/>
    <s v="Bajaj"/>
    <x v="0"/>
    <x v="2"/>
    <n v="18825"/>
    <n v="7"/>
    <n v="44984"/>
    <n v="135084"/>
    <n v="10"/>
    <s v="No"/>
    <x v="0"/>
    <n v="-90100"/>
  </r>
  <r>
    <n v="1818"/>
    <d v="2023-03-17T17:00:00"/>
    <x v="2"/>
    <n v="11"/>
    <x v="0"/>
    <s v="Yamaha"/>
    <x v="1"/>
    <x v="1"/>
    <n v="69184"/>
    <n v="1"/>
    <n v="25050"/>
    <n v="79649"/>
    <n v="11"/>
    <s v="No"/>
    <x v="0"/>
    <n v="-54599"/>
  </r>
  <r>
    <n v="1819"/>
    <d v="2023-03-17T18:00:00"/>
    <x v="2"/>
    <n v="11"/>
    <x v="0"/>
    <s v="Bajaj"/>
    <x v="0"/>
    <x v="2"/>
    <n v="94915"/>
    <n v="7"/>
    <n v="162662"/>
    <n v="23041"/>
    <n v="6"/>
    <s v="Yes"/>
    <x v="0"/>
    <n v="139621"/>
  </r>
  <r>
    <n v="1820"/>
    <d v="2023-03-17T19:00:00"/>
    <x v="2"/>
    <n v="11"/>
    <x v="0"/>
    <s v="Hero"/>
    <x v="0"/>
    <x v="0"/>
    <n v="73969"/>
    <n v="4"/>
    <n v="65205"/>
    <n v="97051"/>
    <n v="10"/>
    <s v="No"/>
    <x v="0"/>
    <n v="-31846"/>
  </r>
  <r>
    <n v="1821"/>
    <d v="2023-03-17T20:00:00"/>
    <x v="2"/>
    <n v="11"/>
    <x v="0"/>
    <s v="Hero"/>
    <x v="0"/>
    <x v="1"/>
    <n v="9936"/>
    <n v="0"/>
    <n v="40162"/>
    <n v="124611"/>
    <n v="6"/>
    <s v="Yes"/>
    <x v="0"/>
    <n v="-84449"/>
  </r>
  <r>
    <n v="1822"/>
    <d v="2023-03-17T21:00:00"/>
    <x v="2"/>
    <n v="11"/>
    <x v="0"/>
    <s v="Bajaj"/>
    <x v="0"/>
    <x v="3"/>
    <n v="18169"/>
    <n v="6"/>
    <n v="74746"/>
    <n v="55058"/>
    <n v="5"/>
    <s v="Yes"/>
    <x v="0"/>
    <n v="19688"/>
  </r>
  <r>
    <n v="1823"/>
    <d v="2023-03-17T22:00:00"/>
    <x v="2"/>
    <n v="11"/>
    <x v="0"/>
    <s v="Hero"/>
    <x v="0"/>
    <x v="0"/>
    <n v="72510"/>
    <n v="5"/>
    <n v="169177"/>
    <n v="63263"/>
    <n v="6"/>
    <s v="Yes"/>
    <x v="0"/>
    <n v="105914"/>
  </r>
  <r>
    <n v="1824"/>
    <d v="2023-03-17T23:00:00"/>
    <x v="2"/>
    <n v="11"/>
    <x v="0"/>
    <s v="Yamaha"/>
    <x v="0"/>
    <x v="0"/>
    <n v="77264"/>
    <n v="4"/>
    <n v="36628"/>
    <n v="106502"/>
    <n v="1"/>
    <s v="Yes"/>
    <x v="0"/>
    <n v="-69874"/>
  </r>
  <r>
    <n v="1825"/>
    <d v="2023-03-18T00:00:00"/>
    <x v="2"/>
    <n v="11"/>
    <x v="0"/>
    <s v="Honda"/>
    <x v="0"/>
    <x v="1"/>
    <n v="99574"/>
    <n v="0"/>
    <n v="63516"/>
    <n v="119820"/>
    <n v="13"/>
    <s v="No"/>
    <x v="0"/>
    <n v="-56304"/>
  </r>
  <r>
    <n v="1826"/>
    <d v="2023-03-18T01:00:00"/>
    <x v="2"/>
    <n v="11"/>
    <x v="0"/>
    <s v="Yamaha"/>
    <x v="0"/>
    <x v="1"/>
    <n v="2343"/>
    <n v="0"/>
    <n v="112157"/>
    <n v="122645"/>
    <n v="5"/>
    <s v="Yes"/>
    <x v="0"/>
    <n v="-10488"/>
  </r>
  <r>
    <n v="1827"/>
    <d v="2023-03-18T02:00:00"/>
    <x v="2"/>
    <n v="11"/>
    <x v="0"/>
    <s v="Yamaha"/>
    <x v="0"/>
    <x v="3"/>
    <n v="66109"/>
    <n v="5"/>
    <n v="157548"/>
    <n v="59470"/>
    <n v="12"/>
    <s v="No"/>
    <x v="0"/>
    <n v="98078"/>
  </r>
  <r>
    <n v="1828"/>
    <d v="2023-03-18T03:00:00"/>
    <x v="2"/>
    <n v="11"/>
    <x v="0"/>
    <s v="Hero"/>
    <x v="0"/>
    <x v="0"/>
    <n v="51312"/>
    <n v="9"/>
    <n v="144558"/>
    <n v="102826"/>
    <n v="6"/>
    <s v="Yes"/>
    <x v="0"/>
    <n v="41732"/>
  </r>
  <r>
    <n v="1829"/>
    <d v="2023-03-18T04:00:00"/>
    <x v="2"/>
    <n v="11"/>
    <x v="0"/>
    <s v="Honda"/>
    <x v="0"/>
    <x v="1"/>
    <n v="16559"/>
    <n v="6"/>
    <n v="65800"/>
    <n v="111238"/>
    <n v="8"/>
    <s v="No"/>
    <x v="0"/>
    <n v="-45438"/>
  </r>
  <r>
    <n v="1830"/>
    <d v="2023-03-18T05:00:00"/>
    <x v="2"/>
    <n v="11"/>
    <x v="0"/>
    <s v="Hero"/>
    <x v="1"/>
    <x v="3"/>
    <n v="86769"/>
    <n v="9"/>
    <n v="60788"/>
    <n v="43223"/>
    <n v="4"/>
    <s v="Yes"/>
    <x v="0"/>
    <n v="17565"/>
  </r>
  <r>
    <n v="1831"/>
    <d v="2023-03-18T06:00:00"/>
    <x v="2"/>
    <n v="11"/>
    <x v="0"/>
    <s v="TVS"/>
    <x v="0"/>
    <x v="3"/>
    <n v="41268"/>
    <n v="9"/>
    <n v="145754"/>
    <n v="48575"/>
    <n v="14"/>
    <s v="No"/>
    <x v="0"/>
    <n v="97179"/>
  </r>
  <r>
    <n v="1832"/>
    <d v="2023-03-18T07:00:00"/>
    <x v="2"/>
    <n v="11"/>
    <x v="0"/>
    <s v="Hero"/>
    <x v="0"/>
    <x v="1"/>
    <n v="25895"/>
    <n v="0"/>
    <n v="51240"/>
    <n v="60799"/>
    <n v="5"/>
    <s v="Yes"/>
    <x v="0"/>
    <n v="-9559"/>
  </r>
  <r>
    <n v="1833"/>
    <d v="2023-03-18T08:00:00"/>
    <x v="2"/>
    <n v="11"/>
    <x v="0"/>
    <s v="Hero"/>
    <x v="0"/>
    <x v="0"/>
    <n v="20702"/>
    <n v="8"/>
    <n v="166994"/>
    <n v="129738"/>
    <n v="4"/>
    <s v="Yes"/>
    <x v="1"/>
    <n v="37256"/>
  </r>
  <r>
    <n v="1834"/>
    <d v="2023-03-18T09:00:00"/>
    <x v="2"/>
    <n v="11"/>
    <x v="0"/>
    <s v="Hero"/>
    <x v="0"/>
    <x v="2"/>
    <n v="13773"/>
    <n v="3"/>
    <n v="89198"/>
    <n v="124704"/>
    <n v="7"/>
    <s v="Yes"/>
    <x v="0"/>
    <n v="-35506"/>
  </r>
  <r>
    <n v="1835"/>
    <d v="2023-03-18T10:00:00"/>
    <x v="2"/>
    <n v="11"/>
    <x v="0"/>
    <s v="Honda"/>
    <x v="0"/>
    <x v="2"/>
    <n v="49389"/>
    <n v="4"/>
    <n v="83739"/>
    <n v="36661"/>
    <n v="10"/>
    <s v="No"/>
    <x v="0"/>
    <n v="47078"/>
  </r>
  <r>
    <n v="1836"/>
    <d v="2023-03-18T11:00:00"/>
    <x v="2"/>
    <n v="11"/>
    <x v="0"/>
    <s v="Hero"/>
    <x v="0"/>
    <x v="3"/>
    <n v="99135"/>
    <n v="1"/>
    <n v="37089"/>
    <n v="96975"/>
    <n v="6"/>
    <s v="Yes"/>
    <x v="0"/>
    <n v="-59886"/>
  </r>
  <r>
    <n v="1837"/>
    <d v="2023-03-18T12:00:00"/>
    <x v="2"/>
    <n v="11"/>
    <x v="0"/>
    <s v="Honda"/>
    <x v="0"/>
    <x v="2"/>
    <n v="73548"/>
    <n v="9"/>
    <n v="57600"/>
    <n v="51432"/>
    <n v="14"/>
    <s v="No"/>
    <x v="0"/>
    <n v="6168"/>
  </r>
  <r>
    <n v="1838"/>
    <d v="2023-03-18T13:00:00"/>
    <x v="2"/>
    <n v="11"/>
    <x v="0"/>
    <s v="Bajaj"/>
    <x v="0"/>
    <x v="2"/>
    <n v="94267"/>
    <n v="7"/>
    <n v="33167"/>
    <n v="114047"/>
    <n v="4"/>
    <s v="Yes"/>
    <x v="0"/>
    <n v="-80880"/>
  </r>
  <r>
    <n v="1839"/>
    <d v="2023-03-18T14:00:00"/>
    <x v="2"/>
    <n v="11"/>
    <x v="0"/>
    <s v="TVS"/>
    <x v="0"/>
    <x v="1"/>
    <n v="89310"/>
    <n v="1"/>
    <n v="103352"/>
    <n v="46147"/>
    <n v="6"/>
    <s v="Yes"/>
    <x v="0"/>
    <n v="57205"/>
  </r>
  <r>
    <n v="1840"/>
    <d v="2023-03-18T15:00:00"/>
    <x v="2"/>
    <n v="11"/>
    <x v="0"/>
    <s v="Honda"/>
    <x v="0"/>
    <x v="3"/>
    <n v="46010"/>
    <n v="2"/>
    <n v="177236"/>
    <n v="44114"/>
    <n v="13"/>
    <s v="No"/>
    <x v="0"/>
    <n v="133122"/>
  </r>
  <r>
    <n v="1841"/>
    <d v="2023-03-18T16:00:00"/>
    <x v="2"/>
    <n v="11"/>
    <x v="0"/>
    <s v="Bajaj"/>
    <x v="0"/>
    <x v="0"/>
    <n v="88445"/>
    <n v="8"/>
    <n v="110965"/>
    <n v="21030"/>
    <n v="4"/>
    <s v="Yes"/>
    <x v="0"/>
    <n v="89935"/>
  </r>
  <r>
    <n v="1842"/>
    <d v="2023-03-18T17:00:00"/>
    <x v="2"/>
    <n v="11"/>
    <x v="0"/>
    <s v="Honda"/>
    <x v="0"/>
    <x v="3"/>
    <n v="71149"/>
    <n v="1"/>
    <n v="150540"/>
    <n v="105051"/>
    <n v="12"/>
    <s v="No"/>
    <x v="0"/>
    <n v="45489"/>
  </r>
  <r>
    <n v="1843"/>
    <d v="2023-03-18T18:00:00"/>
    <x v="2"/>
    <n v="11"/>
    <x v="0"/>
    <s v="Honda"/>
    <x v="0"/>
    <x v="1"/>
    <n v="3381"/>
    <n v="5"/>
    <n v="56415"/>
    <n v="62429"/>
    <n v="8"/>
    <s v="No"/>
    <x v="0"/>
    <n v="-6014"/>
  </r>
  <r>
    <n v="1844"/>
    <d v="2023-03-18T19:00:00"/>
    <x v="2"/>
    <n v="11"/>
    <x v="0"/>
    <s v="TVS"/>
    <x v="0"/>
    <x v="2"/>
    <n v="46413"/>
    <n v="3"/>
    <n v="96895"/>
    <n v="62743"/>
    <n v="11"/>
    <s v="No"/>
    <x v="0"/>
    <n v="34152"/>
  </r>
  <r>
    <n v="1845"/>
    <d v="2023-03-18T20:00:00"/>
    <x v="2"/>
    <n v="11"/>
    <x v="0"/>
    <s v="Yamaha"/>
    <x v="0"/>
    <x v="0"/>
    <n v="85285"/>
    <n v="6"/>
    <n v="104900"/>
    <n v="110869"/>
    <n v="3"/>
    <s v="Yes"/>
    <x v="0"/>
    <n v="-5969"/>
  </r>
  <r>
    <n v="1846"/>
    <d v="2023-03-18T21:00:00"/>
    <x v="2"/>
    <n v="11"/>
    <x v="0"/>
    <s v="Yamaha"/>
    <x v="0"/>
    <x v="3"/>
    <n v="65537"/>
    <n v="5"/>
    <n v="119330"/>
    <n v="80615"/>
    <n v="8"/>
    <s v="No"/>
    <x v="0"/>
    <n v="38715"/>
  </r>
  <r>
    <n v="1847"/>
    <d v="2023-03-18T22:00:00"/>
    <x v="2"/>
    <n v="11"/>
    <x v="0"/>
    <s v="Honda"/>
    <x v="0"/>
    <x v="2"/>
    <n v="62957"/>
    <n v="9"/>
    <n v="83650"/>
    <n v="62577"/>
    <n v="13"/>
    <s v="No"/>
    <x v="0"/>
    <n v="21073"/>
  </r>
  <r>
    <n v="1848"/>
    <d v="2023-03-18T23:00:00"/>
    <x v="2"/>
    <n v="11"/>
    <x v="0"/>
    <s v="Hero"/>
    <x v="0"/>
    <x v="3"/>
    <n v="35843"/>
    <n v="8"/>
    <n v="25615"/>
    <n v="109584"/>
    <n v="2"/>
    <s v="Yes"/>
    <x v="1"/>
    <n v="-83969"/>
  </r>
  <r>
    <n v="1849"/>
    <d v="2023-03-19T00:00:00"/>
    <x v="2"/>
    <n v="12"/>
    <x v="0"/>
    <s v="Bajaj"/>
    <x v="1"/>
    <x v="0"/>
    <n v="62889"/>
    <n v="8"/>
    <n v="102937"/>
    <n v="125436"/>
    <n v="6"/>
    <s v="Yes"/>
    <x v="0"/>
    <n v="-22499"/>
  </r>
  <r>
    <n v="1850"/>
    <d v="2023-03-19T01:00:00"/>
    <x v="2"/>
    <n v="12"/>
    <x v="0"/>
    <s v="Hero"/>
    <x v="0"/>
    <x v="3"/>
    <n v="78750"/>
    <n v="9"/>
    <n v="66936"/>
    <n v="17966"/>
    <n v="8"/>
    <s v="No"/>
    <x v="0"/>
    <n v="48970"/>
  </r>
  <r>
    <n v="1851"/>
    <d v="2023-03-19T02:00:00"/>
    <x v="2"/>
    <n v="12"/>
    <x v="0"/>
    <s v="Hero"/>
    <x v="0"/>
    <x v="3"/>
    <n v="9156"/>
    <n v="3"/>
    <n v="132812"/>
    <n v="128838"/>
    <n v="1"/>
    <s v="Yes"/>
    <x v="0"/>
    <n v="3974"/>
  </r>
  <r>
    <n v="1852"/>
    <d v="2023-03-19T03:00:00"/>
    <x v="2"/>
    <n v="12"/>
    <x v="0"/>
    <s v="Honda"/>
    <x v="0"/>
    <x v="3"/>
    <n v="6241"/>
    <n v="0"/>
    <n v="92875"/>
    <n v="18728"/>
    <n v="6"/>
    <s v="Yes"/>
    <x v="0"/>
    <n v="74147"/>
  </r>
  <r>
    <n v="1853"/>
    <d v="2023-03-19T04:00:00"/>
    <x v="2"/>
    <n v="12"/>
    <x v="0"/>
    <s v="Honda"/>
    <x v="0"/>
    <x v="2"/>
    <n v="17161"/>
    <n v="1"/>
    <n v="106782"/>
    <n v="52304"/>
    <n v="9"/>
    <s v="No"/>
    <x v="0"/>
    <n v="54478"/>
  </r>
  <r>
    <n v="1854"/>
    <d v="2023-03-19T05:00:00"/>
    <x v="2"/>
    <n v="12"/>
    <x v="0"/>
    <s v="Honda"/>
    <x v="0"/>
    <x v="0"/>
    <n v="97591"/>
    <n v="7"/>
    <n v="86700"/>
    <n v="64277"/>
    <n v="13"/>
    <s v="No"/>
    <x v="0"/>
    <n v="22423"/>
  </r>
  <r>
    <n v="1855"/>
    <d v="2023-03-19T06:00:00"/>
    <x v="2"/>
    <n v="12"/>
    <x v="0"/>
    <s v="Honda"/>
    <x v="0"/>
    <x v="0"/>
    <n v="29190"/>
    <n v="9"/>
    <n v="33109"/>
    <n v="119117"/>
    <n v="10"/>
    <s v="No"/>
    <x v="0"/>
    <n v="-86008"/>
  </r>
  <r>
    <n v="1856"/>
    <d v="2023-03-19T07:00:00"/>
    <x v="2"/>
    <n v="12"/>
    <x v="0"/>
    <s v="Yamaha"/>
    <x v="0"/>
    <x v="2"/>
    <n v="33333"/>
    <n v="7"/>
    <n v="48758"/>
    <n v="105330"/>
    <n v="10"/>
    <s v="No"/>
    <x v="0"/>
    <n v="-56572"/>
  </r>
  <r>
    <n v="1857"/>
    <d v="2023-03-19T08:00:00"/>
    <x v="2"/>
    <n v="12"/>
    <x v="0"/>
    <s v="Honda"/>
    <x v="0"/>
    <x v="2"/>
    <n v="71740"/>
    <n v="1"/>
    <n v="133592"/>
    <n v="15947"/>
    <n v="2"/>
    <s v="Yes"/>
    <x v="0"/>
    <n v="117645"/>
  </r>
  <r>
    <n v="1858"/>
    <d v="2023-03-19T09:00:00"/>
    <x v="2"/>
    <n v="12"/>
    <x v="0"/>
    <s v="Yamaha"/>
    <x v="0"/>
    <x v="2"/>
    <n v="78211"/>
    <n v="3"/>
    <n v="38317"/>
    <n v="93101"/>
    <n v="11"/>
    <s v="No"/>
    <x v="0"/>
    <n v="-54784"/>
  </r>
  <r>
    <n v="1859"/>
    <d v="2023-03-19T10:00:00"/>
    <x v="2"/>
    <n v="12"/>
    <x v="0"/>
    <s v="Yamaha"/>
    <x v="0"/>
    <x v="1"/>
    <n v="57641"/>
    <n v="0"/>
    <n v="50622"/>
    <n v="96380"/>
    <n v="13"/>
    <s v="No"/>
    <x v="0"/>
    <n v="-45758"/>
  </r>
  <r>
    <n v="1860"/>
    <d v="2023-03-19T11:00:00"/>
    <x v="2"/>
    <n v="12"/>
    <x v="0"/>
    <s v="Honda"/>
    <x v="1"/>
    <x v="3"/>
    <n v="78732"/>
    <n v="6"/>
    <n v="31800"/>
    <n v="81130"/>
    <n v="1"/>
    <s v="Yes"/>
    <x v="0"/>
    <n v="-49330"/>
  </r>
  <r>
    <n v="1861"/>
    <d v="2023-03-19T12:00:00"/>
    <x v="2"/>
    <n v="12"/>
    <x v="0"/>
    <s v="TVS"/>
    <x v="0"/>
    <x v="3"/>
    <n v="39523"/>
    <n v="3"/>
    <n v="60539"/>
    <n v="36414"/>
    <n v="2"/>
    <s v="Yes"/>
    <x v="0"/>
    <n v="24125"/>
  </r>
  <r>
    <n v="1862"/>
    <d v="2023-03-19T13:00:00"/>
    <x v="2"/>
    <n v="12"/>
    <x v="0"/>
    <s v="Bajaj"/>
    <x v="0"/>
    <x v="0"/>
    <n v="40709"/>
    <n v="7"/>
    <n v="158672"/>
    <n v="111226"/>
    <n v="5"/>
    <s v="Yes"/>
    <x v="0"/>
    <n v="47446"/>
  </r>
  <r>
    <n v="1863"/>
    <d v="2023-03-19T14:00:00"/>
    <x v="2"/>
    <n v="12"/>
    <x v="0"/>
    <s v="Hero"/>
    <x v="0"/>
    <x v="3"/>
    <n v="94090"/>
    <n v="8"/>
    <n v="110163"/>
    <n v="97060"/>
    <n v="6"/>
    <s v="Yes"/>
    <x v="0"/>
    <n v="13103"/>
  </r>
  <r>
    <n v="1864"/>
    <d v="2023-03-19T15:00:00"/>
    <x v="2"/>
    <n v="12"/>
    <x v="0"/>
    <s v="Yamaha"/>
    <x v="0"/>
    <x v="1"/>
    <n v="87112"/>
    <n v="8"/>
    <n v="41689"/>
    <n v="108005"/>
    <n v="1"/>
    <s v="Yes"/>
    <x v="0"/>
    <n v="-66316"/>
  </r>
  <r>
    <n v="1865"/>
    <d v="2023-03-19T16:00:00"/>
    <x v="2"/>
    <n v="12"/>
    <x v="0"/>
    <s v="Bajaj"/>
    <x v="0"/>
    <x v="2"/>
    <n v="81022"/>
    <n v="2"/>
    <n v="106459"/>
    <n v="34439"/>
    <n v="7"/>
    <s v="Yes"/>
    <x v="0"/>
    <n v="72020"/>
  </r>
  <r>
    <n v="1866"/>
    <d v="2023-03-19T17:00:00"/>
    <x v="2"/>
    <n v="12"/>
    <x v="0"/>
    <s v="TVS"/>
    <x v="0"/>
    <x v="0"/>
    <n v="14940"/>
    <n v="4"/>
    <n v="63469"/>
    <n v="106742"/>
    <n v="11"/>
    <s v="No"/>
    <x v="1"/>
    <n v="-43273"/>
  </r>
  <r>
    <n v="1867"/>
    <d v="2023-03-19T18:00:00"/>
    <x v="2"/>
    <n v="12"/>
    <x v="0"/>
    <s v="Hero"/>
    <x v="0"/>
    <x v="0"/>
    <n v="8460"/>
    <n v="5"/>
    <n v="157030"/>
    <n v="73220"/>
    <n v="4"/>
    <s v="Yes"/>
    <x v="1"/>
    <n v="83810"/>
  </r>
  <r>
    <n v="1868"/>
    <d v="2023-03-19T19:00:00"/>
    <x v="2"/>
    <n v="12"/>
    <x v="0"/>
    <s v="Hero"/>
    <x v="0"/>
    <x v="3"/>
    <n v="22962"/>
    <n v="5"/>
    <n v="85012"/>
    <n v="61785"/>
    <n v="9"/>
    <s v="No"/>
    <x v="0"/>
    <n v="23227"/>
  </r>
  <r>
    <n v="1869"/>
    <d v="2023-03-19T20:00:00"/>
    <x v="2"/>
    <n v="12"/>
    <x v="0"/>
    <s v="Yamaha"/>
    <x v="0"/>
    <x v="0"/>
    <n v="18321"/>
    <n v="9"/>
    <n v="85021"/>
    <n v="51973"/>
    <n v="6"/>
    <s v="Yes"/>
    <x v="0"/>
    <n v="33048"/>
  </r>
  <r>
    <n v="1870"/>
    <d v="2023-03-19T21:00:00"/>
    <x v="2"/>
    <n v="12"/>
    <x v="0"/>
    <s v="Honda"/>
    <x v="0"/>
    <x v="2"/>
    <n v="58272"/>
    <n v="7"/>
    <n v="49642"/>
    <n v="102091"/>
    <n v="9"/>
    <s v="No"/>
    <x v="0"/>
    <n v="-52449"/>
  </r>
  <r>
    <n v="1871"/>
    <d v="2023-03-19T22:00:00"/>
    <x v="2"/>
    <n v="12"/>
    <x v="0"/>
    <s v="TVS"/>
    <x v="0"/>
    <x v="0"/>
    <n v="27758"/>
    <n v="5"/>
    <n v="104003"/>
    <n v="88318"/>
    <n v="1"/>
    <s v="Yes"/>
    <x v="0"/>
    <n v="15685"/>
  </r>
  <r>
    <n v="1872"/>
    <d v="2023-03-19T23:00:00"/>
    <x v="2"/>
    <n v="12"/>
    <x v="0"/>
    <s v="Yamaha"/>
    <x v="1"/>
    <x v="2"/>
    <n v="93389"/>
    <n v="5"/>
    <n v="148714"/>
    <n v="83196"/>
    <n v="4"/>
    <s v="Yes"/>
    <x v="1"/>
    <n v="65518"/>
  </r>
  <r>
    <n v="1873"/>
    <d v="2023-03-20T00:00:00"/>
    <x v="2"/>
    <n v="12"/>
    <x v="0"/>
    <s v="TVS"/>
    <x v="0"/>
    <x v="1"/>
    <n v="89452"/>
    <n v="3"/>
    <n v="25205"/>
    <n v="129317"/>
    <n v="2"/>
    <s v="Yes"/>
    <x v="0"/>
    <n v="-104112"/>
  </r>
  <r>
    <n v="1874"/>
    <d v="2023-03-20T01:00:00"/>
    <x v="2"/>
    <n v="12"/>
    <x v="0"/>
    <s v="Honda"/>
    <x v="0"/>
    <x v="1"/>
    <n v="63024"/>
    <n v="6"/>
    <n v="117945"/>
    <n v="120160"/>
    <n v="6"/>
    <s v="Yes"/>
    <x v="0"/>
    <n v="-2215"/>
  </r>
  <r>
    <n v="1875"/>
    <d v="2023-03-20T02:00:00"/>
    <x v="2"/>
    <n v="12"/>
    <x v="0"/>
    <s v="Honda"/>
    <x v="0"/>
    <x v="2"/>
    <n v="22615"/>
    <n v="7"/>
    <n v="37442"/>
    <n v="21089"/>
    <n v="4"/>
    <s v="Yes"/>
    <x v="0"/>
    <n v="16353"/>
  </r>
  <r>
    <n v="1876"/>
    <d v="2023-03-20T03:00:00"/>
    <x v="2"/>
    <n v="12"/>
    <x v="0"/>
    <s v="Yamaha"/>
    <x v="1"/>
    <x v="3"/>
    <n v="46933"/>
    <n v="2"/>
    <n v="116826"/>
    <n v="85854"/>
    <n v="9"/>
    <s v="No"/>
    <x v="0"/>
    <n v="30972"/>
  </r>
  <r>
    <n v="1877"/>
    <d v="2023-03-20T04:00:00"/>
    <x v="2"/>
    <n v="12"/>
    <x v="0"/>
    <s v="Honda"/>
    <x v="0"/>
    <x v="0"/>
    <n v="91004"/>
    <n v="6"/>
    <n v="161763"/>
    <n v="77235"/>
    <n v="14"/>
    <s v="No"/>
    <x v="0"/>
    <n v="84528"/>
  </r>
  <r>
    <n v="1878"/>
    <d v="2023-03-20T05:00:00"/>
    <x v="2"/>
    <n v="12"/>
    <x v="0"/>
    <s v="Bajaj"/>
    <x v="0"/>
    <x v="3"/>
    <n v="88767"/>
    <n v="2"/>
    <n v="63909"/>
    <n v="107141"/>
    <n v="3"/>
    <s v="Yes"/>
    <x v="0"/>
    <n v="-43232"/>
  </r>
  <r>
    <n v="1879"/>
    <d v="2023-03-20T06:00:00"/>
    <x v="2"/>
    <n v="12"/>
    <x v="0"/>
    <s v="Hero"/>
    <x v="0"/>
    <x v="0"/>
    <n v="88821"/>
    <n v="7"/>
    <n v="44504"/>
    <n v="44400"/>
    <n v="1"/>
    <s v="Yes"/>
    <x v="0"/>
    <n v="104"/>
  </r>
  <r>
    <n v="1880"/>
    <d v="2023-03-20T07:00:00"/>
    <x v="2"/>
    <n v="12"/>
    <x v="0"/>
    <s v="Yamaha"/>
    <x v="0"/>
    <x v="1"/>
    <n v="79864"/>
    <n v="0"/>
    <n v="120698"/>
    <n v="30405"/>
    <n v="11"/>
    <s v="No"/>
    <x v="0"/>
    <n v="90293"/>
  </r>
  <r>
    <n v="1881"/>
    <d v="2023-03-20T08:00:00"/>
    <x v="2"/>
    <n v="12"/>
    <x v="0"/>
    <s v="TVS"/>
    <x v="0"/>
    <x v="1"/>
    <n v="70577"/>
    <n v="0"/>
    <n v="112087"/>
    <n v="132240"/>
    <n v="13"/>
    <s v="No"/>
    <x v="0"/>
    <n v="-20153"/>
  </r>
  <r>
    <n v="1882"/>
    <d v="2023-03-20T09:00:00"/>
    <x v="2"/>
    <n v="12"/>
    <x v="0"/>
    <s v="Bajaj"/>
    <x v="0"/>
    <x v="1"/>
    <n v="41144"/>
    <n v="5"/>
    <n v="66716"/>
    <n v="67763"/>
    <n v="11"/>
    <s v="No"/>
    <x v="0"/>
    <n v="-1047"/>
  </r>
  <r>
    <n v="1883"/>
    <d v="2023-03-20T10:00:00"/>
    <x v="2"/>
    <n v="12"/>
    <x v="0"/>
    <s v="Yamaha"/>
    <x v="1"/>
    <x v="0"/>
    <n v="63143"/>
    <n v="9"/>
    <n v="59571"/>
    <n v="45209"/>
    <n v="1"/>
    <s v="Yes"/>
    <x v="0"/>
    <n v="14362"/>
  </r>
  <r>
    <n v="1884"/>
    <d v="2023-03-20T11:00:00"/>
    <x v="2"/>
    <n v="12"/>
    <x v="0"/>
    <s v="Honda"/>
    <x v="0"/>
    <x v="1"/>
    <n v="13811"/>
    <n v="8"/>
    <n v="171461"/>
    <n v="88598"/>
    <n v="12"/>
    <s v="No"/>
    <x v="0"/>
    <n v="82863"/>
  </r>
  <r>
    <n v="1885"/>
    <d v="2023-03-20T12:00:00"/>
    <x v="2"/>
    <n v="12"/>
    <x v="0"/>
    <s v="Honda"/>
    <x v="0"/>
    <x v="1"/>
    <n v="31031"/>
    <n v="3"/>
    <n v="118280"/>
    <n v="32424"/>
    <n v="9"/>
    <s v="No"/>
    <x v="0"/>
    <n v="85856"/>
  </r>
  <r>
    <n v="1886"/>
    <d v="2023-03-20T13:00:00"/>
    <x v="2"/>
    <n v="12"/>
    <x v="0"/>
    <s v="Honda"/>
    <x v="0"/>
    <x v="1"/>
    <n v="15088"/>
    <n v="5"/>
    <n v="70038"/>
    <n v="121810"/>
    <n v="9"/>
    <s v="No"/>
    <x v="0"/>
    <n v="-51772"/>
  </r>
  <r>
    <n v="1887"/>
    <d v="2023-03-20T14:00:00"/>
    <x v="2"/>
    <n v="12"/>
    <x v="0"/>
    <s v="Honda"/>
    <x v="0"/>
    <x v="1"/>
    <n v="49916"/>
    <n v="4"/>
    <n v="97795"/>
    <n v="104523"/>
    <n v="5"/>
    <s v="Yes"/>
    <x v="0"/>
    <n v="-6728"/>
  </r>
  <r>
    <n v="1888"/>
    <d v="2023-03-20T15:00:00"/>
    <x v="2"/>
    <n v="12"/>
    <x v="0"/>
    <s v="TVS"/>
    <x v="1"/>
    <x v="3"/>
    <n v="12880"/>
    <n v="0"/>
    <n v="70168"/>
    <n v="124955"/>
    <n v="2"/>
    <s v="Yes"/>
    <x v="0"/>
    <n v="-54787"/>
  </r>
  <r>
    <n v="1889"/>
    <d v="2023-03-20T16:00:00"/>
    <x v="2"/>
    <n v="12"/>
    <x v="0"/>
    <s v="Bajaj"/>
    <x v="0"/>
    <x v="1"/>
    <n v="43145"/>
    <n v="5"/>
    <n v="92690"/>
    <n v="35556"/>
    <n v="9"/>
    <s v="No"/>
    <x v="0"/>
    <n v="57134"/>
  </r>
  <r>
    <n v="1890"/>
    <d v="2023-03-20T17:00:00"/>
    <x v="2"/>
    <n v="12"/>
    <x v="0"/>
    <s v="Hero"/>
    <x v="0"/>
    <x v="1"/>
    <n v="18318"/>
    <n v="8"/>
    <n v="139053"/>
    <n v="108137"/>
    <n v="13"/>
    <s v="No"/>
    <x v="0"/>
    <n v="30916"/>
  </r>
  <r>
    <n v="1891"/>
    <d v="2023-03-20T18:00:00"/>
    <x v="2"/>
    <n v="12"/>
    <x v="0"/>
    <s v="TVS"/>
    <x v="0"/>
    <x v="3"/>
    <n v="31357"/>
    <n v="2"/>
    <n v="36230"/>
    <n v="34330"/>
    <n v="12"/>
    <s v="No"/>
    <x v="0"/>
    <n v="1900"/>
  </r>
  <r>
    <n v="1892"/>
    <d v="2023-03-20T19:00:00"/>
    <x v="2"/>
    <n v="12"/>
    <x v="0"/>
    <s v="TVS"/>
    <x v="0"/>
    <x v="3"/>
    <n v="22211"/>
    <n v="2"/>
    <n v="108301"/>
    <n v="96266"/>
    <n v="13"/>
    <s v="No"/>
    <x v="0"/>
    <n v="12035"/>
  </r>
  <r>
    <n v="1893"/>
    <d v="2023-03-20T20:00:00"/>
    <x v="2"/>
    <n v="12"/>
    <x v="0"/>
    <s v="Hero"/>
    <x v="0"/>
    <x v="0"/>
    <n v="5597"/>
    <n v="1"/>
    <n v="161974"/>
    <n v="18236"/>
    <n v="8"/>
    <s v="No"/>
    <x v="0"/>
    <n v="143738"/>
  </r>
  <r>
    <n v="1894"/>
    <d v="2023-03-20T21:00:00"/>
    <x v="2"/>
    <n v="12"/>
    <x v="0"/>
    <s v="Hero"/>
    <x v="0"/>
    <x v="2"/>
    <n v="28893"/>
    <n v="3"/>
    <n v="91758"/>
    <n v="84216"/>
    <n v="13"/>
    <s v="No"/>
    <x v="0"/>
    <n v="7542"/>
  </r>
  <r>
    <n v="1895"/>
    <d v="2023-03-20T22:00:00"/>
    <x v="2"/>
    <n v="12"/>
    <x v="0"/>
    <s v="Honda"/>
    <x v="0"/>
    <x v="1"/>
    <n v="22576"/>
    <n v="9"/>
    <n v="52050"/>
    <n v="45312"/>
    <n v="11"/>
    <s v="No"/>
    <x v="1"/>
    <n v="6738"/>
  </r>
  <r>
    <n v="1896"/>
    <d v="2023-03-20T23:00:00"/>
    <x v="2"/>
    <n v="12"/>
    <x v="0"/>
    <s v="TVS"/>
    <x v="1"/>
    <x v="1"/>
    <n v="84774"/>
    <n v="2"/>
    <n v="124805"/>
    <n v="128687"/>
    <n v="10"/>
    <s v="No"/>
    <x v="0"/>
    <n v="-3882"/>
  </r>
  <r>
    <n v="1897"/>
    <d v="2023-03-21T00:00:00"/>
    <x v="2"/>
    <n v="12"/>
    <x v="0"/>
    <s v="Yamaha"/>
    <x v="0"/>
    <x v="1"/>
    <n v="58109"/>
    <n v="1"/>
    <n v="94110"/>
    <n v="36191"/>
    <n v="10"/>
    <s v="No"/>
    <x v="1"/>
    <n v="57919"/>
  </r>
  <r>
    <n v="1898"/>
    <d v="2023-03-21T01:00:00"/>
    <x v="2"/>
    <n v="12"/>
    <x v="0"/>
    <s v="Hero"/>
    <x v="1"/>
    <x v="0"/>
    <n v="29817"/>
    <n v="0"/>
    <n v="127033"/>
    <n v="124602"/>
    <n v="6"/>
    <s v="Yes"/>
    <x v="0"/>
    <n v="2431"/>
  </r>
  <r>
    <n v="1899"/>
    <d v="2023-03-21T02:00:00"/>
    <x v="2"/>
    <n v="12"/>
    <x v="0"/>
    <s v="Hero"/>
    <x v="0"/>
    <x v="1"/>
    <n v="58980"/>
    <n v="2"/>
    <n v="101693"/>
    <n v="98457"/>
    <n v="7"/>
    <s v="Yes"/>
    <x v="0"/>
    <n v="3236"/>
  </r>
  <r>
    <n v="1900"/>
    <d v="2023-03-21T03:00:00"/>
    <x v="2"/>
    <n v="12"/>
    <x v="0"/>
    <s v="Bajaj"/>
    <x v="0"/>
    <x v="2"/>
    <n v="7544"/>
    <n v="9"/>
    <n v="147428"/>
    <n v="51640"/>
    <n v="12"/>
    <s v="No"/>
    <x v="0"/>
    <n v="95788"/>
  </r>
  <r>
    <n v="1901"/>
    <d v="2023-03-21T04:00:00"/>
    <x v="2"/>
    <n v="12"/>
    <x v="0"/>
    <s v="Yamaha"/>
    <x v="0"/>
    <x v="3"/>
    <n v="71533"/>
    <n v="5"/>
    <n v="44575"/>
    <n v="115171"/>
    <n v="6"/>
    <s v="Yes"/>
    <x v="0"/>
    <n v="-70596"/>
  </r>
  <r>
    <n v="1902"/>
    <d v="2023-03-21T05:00:00"/>
    <x v="2"/>
    <n v="12"/>
    <x v="0"/>
    <s v="Yamaha"/>
    <x v="0"/>
    <x v="0"/>
    <n v="55986"/>
    <n v="8"/>
    <n v="65244"/>
    <n v="77293"/>
    <n v="5"/>
    <s v="Yes"/>
    <x v="0"/>
    <n v="-12049"/>
  </r>
  <r>
    <n v="1903"/>
    <d v="2023-03-21T06:00:00"/>
    <x v="2"/>
    <n v="12"/>
    <x v="0"/>
    <s v="Hero"/>
    <x v="0"/>
    <x v="3"/>
    <n v="55662"/>
    <n v="4"/>
    <n v="39962"/>
    <n v="129124"/>
    <n v="4"/>
    <s v="Yes"/>
    <x v="0"/>
    <n v="-89162"/>
  </r>
  <r>
    <n v="1904"/>
    <d v="2023-03-21T07:00:00"/>
    <x v="2"/>
    <n v="12"/>
    <x v="0"/>
    <s v="Honda"/>
    <x v="0"/>
    <x v="1"/>
    <n v="79787"/>
    <n v="2"/>
    <n v="125695"/>
    <n v="130849"/>
    <n v="7"/>
    <s v="Yes"/>
    <x v="1"/>
    <n v="-5154"/>
  </r>
  <r>
    <n v="1905"/>
    <d v="2023-03-21T08:00:00"/>
    <x v="2"/>
    <n v="12"/>
    <x v="0"/>
    <s v="Bajaj"/>
    <x v="0"/>
    <x v="1"/>
    <n v="30382"/>
    <n v="4"/>
    <n v="115388"/>
    <n v="51688"/>
    <n v="4"/>
    <s v="Yes"/>
    <x v="0"/>
    <n v="63700"/>
  </r>
  <r>
    <n v="1906"/>
    <d v="2023-03-21T09:00:00"/>
    <x v="2"/>
    <n v="12"/>
    <x v="0"/>
    <s v="Yamaha"/>
    <x v="0"/>
    <x v="1"/>
    <n v="54578"/>
    <n v="4"/>
    <n v="102332"/>
    <n v="86229"/>
    <n v="10"/>
    <s v="No"/>
    <x v="0"/>
    <n v="16103"/>
  </r>
  <r>
    <n v="1907"/>
    <d v="2023-03-21T10:00:00"/>
    <x v="2"/>
    <n v="12"/>
    <x v="0"/>
    <s v="Hero"/>
    <x v="0"/>
    <x v="2"/>
    <n v="59234"/>
    <n v="4"/>
    <n v="152386"/>
    <n v="100802"/>
    <n v="10"/>
    <s v="No"/>
    <x v="0"/>
    <n v="51584"/>
  </r>
  <r>
    <n v="1908"/>
    <d v="2023-03-21T11:00:00"/>
    <x v="2"/>
    <n v="12"/>
    <x v="0"/>
    <s v="Yamaha"/>
    <x v="0"/>
    <x v="2"/>
    <n v="44326"/>
    <n v="6"/>
    <n v="70037"/>
    <n v="124252"/>
    <n v="10"/>
    <s v="No"/>
    <x v="0"/>
    <n v="-54215"/>
  </r>
  <r>
    <n v="1909"/>
    <d v="2023-03-21T12:00:00"/>
    <x v="2"/>
    <n v="12"/>
    <x v="0"/>
    <s v="Bajaj"/>
    <x v="0"/>
    <x v="0"/>
    <n v="88485"/>
    <n v="4"/>
    <n v="137666"/>
    <n v="107024"/>
    <n v="9"/>
    <s v="No"/>
    <x v="0"/>
    <n v="30642"/>
  </r>
  <r>
    <n v="1910"/>
    <d v="2023-03-21T13:00:00"/>
    <x v="2"/>
    <n v="12"/>
    <x v="0"/>
    <s v="Bajaj"/>
    <x v="0"/>
    <x v="3"/>
    <n v="44528"/>
    <n v="6"/>
    <n v="152048"/>
    <n v="39122"/>
    <n v="5"/>
    <s v="Yes"/>
    <x v="0"/>
    <n v="112926"/>
  </r>
  <r>
    <n v="1911"/>
    <d v="2023-03-21T14:00:00"/>
    <x v="2"/>
    <n v="12"/>
    <x v="0"/>
    <s v="TVS"/>
    <x v="0"/>
    <x v="1"/>
    <n v="51831"/>
    <n v="8"/>
    <n v="108040"/>
    <n v="56224"/>
    <n v="8"/>
    <s v="No"/>
    <x v="0"/>
    <n v="51816"/>
  </r>
  <r>
    <n v="1912"/>
    <d v="2023-03-21T15:00:00"/>
    <x v="2"/>
    <n v="12"/>
    <x v="0"/>
    <s v="Hero"/>
    <x v="0"/>
    <x v="1"/>
    <n v="99438"/>
    <n v="4"/>
    <n v="136264"/>
    <n v="109540"/>
    <n v="12"/>
    <s v="No"/>
    <x v="0"/>
    <n v="26724"/>
  </r>
  <r>
    <n v="1913"/>
    <d v="2023-03-21T16:00:00"/>
    <x v="2"/>
    <n v="12"/>
    <x v="0"/>
    <s v="Bajaj"/>
    <x v="1"/>
    <x v="1"/>
    <n v="33043"/>
    <n v="1"/>
    <n v="35715"/>
    <n v="21331"/>
    <n v="13"/>
    <s v="No"/>
    <x v="0"/>
    <n v="14384"/>
  </r>
  <r>
    <n v="1914"/>
    <d v="2023-03-21T17:00:00"/>
    <x v="2"/>
    <n v="12"/>
    <x v="0"/>
    <s v="TVS"/>
    <x v="0"/>
    <x v="1"/>
    <n v="29862"/>
    <n v="4"/>
    <n v="177875"/>
    <n v="102102"/>
    <n v="12"/>
    <s v="No"/>
    <x v="0"/>
    <n v="75773"/>
  </r>
  <r>
    <n v="1915"/>
    <d v="2023-03-21T18:00:00"/>
    <x v="2"/>
    <n v="12"/>
    <x v="0"/>
    <s v="TVS"/>
    <x v="0"/>
    <x v="2"/>
    <n v="27815"/>
    <n v="7"/>
    <n v="86726"/>
    <n v="126411"/>
    <n v="12"/>
    <s v="No"/>
    <x v="1"/>
    <n v="-39685"/>
  </r>
  <r>
    <n v="1916"/>
    <d v="2023-03-21T19:00:00"/>
    <x v="2"/>
    <n v="12"/>
    <x v="0"/>
    <s v="Yamaha"/>
    <x v="0"/>
    <x v="3"/>
    <n v="28246"/>
    <n v="3"/>
    <n v="157980"/>
    <n v="57262"/>
    <n v="6"/>
    <s v="Yes"/>
    <x v="0"/>
    <n v="100718"/>
  </r>
  <r>
    <n v="1917"/>
    <d v="2023-03-21T20:00:00"/>
    <x v="2"/>
    <n v="12"/>
    <x v="0"/>
    <s v="Yamaha"/>
    <x v="0"/>
    <x v="3"/>
    <n v="10557"/>
    <n v="1"/>
    <n v="143208"/>
    <n v="127157"/>
    <n v="4"/>
    <s v="Yes"/>
    <x v="0"/>
    <n v="16051"/>
  </r>
  <r>
    <n v="1918"/>
    <d v="2023-03-21T21:00:00"/>
    <x v="2"/>
    <n v="12"/>
    <x v="0"/>
    <s v="TVS"/>
    <x v="0"/>
    <x v="0"/>
    <n v="43415"/>
    <n v="9"/>
    <n v="78648"/>
    <n v="122690"/>
    <n v="12"/>
    <s v="No"/>
    <x v="0"/>
    <n v="-44042"/>
  </r>
  <r>
    <n v="1919"/>
    <d v="2023-03-21T22:00:00"/>
    <x v="2"/>
    <n v="12"/>
    <x v="0"/>
    <s v="Yamaha"/>
    <x v="0"/>
    <x v="2"/>
    <n v="21561"/>
    <n v="2"/>
    <n v="46134"/>
    <n v="131214"/>
    <n v="3"/>
    <s v="Yes"/>
    <x v="0"/>
    <n v="-85080"/>
  </r>
  <r>
    <n v="1920"/>
    <d v="2023-03-21T23:00:00"/>
    <x v="2"/>
    <n v="12"/>
    <x v="0"/>
    <s v="Bajaj"/>
    <x v="1"/>
    <x v="1"/>
    <n v="51870"/>
    <n v="8"/>
    <n v="81143"/>
    <n v="121435"/>
    <n v="11"/>
    <s v="No"/>
    <x v="1"/>
    <n v="-40292"/>
  </r>
  <r>
    <n v="1921"/>
    <d v="2023-03-22T00:00:00"/>
    <x v="2"/>
    <n v="12"/>
    <x v="0"/>
    <s v="Honda"/>
    <x v="0"/>
    <x v="3"/>
    <n v="34657"/>
    <n v="8"/>
    <n v="94123"/>
    <n v="125100"/>
    <n v="6"/>
    <s v="Yes"/>
    <x v="0"/>
    <n v="-30977"/>
  </r>
  <r>
    <n v="1922"/>
    <d v="2023-03-22T01:00:00"/>
    <x v="2"/>
    <n v="12"/>
    <x v="0"/>
    <s v="Bajaj"/>
    <x v="0"/>
    <x v="3"/>
    <n v="11822"/>
    <n v="7"/>
    <n v="158485"/>
    <n v="101314"/>
    <n v="1"/>
    <s v="Yes"/>
    <x v="0"/>
    <n v="57171"/>
  </r>
  <r>
    <n v="1923"/>
    <d v="2023-03-22T02:00:00"/>
    <x v="2"/>
    <n v="12"/>
    <x v="0"/>
    <s v="TVS"/>
    <x v="0"/>
    <x v="2"/>
    <n v="70312"/>
    <n v="7"/>
    <n v="178627"/>
    <n v="74592"/>
    <n v="2"/>
    <s v="Yes"/>
    <x v="0"/>
    <n v="104035"/>
  </r>
  <r>
    <n v="1924"/>
    <d v="2023-03-22T03:00:00"/>
    <x v="2"/>
    <n v="12"/>
    <x v="0"/>
    <s v="TVS"/>
    <x v="0"/>
    <x v="0"/>
    <n v="78342"/>
    <n v="7"/>
    <n v="167024"/>
    <n v="48926"/>
    <n v="7"/>
    <s v="Yes"/>
    <x v="0"/>
    <n v="118098"/>
  </r>
  <r>
    <n v="1925"/>
    <d v="2023-03-22T04:00:00"/>
    <x v="2"/>
    <n v="12"/>
    <x v="0"/>
    <s v="Bajaj"/>
    <x v="0"/>
    <x v="0"/>
    <n v="34517"/>
    <n v="7"/>
    <n v="146657"/>
    <n v="101287"/>
    <n v="4"/>
    <s v="Yes"/>
    <x v="0"/>
    <n v="45370"/>
  </r>
  <r>
    <n v="1926"/>
    <d v="2023-03-22T05:00:00"/>
    <x v="2"/>
    <n v="12"/>
    <x v="0"/>
    <s v="Yamaha"/>
    <x v="0"/>
    <x v="1"/>
    <n v="57292"/>
    <n v="7"/>
    <n v="91686"/>
    <n v="134318"/>
    <n v="5"/>
    <s v="Yes"/>
    <x v="0"/>
    <n v="-42632"/>
  </r>
  <r>
    <n v="1927"/>
    <d v="2023-03-22T06:00:00"/>
    <x v="2"/>
    <n v="12"/>
    <x v="0"/>
    <s v="Yamaha"/>
    <x v="0"/>
    <x v="0"/>
    <n v="28242"/>
    <n v="0"/>
    <n v="137841"/>
    <n v="133201"/>
    <n v="11"/>
    <s v="No"/>
    <x v="0"/>
    <n v="4640"/>
  </r>
  <r>
    <n v="1928"/>
    <d v="2023-03-22T07:00:00"/>
    <x v="2"/>
    <n v="12"/>
    <x v="0"/>
    <s v="TVS"/>
    <x v="1"/>
    <x v="3"/>
    <n v="97636"/>
    <n v="5"/>
    <n v="57264"/>
    <n v="139958"/>
    <n v="10"/>
    <s v="No"/>
    <x v="0"/>
    <n v="-82694"/>
  </r>
  <r>
    <n v="1929"/>
    <d v="2023-03-22T08:00:00"/>
    <x v="2"/>
    <n v="12"/>
    <x v="0"/>
    <s v="Hero"/>
    <x v="0"/>
    <x v="0"/>
    <n v="65308"/>
    <n v="8"/>
    <n v="134885"/>
    <n v="32528"/>
    <n v="1"/>
    <s v="Yes"/>
    <x v="0"/>
    <n v="102357"/>
  </r>
  <r>
    <n v="1930"/>
    <d v="2023-03-22T09:00:00"/>
    <x v="2"/>
    <n v="12"/>
    <x v="0"/>
    <s v="Yamaha"/>
    <x v="0"/>
    <x v="1"/>
    <n v="18129"/>
    <n v="7"/>
    <n v="165880"/>
    <n v="15068"/>
    <n v="2"/>
    <s v="Yes"/>
    <x v="0"/>
    <n v="150812"/>
  </r>
  <r>
    <n v="1931"/>
    <d v="2023-03-22T10:00:00"/>
    <x v="2"/>
    <n v="12"/>
    <x v="0"/>
    <s v="Bajaj"/>
    <x v="0"/>
    <x v="3"/>
    <n v="8745"/>
    <n v="2"/>
    <n v="77330"/>
    <n v="84253"/>
    <n v="4"/>
    <s v="Yes"/>
    <x v="0"/>
    <n v="-6923"/>
  </r>
  <r>
    <n v="1932"/>
    <d v="2023-03-22T11:00:00"/>
    <x v="2"/>
    <n v="12"/>
    <x v="0"/>
    <s v="Yamaha"/>
    <x v="0"/>
    <x v="0"/>
    <n v="97450"/>
    <n v="0"/>
    <n v="139672"/>
    <n v="95754"/>
    <n v="8"/>
    <s v="No"/>
    <x v="0"/>
    <n v="43918"/>
  </r>
  <r>
    <n v="1933"/>
    <d v="2023-03-22T12:00:00"/>
    <x v="2"/>
    <n v="12"/>
    <x v="0"/>
    <s v="Bajaj"/>
    <x v="0"/>
    <x v="0"/>
    <n v="44370"/>
    <n v="1"/>
    <n v="63345"/>
    <n v="58968"/>
    <n v="10"/>
    <s v="No"/>
    <x v="0"/>
    <n v="4377"/>
  </r>
  <r>
    <n v="1934"/>
    <d v="2023-03-22T13:00:00"/>
    <x v="2"/>
    <n v="12"/>
    <x v="0"/>
    <s v="TVS"/>
    <x v="0"/>
    <x v="2"/>
    <n v="96134"/>
    <n v="1"/>
    <n v="64222"/>
    <n v="105938"/>
    <n v="4"/>
    <s v="Yes"/>
    <x v="0"/>
    <n v="-41716"/>
  </r>
  <r>
    <n v="1935"/>
    <d v="2023-03-22T14:00:00"/>
    <x v="2"/>
    <n v="12"/>
    <x v="0"/>
    <s v="Yamaha"/>
    <x v="0"/>
    <x v="1"/>
    <n v="65329"/>
    <n v="6"/>
    <n v="82755"/>
    <n v="63623"/>
    <n v="14"/>
    <s v="No"/>
    <x v="0"/>
    <n v="19132"/>
  </r>
  <r>
    <n v="1936"/>
    <d v="2023-03-22T15:00:00"/>
    <x v="2"/>
    <n v="12"/>
    <x v="0"/>
    <s v="Bajaj"/>
    <x v="0"/>
    <x v="0"/>
    <n v="11088"/>
    <n v="5"/>
    <n v="33933"/>
    <n v="112179"/>
    <n v="3"/>
    <s v="Yes"/>
    <x v="0"/>
    <n v="-78246"/>
  </r>
  <r>
    <n v="1937"/>
    <d v="2023-03-22T16:00:00"/>
    <x v="2"/>
    <n v="12"/>
    <x v="0"/>
    <s v="TVS"/>
    <x v="0"/>
    <x v="2"/>
    <n v="942"/>
    <n v="1"/>
    <n v="93207"/>
    <n v="57129"/>
    <n v="3"/>
    <s v="Yes"/>
    <x v="0"/>
    <n v="36078"/>
  </r>
  <r>
    <n v="1938"/>
    <d v="2023-03-22T17:00:00"/>
    <x v="2"/>
    <n v="12"/>
    <x v="0"/>
    <s v="Hero"/>
    <x v="1"/>
    <x v="3"/>
    <n v="77839"/>
    <n v="7"/>
    <n v="129691"/>
    <n v="138863"/>
    <n v="12"/>
    <s v="No"/>
    <x v="0"/>
    <n v="-9172"/>
  </r>
  <r>
    <n v="1939"/>
    <d v="2023-03-22T18:00:00"/>
    <x v="2"/>
    <n v="12"/>
    <x v="0"/>
    <s v="Bajaj"/>
    <x v="0"/>
    <x v="2"/>
    <n v="41221"/>
    <n v="8"/>
    <n v="130137"/>
    <n v="128996"/>
    <n v="5"/>
    <s v="Yes"/>
    <x v="0"/>
    <n v="1141"/>
  </r>
  <r>
    <n v="1940"/>
    <d v="2023-03-22T19:00:00"/>
    <x v="2"/>
    <n v="12"/>
    <x v="0"/>
    <s v="Hero"/>
    <x v="1"/>
    <x v="2"/>
    <n v="37645"/>
    <n v="6"/>
    <n v="177955"/>
    <n v="109688"/>
    <n v="3"/>
    <s v="Yes"/>
    <x v="0"/>
    <n v="68267"/>
  </r>
  <r>
    <n v="1941"/>
    <d v="2023-03-22T20:00:00"/>
    <x v="2"/>
    <n v="12"/>
    <x v="0"/>
    <s v="Hero"/>
    <x v="1"/>
    <x v="0"/>
    <n v="11099"/>
    <n v="3"/>
    <n v="123818"/>
    <n v="76321"/>
    <n v="8"/>
    <s v="No"/>
    <x v="0"/>
    <n v="47497"/>
  </r>
  <r>
    <n v="1942"/>
    <d v="2023-03-22T21:00:00"/>
    <x v="2"/>
    <n v="12"/>
    <x v="0"/>
    <s v="Honda"/>
    <x v="0"/>
    <x v="0"/>
    <n v="73094"/>
    <n v="0"/>
    <n v="123510"/>
    <n v="26526"/>
    <n v="5"/>
    <s v="Yes"/>
    <x v="1"/>
    <n v="96984"/>
  </r>
  <r>
    <n v="1943"/>
    <d v="2023-03-22T22:00:00"/>
    <x v="2"/>
    <n v="12"/>
    <x v="0"/>
    <s v="Yamaha"/>
    <x v="0"/>
    <x v="0"/>
    <n v="83242"/>
    <n v="3"/>
    <n v="124251"/>
    <n v="107452"/>
    <n v="12"/>
    <s v="No"/>
    <x v="0"/>
    <n v="16799"/>
  </r>
  <r>
    <n v="1944"/>
    <d v="2023-03-22T23:00:00"/>
    <x v="2"/>
    <n v="12"/>
    <x v="0"/>
    <s v="Bajaj"/>
    <x v="0"/>
    <x v="2"/>
    <n v="77930"/>
    <n v="3"/>
    <n v="171452"/>
    <n v="123511"/>
    <n v="14"/>
    <s v="No"/>
    <x v="0"/>
    <n v="47941"/>
  </r>
  <r>
    <n v="1945"/>
    <d v="2023-03-23T00:00:00"/>
    <x v="2"/>
    <n v="12"/>
    <x v="0"/>
    <s v="Hero"/>
    <x v="0"/>
    <x v="3"/>
    <n v="3439"/>
    <n v="7"/>
    <n v="43212"/>
    <n v="106564"/>
    <n v="12"/>
    <s v="No"/>
    <x v="0"/>
    <n v="-63352"/>
  </r>
  <r>
    <n v="1946"/>
    <d v="2023-03-23T01:00:00"/>
    <x v="2"/>
    <n v="12"/>
    <x v="0"/>
    <s v="Honda"/>
    <x v="0"/>
    <x v="1"/>
    <n v="22649"/>
    <n v="3"/>
    <n v="53174"/>
    <n v="41709"/>
    <n v="14"/>
    <s v="No"/>
    <x v="0"/>
    <n v="11465"/>
  </r>
  <r>
    <n v="1947"/>
    <d v="2023-03-23T02:00:00"/>
    <x v="2"/>
    <n v="12"/>
    <x v="0"/>
    <s v="TVS"/>
    <x v="0"/>
    <x v="2"/>
    <n v="67067"/>
    <n v="3"/>
    <n v="162933"/>
    <n v="122535"/>
    <n v="7"/>
    <s v="Yes"/>
    <x v="0"/>
    <n v="40398"/>
  </r>
  <r>
    <n v="1948"/>
    <d v="2023-03-23T03:00:00"/>
    <x v="2"/>
    <n v="12"/>
    <x v="0"/>
    <s v="Bajaj"/>
    <x v="1"/>
    <x v="0"/>
    <n v="10708"/>
    <n v="1"/>
    <n v="162166"/>
    <n v="30063"/>
    <n v="11"/>
    <s v="No"/>
    <x v="0"/>
    <n v="132103"/>
  </r>
  <r>
    <n v="1949"/>
    <d v="2023-03-23T04:00:00"/>
    <x v="2"/>
    <n v="12"/>
    <x v="0"/>
    <s v="Hero"/>
    <x v="0"/>
    <x v="1"/>
    <n v="66598"/>
    <n v="9"/>
    <n v="129649"/>
    <n v="19723"/>
    <n v="8"/>
    <s v="No"/>
    <x v="1"/>
    <n v="109926"/>
  </r>
  <r>
    <n v="1950"/>
    <d v="2023-03-23T05:00:00"/>
    <x v="2"/>
    <n v="12"/>
    <x v="0"/>
    <s v="Yamaha"/>
    <x v="0"/>
    <x v="3"/>
    <n v="49992"/>
    <n v="6"/>
    <n v="76319"/>
    <n v="19213"/>
    <n v="5"/>
    <s v="Yes"/>
    <x v="0"/>
    <n v="57106"/>
  </r>
  <r>
    <n v="1951"/>
    <d v="2023-03-23T06:00:00"/>
    <x v="2"/>
    <n v="12"/>
    <x v="0"/>
    <s v="Honda"/>
    <x v="0"/>
    <x v="1"/>
    <n v="21451"/>
    <n v="3"/>
    <n v="112846"/>
    <n v="37797"/>
    <n v="8"/>
    <s v="No"/>
    <x v="0"/>
    <n v="75049"/>
  </r>
  <r>
    <n v="1952"/>
    <d v="2023-03-23T07:00:00"/>
    <x v="2"/>
    <n v="12"/>
    <x v="0"/>
    <s v="Hero"/>
    <x v="1"/>
    <x v="0"/>
    <n v="49420"/>
    <n v="5"/>
    <n v="79808"/>
    <n v="116770"/>
    <n v="12"/>
    <s v="No"/>
    <x v="1"/>
    <n v="-36962"/>
  </r>
  <r>
    <n v="1953"/>
    <d v="2023-03-23T08:00:00"/>
    <x v="2"/>
    <n v="12"/>
    <x v="0"/>
    <s v="Yamaha"/>
    <x v="0"/>
    <x v="2"/>
    <n v="47266"/>
    <n v="2"/>
    <n v="162015"/>
    <n v="99946"/>
    <n v="3"/>
    <s v="Yes"/>
    <x v="0"/>
    <n v="62069"/>
  </r>
  <r>
    <n v="1954"/>
    <d v="2023-03-23T09:00:00"/>
    <x v="2"/>
    <n v="12"/>
    <x v="0"/>
    <s v="Hero"/>
    <x v="1"/>
    <x v="2"/>
    <n v="57514"/>
    <n v="6"/>
    <n v="67616"/>
    <n v="103918"/>
    <n v="14"/>
    <s v="No"/>
    <x v="0"/>
    <n v="-36302"/>
  </r>
  <r>
    <n v="1955"/>
    <d v="2023-03-23T10:00:00"/>
    <x v="2"/>
    <n v="12"/>
    <x v="0"/>
    <s v="Bajaj"/>
    <x v="0"/>
    <x v="0"/>
    <n v="28851"/>
    <n v="5"/>
    <n v="99329"/>
    <n v="60217"/>
    <n v="12"/>
    <s v="No"/>
    <x v="0"/>
    <n v="39112"/>
  </r>
  <r>
    <n v="1956"/>
    <d v="2023-03-23T11:00:00"/>
    <x v="2"/>
    <n v="12"/>
    <x v="0"/>
    <s v="Bajaj"/>
    <x v="0"/>
    <x v="2"/>
    <n v="84716"/>
    <n v="2"/>
    <n v="152957"/>
    <n v="83283"/>
    <n v="7"/>
    <s v="Yes"/>
    <x v="0"/>
    <n v="69674"/>
  </r>
  <r>
    <n v="1957"/>
    <d v="2023-03-23T12:00:00"/>
    <x v="2"/>
    <n v="12"/>
    <x v="0"/>
    <s v="Bajaj"/>
    <x v="0"/>
    <x v="0"/>
    <n v="49886"/>
    <n v="3"/>
    <n v="81152"/>
    <n v="38655"/>
    <n v="8"/>
    <s v="No"/>
    <x v="0"/>
    <n v="42497"/>
  </r>
  <r>
    <n v="1958"/>
    <d v="2023-03-23T13:00:00"/>
    <x v="2"/>
    <n v="12"/>
    <x v="0"/>
    <s v="Honda"/>
    <x v="0"/>
    <x v="2"/>
    <n v="87622"/>
    <n v="9"/>
    <n v="67351"/>
    <n v="110884"/>
    <n v="7"/>
    <s v="Yes"/>
    <x v="1"/>
    <n v="-43533"/>
  </r>
  <r>
    <n v="1959"/>
    <d v="2023-03-23T14:00:00"/>
    <x v="2"/>
    <n v="12"/>
    <x v="0"/>
    <s v="Bajaj"/>
    <x v="0"/>
    <x v="2"/>
    <n v="9808"/>
    <n v="4"/>
    <n v="147377"/>
    <n v="92990"/>
    <n v="14"/>
    <s v="No"/>
    <x v="0"/>
    <n v="54387"/>
  </r>
  <r>
    <n v="1960"/>
    <d v="2023-03-23T15:00:00"/>
    <x v="2"/>
    <n v="12"/>
    <x v="0"/>
    <s v="Yamaha"/>
    <x v="0"/>
    <x v="2"/>
    <n v="59752"/>
    <n v="8"/>
    <n v="85616"/>
    <n v="27587"/>
    <n v="2"/>
    <s v="Yes"/>
    <x v="0"/>
    <n v="58029"/>
  </r>
  <r>
    <n v="1961"/>
    <d v="2023-03-23T16:00:00"/>
    <x v="2"/>
    <n v="12"/>
    <x v="0"/>
    <s v="Hero"/>
    <x v="0"/>
    <x v="3"/>
    <n v="75645"/>
    <n v="5"/>
    <n v="179969"/>
    <n v="37555"/>
    <n v="8"/>
    <s v="No"/>
    <x v="0"/>
    <n v="142414"/>
  </r>
  <r>
    <n v="1962"/>
    <d v="2023-03-23T17:00:00"/>
    <x v="2"/>
    <n v="12"/>
    <x v="0"/>
    <s v="TVS"/>
    <x v="0"/>
    <x v="3"/>
    <n v="95531"/>
    <n v="3"/>
    <n v="48010"/>
    <n v="43071"/>
    <n v="6"/>
    <s v="Yes"/>
    <x v="0"/>
    <n v="4939"/>
  </r>
  <r>
    <n v="1963"/>
    <d v="2023-03-23T18:00:00"/>
    <x v="2"/>
    <n v="12"/>
    <x v="0"/>
    <s v="Yamaha"/>
    <x v="0"/>
    <x v="0"/>
    <n v="83711"/>
    <n v="6"/>
    <n v="146822"/>
    <n v="35239"/>
    <n v="10"/>
    <s v="No"/>
    <x v="0"/>
    <n v="111583"/>
  </r>
  <r>
    <n v="1964"/>
    <d v="2023-03-23T19:00:00"/>
    <x v="2"/>
    <n v="12"/>
    <x v="0"/>
    <s v="Yamaha"/>
    <x v="1"/>
    <x v="3"/>
    <n v="28564"/>
    <n v="1"/>
    <n v="176186"/>
    <n v="138441"/>
    <n v="3"/>
    <s v="Yes"/>
    <x v="0"/>
    <n v="37745"/>
  </r>
  <r>
    <n v="1965"/>
    <d v="2023-03-23T20:00:00"/>
    <x v="2"/>
    <n v="12"/>
    <x v="0"/>
    <s v="Bajaj"/>
    <x v="0"/>
    <x v="0"/>
    <n v="54379"/>
    <n v="3"/>
    <n v="44050"/>
    <n v="112138"/>
    <n v="4"/>
    <s v="Yes"/>
    <x v="0"/>
    <n v="-68088"/>
  </r>
  <r>
    <n v="1966"/>
    <d v="2023-03-23T21:00:00"/>
    <x v="2"/>
    <n v="12"/>
    <x v="0"/>
    <s v="Honda"/>
    <x v="0"/>
    <x v="1"/>
    <n v="9220"/>
    <n v="4"/>
    <n v="46125"/>
    <n v="64151"/>
    <n v="7"/>
    <s v="Yes"/>
    <x v="0"/>
    <n v="-18026"/>
  </r>
  <r>
    <n v="1967"/>
    <d v="2023-03-23T22:00:00"/>
    <x v="2"/>
    <n v="12"/>
    <x v="0"/>
    <s v="Hero"/>
    <x v="0"/>
    <x v="1"/>
    <n v="43440"/>
    <n v="3"/>
    <n v="176468"/>
    <n v="17203"/>
    <n v="3"/>
    <s v="Yes"/>
    <x v="1"/>
    <n v="159265"/>
  </r>
  <r>
    <n v="1968"/>
    <d v="2023-03-23T23:00:00"/>
    <x v="2"/>
    <n v="12"/>
    <x v="0"/>
    <s v="Honda"/>
    <x v="0"/>
    <x v="3"/>
    <n v="80493"/>
    <n v="3"/>
    <n v="117661"/>
    <n v="28635"/>
    <n v="1"/>
    <s v="Yes"/>
    <x v="0"/>
    <n v="89026"/>
  </r>
  <r>
    <n v="1969"/>
    <d v="2023-03-24T00:00:00"/>
    <x v="2"/>
    <n v="12"/>
    <x v="0"/>
    <s v="Hero"/>
    <x v="0"/>
    <x v="1"/>
    <n v="68975"/>
    <n v="8"/>
    <n v="113116"/>
    <n v="67571"/>
    <n v="6"/>
    <s v="Yes"/>
    <x v="1"/>
    <n v="45545"/>
  </r>
  <r>
    <n v="1970"/>
    <d v="2023-03-24T01:00:00"/>
    <x v="2"/>
    <n v="12"/>
    <x v="0"/>
    <s v="Hero"/>
    <x v="0"/>
    <x v="1"/>
    <n v="47613"/>
    <n v="1"/>
    <n v="144233"/>
    <n v="16144"/>
    <n v="3"/>
    <s v="Yes"/>
    <x v="0"/>
    <n v="128089"/>
  </r>
  <r>
    <n v="1971"/>
    <d v="2023-03-24T02:00:00"/>
    <x v="2"/>
    <n v="12"/>
    <x v="0"/>
    <s v="Honda"/>
    <x v="0"/>
    <x v="2"/>
    <n v="49426"/>
    <n v="5"/>
    <n v="179646"/>
    <n v="47699"/>
    <n v="11"/>
    <s v="No"/>
    <x v="0"/>
    <n v="131947"/>
  </r>
  <r>
    <n v="1972"/>
    <d v="2023-03-24T03:00:00"/>
    <x v="2"/>
    <n v="12"/>
    <x v="0"/>
    <s v="Yamaha"/>
    <x v="0"/>
    <x v="2"/>
    <n v="38703"/>
    <n v="7"/>
    <n v="115155"/>
    <n v="99619"/>
    <n v="10"/>
    <s v="No"/>
    <x v="0"/>
    <n v="15536"/>
  </r>
  <r>
    <n v="1973"/>
    <d v="2023-03-24T04:00:00"/>
    <x v="2"/>
    <n v="12"/>
    <x v="0"/>
    <s v="Hero"/>
    <x v="0"/>
    <x v="0"/>
    <n v="89401"/>
    <n v="7"/>
    <n v="154843"/>
    <n v="106663"/>
    <n v="6"/>
    <s v="Yes"/>
    <x v="1"/>
    <n v="48180"/>
  </r>
  <r>
    <n v="1974"/>
    <d v="2023-03-24T05:00:00"/>
    <x v="2"/>
    <n v="12"/>
    <x v="0"/>
    <s v="Honda"/>
    <x v="0"/>
    <x v="1"/>
    <n v="5892"/>
    <n v="6"/>
    <n v="38869"/>
    <n v="27213"/>
    <n v="10"/>
    <s v="No"/>
    <x v="1"/>
    <n v="11656"/>
  </r>
  <r>
    <n v="1975"/>
    <d v="2023-03-24T06:00:00"/>
    <x v="2"/>
    <n v="12"/>
    <x v="0"/>
    <s v="Hero"/>
    <x v="0"/>
    <x v="0"/>
    <n v="26405"/>
    <n v="9"/>
    <n v="87167"/>
    <n v="31944"/>
    <n v="12"/>
    <s v="No"/>
    <x v="1"/>
    <n v="55223"/>
  </r>
  <r>
    <n v="1976"/>
    <d v="2023-03-24T07:00:00"/>
    <x v="2"/>
    <n v="12"/>
    <x v="0"/>
    <s v="TVS"/>
    <x v="0"/>
    <x v="0"/>
    <n v="74008"/>
    <n v="3"/>
    <n v="168194"/>
    <n v="81723"/>
    <n v="3"/>
    <s v="Yes"/>
    <x v="1"/>
    <n v="86471"/>
  </r>
  <r>
    <n v="1977"/>
    <d v="2023-03-24T08:00:00"/>
    <x v="2"/>
    <n v="12"/>
    <x v="0"/>
    <s v="Yamaha"/>
    <x v="0"/>
    <x v="1"/>
    <n v="50885"/>
    <n v="6"/>
    <n v="169407"/>
    <n v="83669"/>
    <n v="6"/>
    <s v="Yes"/>
    <x v="0"/>
    <n v="85738"/>
  </r>
  <r>
    <n v="1978"/>
    <d v="2023-03-24T09:00:00"/>
    <x v="2"/>
    <n v="12"/>
    <x v="0"/>
    <s v="Bajaj"/>
    <x v="0"/>
    <x v="3"/>
    <n v="31153"/>
    <n v="9"/>
    <n v="88576"/>
    <n v="83947"/>
    <n v="11"/>
    <s v="No"/>
    <x v="0"/>
    <n v="4629"/>
  </r>
  <r>
    <n v="1979"/>
    <d v="2023-03-24T10:00:00"/>
    <x v="2"/>
    <n v="12"/>
    <x v="0"/>
    <s v="Hero"/>
    <x v="0"/>
    <x v="1"/>
    <n v="92365"/>
    <n v="5"/>
    <n v="46677"/>
    <n v="49457"/>
    <n v="4"/>
    <s v="Yes"/>
    <x v="0"/>
    <n v="-2780"/>
  </r>
  <r>
    <n v="1980"/>
    <d v="2023-03-24T11:00:00"/>
    <x v="2"/>
    <n v="12"/>
    <x v="0"/>
    <s v="TVS"/>
    <x v="1"/>
    <x v="2"/>
    <n v="85220"/>
    <n v="5"/>
    <n v="150662"/>
    <n v="117711"/>
    <n v="13"/>
    <s v="No"/>
    <x v="0"/>
    <n v="32951"/>
  </r>
  <r>
    <n v="1981"/>
    <d v="2023-03-24T12:00:00"/>
    <x v="2"/>
    <n v="12"/>
    <x v="0"/>
    <s v="Bajaj"/>
    <x v="0"/>
    <x v="1"/>
    <n v="15299"/>
    <n v="1"/>
    <n v="101794"/>
    <n v="50191"/>
    <n v="4"/>
    <s v="Yes"/>
    <x v="1"/>
    <n v="51603"/>
  </r>
  <r>
    <n v="1982"/>
    <d v="2023-03-24T13:00:00"/>
    <x v="2"/>
    <n v="12"/>
    <x v="0"/>
    <s v="Bajaj"/>
    <x v="0"/>
    <x v="3"/>
    <n v="60603"/>
    <n v="7"/>
    <n v="100675"/>
    <n v="131057"/>
    <n v="10"/>
    <s v="No"/>
    <x v="0"/>
    <n v="-30382"/>
  </r>
  <r>
    <n v="1983"/>
    <d v="2023-03-24T14:00:00"/>
    <x v="2"/>
    <n v="12"/>
    <x v="0"/>
    <s v="Hero"/>
    <x v="0"/>
    <x v="0"/>
    <n v="15552"/>
    <n v="7"/>
    <n v="67325"/>
    <n v="135695"/>
    <n v="10"/>
    <s v="No"/>
    <x v="0"/>
    <n v="-68370"/>
  </r>
  <r>
    <n v="1984"/>
    <d v="2023-03-24T15:00:00"/>
    <x v="2"/>
    <n v="12"/>
    <x v="0"/>
    <s v="Honda"/>
    <x v="0"/>
    <x v="0"/>
    <n v="6544"/>
    <n v="6"/>
    <n v="65503"/>
    <n v="87264"/>
    <n v="11"/>
    <s v="No"/>
    <x v="0"/>
    <n v="-21761"/>
  </r>
  <r>
    <n v="1985"/>
    <d v="2023-03-24T16:00:00"/>
    <x v="2"/>
    <n v="12"/>
    <x v="0"/>
    <s v="Hero"/>
    <x v="0"/>
    <x v="2"/>
    <n v="20371"/>
    <n v="8"/>
    <n v="44514"/>
    <n v="72924"/>
    <n v="2"/>
    <s v="Yes"/>
    <x v="0"/>
    <n v="-28410"/>
  </r>
  <r>
    <n v="1986"/>
    <d v="2023-03-24T17:00:00"/>
    <x v="2"/>
    <n v="12"/>
    <x v="0"/>
    <s v="TVS"/>
    <x v="0"/>
    <x v="2"/>
    <n v="89803"/>
    <n v="7"/>
    <n v="81196"/>
    <n v="48744"/>
    <n v="14"/>
    <s v="No"/>
    <x v="0"/>
    <n v="32452"/>
  </r>
  <r>
    <n v="1987"/>
    <d v="2023-03-24T18:00:00"/>
    <x v="2"/>
    <n v="12"/>
    <x v="0"/>
    <s v="Bajaj"/>
    <x v="0"/>
    <x v="2"/>
    <n v="20734"/>
    <n v="8"/>
    <n v="176989"/>
    <n v="68424"/>
    <n v="4"/>
    <s v="Yes"/>
    <x v="0"/>
    <n v="108565"/>
  </r>
  <r>
    <n v="1988"/>
    <d v="2023-03-24T19:00:00"/>
    <x v="2"/>
    <n v="12"/>
    <x v="0"/>
    <s v="Hero"/>
    <x v="0"/>
    <x v="0"/>
    <n v="21881"/>
    <n v="8"/>
    <n v="119633"/>
    <n v="103417"/>
    <n v="11"/>
    <s v="No"/>
    <x v="0"/>
    <n v="16216"/>
  </r>
  <r>
    <n v="1989"/>
    <d v="2023-03-24T20:00:00"/>
    <x v="2"/>
    <n v="12"/>
    <x v="0"/>
    <s v="Honda"/>
    <x v="0"/>
    <x v="2"/>
    <n v="17774"/>
    <n v="5"/>
    <n v="108324"/>
    <n v="93337"/>
    <n v="12"/>
    <s v="No"/>
    <x v="0"/>
    <n v="14987"/>
  </r>
  <r>
    <n v="1990"/>
    <d v="2023-03-24T21:00:00"/>
    <x v="2"/>
    <n v="12"/>
    <x v="0"/>
    <s v="Hero"/>
    <x v="0"/>
    <x v="1"/>
    <n v="88340"/>
    <n v="1"/>
    <n v="166019"/>
    <n v="91084"/>
    <n v="4"/>
    <s v="Yes"/>
    <x v="0"/>
    <n v="74935"/>
  </r>
  <r>
    <n v="1991"/>
    <d v="2023-03-24T22:00:00"/>
    <x v="2"/>
    <n v="12"/>
    <x v="0"/>
    <s v="Yamaha"/>
    <x v="0"/>
    <x v="0"/>
    <n v="83608"/>
    <n v="6"/>
    <n v="110550"/>
    <n v="47886"/>
    <n v="11"/>
    <s v="No"/>
    <x v="0"/>
    <n v="62664"/>
  </r>
  <r>
    <n v="1992"/>
    <d v="2023-03-24T23:00:00"/>
    <x v="2"/>
    <n v="12"/>
    <x v="0"/>
    <s v="Honda"/>
    <x v="0"/>
    <x v="3"/>
    <n v="50392"/>
    <n v="2"/>
    <n v="105331"/>
    <n v="114846"/>
    <n v="7"/>
    <s v="Yes"/>
    <x v="1"/>
    <n v="-9515"/>
  </r>
  <r>
    <n v="1993"/>
    <d v="2023-03-25T00:00:00"/>
    <x v="2"/>
    <n v="12"/>
    <x v="0"/>
    <s v="TVS"/>
    <x v="0"/>
    <x v="0"/>
    <n v="51021"/>
    <n v="6"/>
    <n v="175424"/>
    <n v="134550"/>
    <n v="5"/>
    <s v="Yes"/>
    <x v="0"/>
    <n v="40874"/>
  </r>
  <r>
    <n v="1994"/>
    <d v="2023-03-25T01:00:00"/>
    <x v="2"/>
    <n v="12"/>
    <x v="0"/>
    <s v="Bajaj"/>
    <x v="0"/>
    <x v="1"/>
    <n v="92001"/>
    <n v="8"/>
    <n v="48653"/>
    <n v="99963"/>
    <n v="8"/>
    <s v="No"/>
    <x v="0"/>
    <n v="-51310"/>
  </r>
  <r>
    <n v="1995"/>
    <d v="2023-03-25T02:00:00"/>
    <x v="2"/>
    <n v="12"/>
    <x v="0"/>
    <s v="Hero"/>
    <x v="0"/>
    <x v="1"/>
    <n v="84420"/>
    <n v="9"/>
    <n v="122294"/>
    <n v="15972"/>
    <n v="7"/>
    <s v="Yes"/>
    <x v="0"/>
    <n v="106322"/>
  </r>
  <r>
    <n v="1996"/>
    <d v="2023-03-25T03:00:00"/>
    <x v="2"/>
    <n v="12"/>
    <x v="0"/>
    <s v="Honda"/>
    <x v="0"/>
    <x v="2"/>
    <n v="83891"/>
    <n v="9"/>
    <n v="68755"/>
    <n v="114219"/>
    <n v="10"/>
    <s v="No"/>
    <x v="0"/>
    <n v="-45464"/>
  </r>
  <r>
    <n v="1997"/>
    <d v="2023-03-25T04:00:00"/>
    <x v="2"/>
    <n v="12"/>
    <x v="0"/>
    <s v="Yamaha"/>
    <x v="0"/>
    <x v="0"/>
    <n v="18420"/>
    <n v="1"/>
    <n v="129296"/>
    <n v="21621"/>
    <n v="9"/>
    <s v="No"/>
    <x v="0"/>
    <n v="107675"/>
  </r>
  <r>
    <n v="1998"/>
    <d v="2023-03-25T05:00:00"/>
    <x v="2"/>
    <n v="12"/>
    <x v="0"/>
    <s v="Honda"/>
    <x v="0"/>
    <x v="0"/>
    <n v="17202"/>
    <n v="5"/>
    <n v="123354"/>
    <n v="106549"/>
    <n v="8"/>
    <s v="No"/>
    <x v="0"/>
    <n v="16805"/>
  </r>
  <r>
    <n v="1999"/>
    <d v="2023-03-25T06:00:00"/>
    <x v="2"/>
    <n v="12"/>
    <x v="0"/>
    <s v="Yamaha"/>
    <x v="0"/>
    <x v="0"/>
    <n v="2394"/>
    <n v="5"/>
    <n v="96988"/>
    <n v="64738"/>
    <n v="9"/>
    <s v="No"/>
    <x v="0"/>
    <n v="32250"/>
  </r>
  <r>
    <n v="2000"/>
    <d v="2023-03-25T07:00:00"/>
    <x v="2"/>
    <n v="12"/>
    <x v="0"/>
    <s v="TVS"/>
    <x v="0"/>
    <x v="3"/>
    <n v="31485"/>
    <n v="8"/>
    <n v="62921"/>
    <n v="72694"/>
    <n v="1"/>
    <s v="Yes"/>
    <x v="0"/>
    <n v="-9773"/>
  </r>
  <r>
    <n v="2001"/>
    <d v="2023-03-25T08:00:00"/>
    <x v="2"/>
    <n v="12"/>
    <x v="0"/>
    <s v="Bajaj"/>
    <x v="0"/>
    <x v="2"/>
    <n v="28787"/>
    <n v="8"/>
    <n v="71668"/>
    <n v="69777"/>
    <n v="10"/>
    <s v="No"/>
    <x v="1"/>
    <n v="1891"/>
  </r>
  <r>
    <n v="2002"/>
    <d v="2023-03-25T09:00:00"/>
    <x v="2"/>
    <n v="12"/>
    <x v="0"/>
    <s v="TVS"/>
    <x v="0"/>
    <x v="1"/>
    <n v="74027"/>
    <n v="4"/>
    <n v="80175"/>
    <n v="29530"/>
    <n v="13"/>
    <s v="No"/>
    <x v="0"/>
    <n v="50645"/>
  </r>
  <r>
    <n v="2003"/>
    <d v="2023-03-25T10:00:00"/>
    <x v="2"/>
    <n v="12"/>
    <x v="0"/>
    <s v="Hero"/>
    <x v="0"/>
    <x v="1"/>
    <n v="15939"/>
    <n v="4"/>
    <n v="78452"/>
    <n v="22354"/>
    <n v="12"/>
    <s v="No"/>
    <x v="0"/>
    <n v="56098"/>
  </r>
  <r>
    <n v="2004"/>
    <d v="2023-03-25T11:00:00"/>
    <x v="2"/>
    <n v="12"/>
    <x v="0"/>
    <s v="Honda"/>
    <x v="0"/>
    <x v="2"/>
    <n v="95120"/>
    <n v="8"/>
    <n v="71149"/>
    <n v="61529"/>
    <n v="3"/>
    <s v="Yes"/>
    <x v="1"/>
    <n v="9620"/>
  </r>
  <r>
    <n v="2005"/>
    <d v="2023-03-25T12:00:00"/>
    <x v="2"/>
    <n v="12"/>
    <x v="0"/>
    <s v="Yamaha"/>
    <x v="0"/>
    <x v="1"/>
    <n v="42735"/>
    <n v="7"/>
    <n v="40839"/>
    <n v="117895"/>
    <n v="5"/>
    <s v="Yes"/>
    <x v="0"/>
    <n v="-77056"/>
  </r>
  <r>
    <n v="2006"/>
    <d v="2023-03-25T13:00:00"/>
    <x v="2"/>
    <n v="12"/>
    <x v="0"/>
    <s v="Yamaha"/>
    <x v="0"/>
    <x v="1"/>
    <n v="28159"/>
    <n v="6"/>
    <n v="27155"/>
    <n v="66714"/>
    <n v="9"/>
    <s v="No"/>
    <x v="0"/>
    <n v="-39559"/>
  </r>
  <r>
    <n v="2007"/>
    <d v="2023-03-25T14:00:00"/>
    <x v="2"/>
    <n v="12"/>
    <x v="0"/>
    <s v="Honda"/>
    <x v="0"/>
    <x v="2"/>
    <n v="25476"/>
    <n v="7"/>
    <n v="163091"/>
    <n v="103759"/>
    <n v="8"/>
    <s v="No"/>
    <x v="0"/>
    <n v="59332"/>
  </r>
  <r>
    <n v="2008"/>
    <d v="2023-03-25T15:00:00"/>
    <x v="2"/>
    <n v="12"/>
    <x v="0"/>
    <s v="Honda"/>
    <x v="0"/>
    <x v="1"/>
    <n v="83143"/>
    <n v="5"/>
    <n v="79512"/>
    <n v="139750"/>
    <n v="14"/>
    <s v="No"/>
    <x v="0"/>
    <n v="-60238"/>
  </r>
  <r>
    <n v="2009"/>
    <d v="2023-03-25T16:00:00"/>
    <x v="2"/>
    <n v="12"/>
    <x v="0"/>
    <s v="Hero"/>
    <x v="0"/>
    <x v="0"/>
    <n v="68365"/>
    <n v="2"/>
    <n v="111150"/>
    <n v="56232"/>
    <n v="10"/>
    <s v="No"/>
    <x v="1"/>
    <n v="54918"/>
  </r>
  <r>
    <n v="2010"/>
    <d v="2023-03-25T17:00:00"/>
    <x v="2"/>
    <n v="12"/>
    <x v="0"/>
    <s v="TVS"/>
    <x v="0"/>
    <x v="3"/>
    <n v="68806"/>
    <n v="6"/>
    <n v="151041"/>
    <n v="67079"/>
    <n v="7"/>
    <s v="Yes"/>
    <x v="0"/>
    <n v="83962"/>
  </r>
  <r>
    <n v="2011"/>
    <d v="2023-03-25T18:00:00"/>
    <x v="2"/>
    <n v="12"/>
    <x v="0"/>
    <s v="Yamaha"/>
    <x v="1"/>
    <x v="2"/>
    <n v="57197"/>
    <n v="7"/>
    <n v="51190"/>
    <n v="135883"/>
    <n v="2"/>
    <s v="Yes"/>
    <x v="0"/>
    <n v="-84693"/>
  </r>
  <r>
    <n v="2012"/>
    <d v="2023-03-25T19:00:00"/>
    <x v="2"/>
    <n v="12"/>
    <x v="0"/>
    <s v="Hero"/>
    <x v="0"/>
    <x v="3"/>
    <n v="70882"/>
    <n v="7"/>
    <n v="35928"/>
    <n v="27550"/>
    <n v="11"/>
    <s v="No"/>
    <x v="1"/>
    <n v="8378"/>
  </r>
  <r>
    <n v="2013"/>
    <d v="2023-03-25T20:00:00"/>
    <x v="2"/>
    <n v="12"/>
    <x v="0"/>
    <s v="TVS"/>
    <x v="1"/>
    <x v="1"/>
    <n v="17151"/>
    <n v="0"/>
    <n v="73425"/>
    <n v="103196"/>
    <n v="6"/>
    <s v="Yes"/>
    <x v="0"/>
    <n v="-29771"/>
  </r>
  <r>
    <n v="2014"/>
    <d v="2023-03-25T21:00:00"/>
    <x v="2"/>
    <n v="12"/>
    <x v="0"/>
    <s v="Hero"/>
    <x v="0"/>
    <x v="1"/>
    <n v="49544"/>
    <n v="6"/>
    <n v="99134"/>
    <n v="75385"/>
    <n v="4"/>
    <s v="Yes"/>
    <x v="0"/>
    <n v="23749"/>
  </r>
  <r>
    <n v="2015"/>
    <d v="2023-03-25T22:00:00"/>
    <x v="2"/>
    <n v="12"/>
    <x v="0"/>
    <s v="Yamaha"/>
    <x v="0"/>
    <x v="0"/>
    <n v="15133"/>
    <n v="2"/>
    <n v="134875"/>
    <n v="79736"/>
    <n v="5"/>
    <s v="Yes"/>
    <x v="0"/>
    <n v="55139"/>
  </r>
  <r>
    <n v="2016"/>
    <d v="2023-03-25T23:00:00"/>
    <x v="2"/>
    <n v="12"/>
    <x v="0"/>
    <s v="Honda"/>
    <x v="0"/>
    <x v="2"/>
    <n v="79664"/>
    <n v="1"/>
    <n v="149264"/>
    <n v="111565"/>
    <n v="14"/>
    <s v="No"/>
    <x v="0"/>
    <n v="37699"/>
  </r>
  <r>
    <n v="2017"/>
    <d v="2023-03-26T00:00:00"/>
    <x v="2"/>
    <n v="13"/>
    <x v="0"/>
    <s v="Honda"/>
    <x v="0"/>
    <x v="1"/>
    <n v="1069"/>
    <n v="1"/>
    <n v="135191"/>
    <n v="45268"/>
    <n v="5"/>
    <s v="Yes"/>
    <x v="0"/>
    <n v="89923"/>
  </r>
  <r>
    <n v="2018"/>
    <d v="2023-03-26T01:00:00"/>
    <x v="2"/>
    <n v="13"/>
    <x v="0"/>
    <s v="TVS"/>
    <x v="0"/>
    <x v="2"/>
    <n v="60400"/>
    <n v="7"/>
    <n v="128716"/>
    <n v="127655"/>
    <n v="13"/>
    <s v="No"/>
    <x v="0"/>
    <n v="1061"/>
  </r>
  <r>
    <n v="2019"/>
    <d v="2023-03-26T02:00:00"/>
    <x v="2"/>
    <n v="13"/>
    <x v="0"/>
    <s v="Bajaj"/>
    <x v="0"/>
    <x v="2"/>
    <n v="68009"/>
    <n v="8"/>
    <n v="81321"/>
    <n v="106876"/>
    <n v="4"/>
    <s v="Yes"/>
    <x v="0"/>
    <n v="-25555"/>
  </r>
  <r>
    <n v="2020"/>
    <d v="2023-03-26T03:00:00"/>
    <x v="2"/>
    <n v="13"/>
    <x v="0"/>
    <s v="TVS"/>
    <x v="0"/>
    <x v="2"/>
    <n v="33538"/>
    <n v="2"/>
    <n v="138782"/>
    <n v="19290"/>
    <n v="4"/>
    <s v="Yes"/>
    <x v="0"/>
    <n v="119492"/>
  </r>
  <r>
    <n v="2021"/>
    <d v="2023-03-26T04:00:00"/>
    <x v="2"/>
    <n v="13"/>
    <x v="0"/>
    <s v="Bajaj"/>
    <x v="1"/>
    <x v="2"/>
    <n v="49588"/>
    <n v="2"/>
    <n v="134398"/>
    <n v="70034"/>
    <n v="4"/>
    <s v="Yes"/>
    <x v="0"/>
    <n v="64364"/>
  </r>
  <r>
    <n v="2022"/>
    <d v="2023-03-26T05:00:00"/>
    <x v="2"/>
    <n v="13"/>
    <x v="0"/>
    <s v="Hero"/>
    <x v="0"/>
    <x v="2"/>
    <n v="73677"/>
    <n v="5"/>
    <n v="83973"/>
    <n v="45138"/>
    <n v="11"/>
    <s v="No"/>
    <x v="0"/>
    <n v="38835"/>
  </r>
  <r>
    <n v="2023"/>
    <d v="2023-03-26T06:00:00"/>
    <x v="2"/>
    <n v="13"/>
    <x v="0"/>
    <s v="Hero"/>
    <x v="0"/>
    <x v="3"/>
    <n v="74966"/>
    <n v="9"/>
    <n v="77414"/>
    <n v="86982"/>
    <n v="2"/>
    <s v="Yes"/>
    <x v="0"/>
    <n v="-9568"/>
  </r>
  <r>
    <n v="2024"/>
    <d v="2023-03-26T07:00:00"/>
    <x v="2"/>
    <n v="13"/>
    <x v="0"/>
    <s v="Yamaha"/>
    <x v="0"/>
    <x v="0"/>
    <n v="72716"/>
    <n v="0"/>
    <n v="54692"/>
    <n v="134855"/>
    <n v="1"/>
    <s v="Yes"/>
    <x v="0"/>
    <n v="-80163"/>
  </r>
  <r>
    <n v="2025"/>
    <d v="2023-03-26T08:00:00"/>
    <x v="2"/>
    <n v="13"/>
    <x v="0"/>
    <s v="Bajaj"/>
    <x v="0"/>
    <x v="2"/>
    <n v="67293"/>
    <n v="5"/>
    <n v="130958"/>
    <n v="139650"/>
    <n v="12"/>
    <s v="No"/>
    <x v="1"/>
    <n v="-8692"/>
  </r>
  <r>
    <n v="2026"/>
    <d v="2023-03-26T09:00:00"/>
    <x v="2"/>
    <n v="13"/>
    <x v="0"/>
    <s v="Yamaha"/>
    <x v="0"/>
    <x v="3"/>
    <n v="74286"/>
    <n v="2"/>
    <n v="73750"/>
    <n v="28432"/>
    <n v="2"/>
    <s v="Yes"/>
    <x v="0"/>
    <n v="45318"/>
  </r>
  <r>
    <n v="2027"/>
    <d v="2023-03-26T10:00:00"/>
    <x v="2"/>
    <n v="13"/>
    <x v="0"/>
    <s v="Honda"/>
    <x v="0"/>
    <x v="1"/>
    <n v="38638"/>
    <n v="3"/>
    <n v="177832"/>
    <n v="82058"/>
    <n v="7"/>
    <s v="Yes"/>
    <x v="0"/>
    <n v="95774"/>
  </r>
  <r>
    <n v="2028"/>
    <d v="2023-03-26T11:00:00"/>
    <x v="2"/>
    <n v="13"/>
    <x v="0"/>
    <s v="Bajaj"/>
    <x v="0"/>
    <x v="2"/>
    <n v="63810"/>
    <n v="8"/>
    <n v="93456"/>
    <n v="73175"/>
    <n v="12"/>
    <s v="No"/>
    <x v="0"/>
    <n v="20281"/>
  </r>
  <r>
    <n v="2029"/>
    <d v="2023-03-26T12:00:00"/>
    <x v="2"/>
    <n v="13"/>
    <x v="0"/>
    <s v="TVS"/>
    <x v="0"/>
    <x v="1"/>
    <n v="29257"/>
    <n v="2"/>
    <n v="49085"/>
    <n v="48329"/>
    <n v="1"/>
    <s v="Yes"/>
    <x v="0"/>
    <n v="756"/>
  </r>
  <r>
    <n v="2030"/>
    <d v="2023-03-26T13:00:00"/>
    <x v="2"/>
    <n v="13"/>
    <x v="0"/>
    <s v="Honda"/>
    <x v="0"/>
    <x v="2"/>
    <n v="70894"/>
    <n v="0"/>
    <n v="47925"/>
    <n v="84076"/>
    <n v="6"/>
    <s v="Yes"/>
    <x v="1"/>
    <n v="-36151"/>
  </r>
  <r>
    <n v="2031"/>
    <d v="2023-03-26T14:00:00"/>
    <x v="2"/>
    <n v="13"/>
    <x v="0"/>
    <s v="Honda"/>
    <x v="1"/>
    <x v="3"/>
    <n v="79527"/>
    <n v="2"/>
    <n v="30615"/>
    <n v="27328"/>
    <n v="4"/>
    <s v="Yes"/>
    <x v="0"/>
    <n v="3287"/>
  </r>
  <r>
    <n v="2032"/>
    <d v="2023-03-26T15:00:00"/>
    <x v="2"/>
    <n v="13"/>
    <x v="0"/>
    <s v="TVS"/>
    <x v="0"/>
    <x v="3"/>
    <n v="91330"/>
    <n v="6"/>
    <n v="62083"/>
    <n v="49247"/>
    <n v="2"/>
    <s v="Yes"/>
    <x v="0"/>
    <n v="12836"/>
  </r>
  <r>
    <n v="2033"/>
    <d v="2023-03-26T16:00:00"/>
    <x v="2"/>
    <n v="13"/>
    <x v="0"/>
    <s v="Honda"/>
    <x v="1"/>
    <x v="3"/>
    <n v="56651"/>
    <n v="6"/>
    <n v="135764"/>
    <n v="21677"/>
    <n v="3"/>
    <s v="Yes"/>
    <x v="1"/>
    <n v="114087"/>
  </r>
  <r>
    <n v="2034"/>
    <d v="2023-03-26T17:00:00"/>
    <x v="2"/>
    <n v="13"/>
    <x v="0"/>
    <s v="Bajaj"/>
    <x v="0"/>
    <x v="0"/>
    <n v="49772"/>
    <n v="4"/>
    <n v="34605"/>
    <n v="76810"/>
    <n v="7"/>
    <s v="Yes"/>
    <x v="0"/>
    <n v="-42205"/>
  </r>
  <r>
    <n v="2035"/>
    <d v="2023-03-26T18:00:00"/>
    <x v="2"/>
    <n v="13"/>
    <x v="0"/>
    <s v="Yamaha"/>
    <x v="0"/>
    <x v="1"/>
    <n v="7408"/>
    <n v="0"/>
    <n v="136093"/>
    <n v="65357"/>
    <n v="6"/>
    <s v="Yes"/>
    <x v="0"/>
    <n v="70736"/>
  </r>
  <r>
    <n v="2036"/>
    <d v="2023-03-26T19:00:00"/>
    <x v="2"/>
    <n v="13"/>
    <x v="0"/>
    <s v="Honda"/>
    <x v="0"/>
    <x v="0"/>
    <n v="11344"/>
    <n v="7"/>
    <n v="69608"/>
    <n v="70812"/>
    <n v="6"/>
    <s v="Yes"/>
    <x v="0"/>
    <n v="-1204"/>
  </r>
  <r>
    <n v="2037"/>
    <d v="2023-03-26T20:00:00"/>
    <x v="2"/>
    <n v="13"/>
    <x v="0"/>
    <s v="Bajaj"/>
    <x v="0"/>
    <x v="2"/>
    <n v="51955"/>
    <n v="9"/>
    <n v="153788"/>
    <n v="56616"/>
    <n v="8"/>
    <s v="No"/>
    <x v="1"/>
    <n v="97172"/>
  </r>
  <r>
    <n v="2038"/>
    <d v="2023-03-26T21:00:00"/>
    <x v="2"/>
    <n v="13"/>
    <x v="0"/>
    <s v="Hero"/>
    <x v="0"/>
    <x v="1"/>
    <n v="68947"/>
    <n v="7"/>
    <n v="44192"/>
    <n v="76284"/>
    <n v="8"/>
    <s v="No"/>
    <x v="0"/>
    <n v="-32092"/>
  </r>
  <r>
    <n v="2039"/>
    <d v="2023-03-26T22:00:00"/>
    <x v="2"/>
    <n v="13"/>
    <x v="0"/>
    <s v="Bajaj"/>
    <x v="0"/>
    <x v="3"/>
    <n v="75027"/>
    <n v="9"/>
    <n v="159403"/>
    <n v="64741"/>
    <n v="6"/>
    <s v="Yes"/>
    <x v="0"/>
    <n v="94662"/>
  </r>
  <r>
    <n v="2040"/>
    <d v="2023-03-26T23:00:00"/>
    <x v="2"/>
    <n v="13"/>
    <x v="0"/>
    <s v="Yamaha"/>
    <x v="0"/>
    <x v="1"/>
    <n v="77608"/>
    <n v="9"/>
    <n v="76330"/>
    <n v="68478"/>
    <n v="1"/>
    <s v="Yes"/>
    <x v="0"/>
    <n v="7852"/>
  </r>
  <r>
    <n v="2041"/>
    <d v="2023-03-27T00:00:00"/>
    <x v="2"/>
    <n v="13"/>
    <x v="0"/>
    <s v="Bajaj"/>
    <x v="0"/>
    <x v="3"/>
    <n v="43566"/>
    <n v="9"/>
    <n v="74949"/>
    <n v="69056"/>
    <n v="10"/>
    <s v="No"/>
    <x v="0"/>
    <n v="5893"/>
  </r>
  <r>
    <n v="2042"/>
    <d v="2023-03-27T01:00:00"/>
    <x v="2"/>
    <n v="13"/>
    <x v="0"/>
    <s v="TVS"/>
    <x v="0"/>
    <x v="0"/>
    <n v="95729"/>
    <n v="1"/>
    <n v="93382"/>
    <n v="106483"/>
    <n v="13"/>
    <s v="No"/>
    <x v="0"/>
    <n v="-13101"/>
  </r>
  <r>
    <n v="2043"/>
    <d v="2023-03-27T02:00:00"/>
    <x v="2"/>
    <n v="13"/>
    <x v="0"/>
    <s v="Yamaha"/>
    <x v="0"/>
    <x v="0"/>
    <n v="40504"/>
    <n v="9"/>
    <n v="124233"/>
    <n v="60534"/>
    <n v="7"/>
    <s v="Yes"/>
    <x v="0"/>
    <n v="63699"/>
  </r>
  <r>
    <n v="2044"/>
    <d v="2023-03-27T03:00:00"/>
    <x v="2"/>
    <n v="13"/>
    <x v="0"/>
    <s v="Hero"/>
    <x v="0"/>
    <x v="3"/>
    <n v="38833"/>
    <n v="2"/>
    <n v="77243"/>
    <n v="94056"/>
    <n v="8"/>
    <s v="No"/>
    <x v="0"/>
    <n v="-16813"/>
  </r>
  <r>
    <n v="2045"/>
    <d v="2023-03-27T04:00:00"/>
    <x v="2"/>
    <n v="13"/>
    <x v="0"/>
    <s v="TVS"/>
    <x v="0"/>
    <x v="3"/>
    <n v="83529"/>
    <n v="3"/>
    <n v="125566"/>
    <n v="79162"/>
    <n v="5"/>
    <s v="Yes"/>
    <x v="0"/>
    <n v="46404"/>
  </r>
  <r>
    <n v="2046"/>
    <d v="2023-03-27T05:00:00"/>
    <x v="2"/>
    <n v="13"/>
    <x v="0"/>
    <s v="Bajaj"/>
    <x v="0"/>
    <x v="2"/>
    <n v="40197"/>
    <n v="0"/>
    <n v="83618"/>
    <n v="59711"/>
    <n v="13"/>
    <s v="No"/>
    <x v="0"/>
    <n v="23907"/>
  </r>
  <r>
    <n v="2047"/>
    <d v="2023-03-27T06:00:00"/>
    <x v="2"/>
    <n v="13"/>
    <x v="0"/>
    <s v="Yamaha"/>
    <x v="0"/>
    <x v="0"/>
    <n v="18134"/>
    <n v="3"/>
    <n v="163621"/>
    <n v="37805"/>
    <n v="11"/>
    <s v="No"/>
    <x v="0"/>
    <n v="125816"/>
  </r>
  <r>
    <n v="2048"/>
    <d v="2023-03-27T07:00:00"/>
    <x v="2"/>
    <n v="13"/>
    <x v="0"/>
    <s v="Hero"/>
    <x v="1"/>
    <x v="0"/>
    <n v="25061"/>
    <n v="4"/>
    <n v="143168"/>
    <n v="110980"/>
    <n v="4"/>
    <s v="Yes"/>
    <x v="0"/>
    <n v="32188"/>
  </r>
  <r>
    <n v="2049"/>
    <d v="2023-03-27T08:00:00"/>
    <x v="2"/>
    <n v="13"/>
    <x v="0"/>
    <s v="TVS"/>
    <x v="0"/>
    <x v="2"/>
    <n v="18533"/>
    <n v="2"/>
    <n v="77494"/>
    <n v="35143"/>
    <n v="7"/>
    <s v="Yes"/>
    <x v="0"/>
    <n v="42351"/>
  </r>
  <r>
    <n v="2050"/>
    <d v="2023-03-27T09:00:00"/>
    <x v="2"/>
    <n v="13"/>
    <x v="0"/>
    <s v="Hero"/>
    <x v="0"/>
    <x v="0"/>
    <n v="73387"/>
    <n v="9"/>
    <n v="48958"/>
    <n v="90828"/>
    <n v="12"/>
    <s v="No"/>
    <x v="0"/>
    <n v="-41870"/>
  </r>
  <r>
    <n v="2051"/>
    <d v="2023-03-27T10:00:00"/>
    <x v="2"/>
    <n v="13"/>
    <x v="0"/>
    <s v="Bajaj"/>
    <x v="0"/>
    <x v="3"/>
    <n v="55563"/>
    <n v="1"/>
    <n v="132960"/>
    <n v="123380"/>
    <n v="12"/>
    <s v="No"/>
    <x v="0"/>
    <n v="9580"/>
  </r>
  <r>
    <n v="2052"/>
    <d v="2023-03-27T11:00:00"/>
    <x v="2"/>
    <n v="13"/>
    <x v="0"/>
    <s v="Hero"/>
    <x v="0"/>
    <x v="1"/>
    <n v="26421"/>
    <n v="5"/>
    <n v="127478"/>
    <n v="77473"/>
    <n v="11"/>
    <s v="No"/>
    <x v="0"/>
    <n v="50005"/>
  </r>
  <r>
    <n v="2053"/>
    <d v="2023-03-27T12:00:00"/>
    <x v="2"/>
    <n v="13"/>
    <x v="0"/>
    <s v="Honda"/>
    <x v="0"/>
    <x v="1"/>
    <n v="19840"/>
    <n v="7"/>
    <n v="30833"/>
    <n v="31017"/>
    <n v="13"/>
    <s v="No"/>
    <x v="0"/>
    <n v="-184"/>
  </r>
  <r>
    <n v="2054"/>
    <d v="2023-03-27T13:00:00"/>
    <x v="2"/>
    <n v="13"/>
    <x v="0"/>
    <s v="TVS"/>
    <x v="0"/>
    <x v="0"/>
    <n v="63281"/>
    <n v="6"/>
    <n v="179458"/>
    <n v="78202"/>
    <n v="6"/>
    <s v="Yes"/>
    <x v="0"/>
    <n v="101256"/>
  </r>
  <r>
    <n v="2055"/>
    <d v="2023-03-27T14:00:00"/>
    <x v="2"/>
    <n v="13"/>
    <x v="0"/>
    <s v="Hero"/>
    <x v="0"/>
    <x v="2"/>
    <n v="15401"/>
    <n v="0"/>
    <n v="124341"/>
    <n v="105859"/>
    <n v="12"/>
    <s v="No"/>
    <x v="0"/>
    <n v="18482"/>
  </r>
  <r>
    <n v="2056"/>
    <d v="2023-03-27T15:00:00"/>
    <x v="2"/>
    <n v="13"/>
    <x v="0"/>
    <s v="Bajaj"/>
    <x v="0"/>
    <x v="3"/>
    <n v="11138"/>
    <n v="3"/>
    <n v="119240"/>
    <n v="56423"/>
    <n v="6"/>
    <s v="Yes"/>
    <x v="0"/>
    <n v="62817"/>
  </r>
  <r>
    <n v="2057"/>
    <d v="2023-03-27T16:00:00"/>
    <x v="2"/>
    <n v="13"/>
    <x v="0"/>
    <s v="Bajaj"/>
    <x v="0"/>
    <x v="1"/>
    <n v="39096"/>
    <n v="2"/>
    <n v="132955"/>
    <n v="56713"/>
    <n v="14"/>
    <s v="No"/>
    <x v="0"/>
    <n v="76242"/>
  </r>
  <r>
    <n v="2058"/>
    <d v="2023-03-27T17:00:00"/>
    <x v="2"/>
    <n v="13"/>
    <x v="0"/>
    <s v="Hero"/>
    <x v="0"/>
    <x v="3"/>
    <n v="87414"/>
    <n v="5"/>
    <n v="29073"/>
    <n v="102856"/>
    <n v="3"/>
    <s v="Yes"/>
    <x v="0"/>
    <n v="-73783"/>
  </r>
  <r>
    <n v="2059"/>
    <d v="2023-03-27T18:00:00"/>
    <x v="2"/>
    <n v="13"/>
    <x v="0"/>
    <s v="Bajaj"/>
    <x v="0"/>
    <x v="0"/>
    <n v="44824"/>
    <n v="8"/>
    <n v="42667"/>
    <n v="89310"/>
    <n v="11"/>
    <s v="No"/>
    <x v="1"/>
    <n v="-46643"/>
  </r>
  <r>
    <n v="2060"/>
    <d v="2023-03-27T19:00:00"/>
    <x v="2"/>
    <n v="13"/>
    <x v="0"/>
    <s v="Yamaha"/>
    <x v="1"/>
    <x v="0"/>
    <n v="88856"/>
    <n v="8"/>
    <n v="172107"/>
    <n v="17205"/>
    <n v="10"/>
    <s v="No"/>
    <x v="0"/>
    <n v="154902"/>
  </r>
  <r>
    <n v="2061"/>
    <d v="2023-03-27T20:00:00"/>
    <x v="2"/>
    <n v="13"/>
    <x v="0"/>
    <s v="Yamaha"/>
    <x v="0"/>
    <x v="1"/>
    <n v="91096"/>
    <n v="6"/>
    <n v="31732"/>
    <n v="68266"/>
    <n v="4"/>
    <s v="Yes"/>
    <x v="1"/>
    <n v="-36534"/>
  </r>
  <r>
    <n v="2062"/>
    <d v="2023-03-27T21:00:00"/>
    <x v="2"/>
    <n v="13"/>
    <x v="0"/>
    <s v="Yamaha"/>
    <x v="0"/>
    <x v="0"/>
    <n v="33142"/>
    <n v="8"/>
    <n v="80097"/>
    <n v="27342"/>
    <n v="5"/>
    <s v="Yes"/>
    <x v="0"/>
    <n v="52755"/>
  </r>
  <r>
    <n v="2063"/>
    <d v="2023-03-27T22:00:00"/>
    <x v="2"/>
    <n v="13"/>
    <x v="0"/>
    <s v="Honda"/>
    <x v="0"/>
    <x v="2"/>
    <n v="25878"/>
    <n v="7"/>
    <n v="28487"/>
    <n v="84563"/>
    <n v="9"/>
    <s v="No"/>
    <x v="0"/>
    <n v="-56076"/>
  </r>
  <r>
    <n v="2064"/>
    <d v="2023-03-27T23:00:00"/>
    <x v="2"/>
    <n v="13"/>
    <x v="0"/>
    <s v="Hero"/>
    <x v="0"/>
    <x v="0"/>
    <n v="51367"/>
    <n v="4"/>
    <n v="82702"/>
    <n v="78190"/>
    <n v="8"/>
    <s v="No"/>
    <x v="0"/>
    <n v="4512"/>
  </r>
  <r>
    <n v="2065"/>
    <d v="2023-03-28T00:00:00"/>
    <x v="2"/>
    <n v="13"/>
    <x v="0"/>
    <s v="Honda"/>
    <x v="1"/>
    <x v="0"/>
    <n v="74186"/>
    <n v="8"/>
    <n v="119961"/>
    <n v="96863"/>
    <n v="3"/>
    <s v="Yes"/>
    <x v="0"/>
    <n v="23098"/>
  </r>
  <r>
    <n v="2066"/>
    <d v="2023-03-28T01:00:00"/>
    <x v="2"/>
    <n v="13"/>
    <x v="0"/>
    <s v="Bajaj"/>
    <x v="0"/>
    <x v="0"/>
    <n v="43375"/>
    <n v="6"/>
    <n v="110107"/>
    <n v="36200"/>
    <n v="6"/>
    <s v="Yes"/>
    <x v="0"/>
    <n v="73907"/>
  </r>
  <r>
    <n v="2067"/>
    <d v="2023-03-28T02:00:00"/>
    <x v="2"/>
    <n v="13"/>
    <x v="0"/>
    <s v="Honda"/>
    <x v="1"/>
    <x v="3"/>
    <n v="90095"/>
    <n v="4"/>
    <n v="132721"/>
    <n v="22188"/>
    <n v="10"/>
    <s v="No"/>
    <x v="0"/>
    <n v="110533"/>
  </r>
  <r>
    <n v="2068"/>
    <d v="2023-03-28T03:00:00"/>
    <x v="2"/>
    <n v="13"/>
    <x v="0"/>
    <s v="Bajaj"/>
    <x v="0"/>
    <x v="3"/>
    <n v="84229"/>
    <n v="7"/>
    <n v="96031"/>
    <n v="17808"/>
    <n v="1"/>
    <s v="Yes"/>
    <x v="1"/>
    <n v="78223"/>
  </r>
  <r>
    <n v="2069"/>
    <d v="2023-03-28T04:00:00"/>
    <x v="2"/>
    <n v="13"/>
    <x v="0"/>
    <s v="Bajaj"/>
    <x v="0"/>
    <x v="1"/>
    <n v="64877"/>
    <n v="6"/>
    <n v="109217"/>
    <n v="28851"/>
    <n v="3"/>
    <s v="Yes"/>
    <x v="0"/>
    <n v="80366"/>
  </r>
  <r>
    <n v="2070"/>
    <d v="2023-03-28T05:00:00"/>
    <x v="2"/>
    <n v="13"/>
    <x v="0"/>
    <s v="TVS"/>
    <x v="0"/>
    <x v="1"/>
    <n v="55191"/>
    <n v="8"/>
    <n v="39781"/>
    <n v="95890"/>
    <n v="10"/>
    <s v="No"/>
    <x v="0"/>
    <n v="-56109"/>
  </r>
  <r>
    <n v="2071"/>
    <d v="2023-03-28T06:00:00"/>
    <x v="2"/>
    <n v="13"/>
    <x v="0"/>
    <s v="Yamaha"/>
    <x v="0"/>
    <x v="1"/>
    <n v="93837"/>
    <n v="9"/>
    <n v="64865"/>
    <n v="79928"/>
    <n v="14"/>
    <s v="No"/>
    <x v="0"/>
    <n v="-15063"/>
  </r>
  <r>
    <n v="2072"/>
    <d v="2023-03-28T07:00:00"/>
    <x v="2"/>
    <n v="13"/>
    <x v="0"/>
    <s v="Bajaj"/>
    <x v="1"/>
    <x v="0"/>
    <n v="64803"/>
    <n v="0"/>
    <n v="33469"/>
    <n v="30058"/>
    <n v="12"/>
    <s v="No"/>
    <x v="1"/>
    <n v="3411"/>
  </r>
  <r>
    <n v="2073"/>
    <d v="2023-03-28T08:00:00"/>
    <x v="2"/>
    <n v="13"/>
    <x v="0"/>
    <s v="TVS"/>
    <x v="0"/>
    <x v="3"/>
    <n v="61339"/>
    <n v="8"/>
    <n v="70167"/>
    <n v="29620"/>
    <n v="7"/>
    <s v="Yes"/>
    <x v="0"/>
    <n v="40547"/>
  </r>
  <r>
    <n v="2074"/>
    <d v="2023-03-28T09:00:00"/>
    <x v="2"/>
    <n v="13"/>
    <x v="0"/>
    <s v="Yamaha"/>
    <x v="0"/>
    <x v="2"/>
    <n v="49563"/>
    <n v="6"/>
    <n v="44928"/>
    <n v="67755"/>
    <n v="7"/>
    <s v="Yes"/>
    <x v="1"/>
    <n v="-22827"/>
  </r>
  <r>
    <n v="2075"/>
    <d v="2023-03-28T10:00:00"/>
    <x v="2"/>
    <n v="13"/>
    <x v="0"/>
    <s v="Bajaj"/>
    <x v="0"/>
    <x v="0"/>
    <n v="92282"/>
    <n v="0"/>
    <n v="64599"/>
    <n v="77995"/>
    <n v="2"/>
    <s v="Yes"/>
    <x v="0"/>
    <n v="-13396"/>
  </r>
  <r>
    <n v="2076"/>
    <d v="2023-03-28T11:00:00"/>
    <x v="2"/>
    <n v="13"/>
    <x v="0"/>
    <s v="Bajaj"/>
    <x v="0"/>
    <x v="0"/>
    <n v="78843"/>
    <n v="0"/>
    <n v="172847"/>
    <n v="111766"/>
    <n v="3"/>
    <s v="Yes"/>
    <x v="0"/>
    <n v="61081"/>
  </r>
  <r>
    <n v="2077"/>
    <d v="2023-03-28T12:00:00"/>
    <x v="2"/>
    <n v="13"/>
    <x v="0"/>
    <s v="Honda"/>
    <x v="0"/>
    <x v="0"/>
    <n v="83571"/>
    <n v="4"/>
    <n v="91504"/>
    <n v="51681"/>
    <n v="7"/>
    <s v="Yes"/>
    <x v="0"/>
    <n v="39823"/>
  </r>
  <r>
    <n v="2078"/>
    <d v="2023-03-28T13:00:00"/>
    <x v="2"/>
    <n v="13"/>
    <x v="0"/>
    <s v="Honda"/>
    <x v="0"/>
    <x v="2"/>
    <n v="5992"/>
    <n v="7"/>
    <n v="95687"/>
    <n v="79509"/>
    <n v="12"/>
    <s v="No"/>
    <x v="0"/>
    <n v="16178"/>
  </r>
  <r>
    <n v="2079"/>
    <d v="2023-03-28T14:00:00"/>
    <x v="2"/>
    <n v="13"/>
    <x v="0"/>
    <s v="Yamaha"/>
    <x v="0"/>
    <x v="1"/>
    <n v="31857"/>
    <n v="8"/>
    <n v="134122"/>
    <n v="98339"/>
    <n v="6"/>
    <s v="Yes"/>
    <x v="0"/>
    <n v="35783"/>
  </r>
  <r>
    <n v="2080"/>
    <d v="2023-03-28T15:00:00"/>
    <x v="2"/>
    <n v="13"/>
    <x v="0"/>
    <s v="Bajaj"/>
    <x v="0"/>
    <x v="2"/>
    <n v="72338"/>
    <n v="5"/>
    <n v="111284"/>
    <n v="82703"/>
    <n v="13"/>
    <s v="No"/>
    <x v="0"/>
    <n v="28581"/>
  </r>
  <r>
    <n v="2081"/>
    <d v="2023-03-28T16:00:00"/>
    <x v="2"/>
    <n v="13"/>
    <x v="0"/>
    <s v="Hero"/>
    <x v="1"/>
    <x v="1"/>
    <n v="32814"/>
    <n v="9"/>
    <n v="110227"/>
    <n v="82680"/>
    <n v="7"/>
    <s v="Yes"/>
    <x v="0"/>
    <n v="27547"/>
  </r>
  <r>
    <n v="2082"/>
    <d v="2023-03-28T17:00:00"/>
    <x v="2"/>
    <n v="13"/>
    <x v="0"/>
    <s v="Honda"/>
    <x v="0"/>
    <x v="2"/>
    <n v="49197"/>
    <n v="7"/>
    <n v="122556"/>
    <n v="82703"/>
    <n v="10"/>
    <s v="No"/>
    <x v="0"/>
    <n v="39853"/>
  </r>
  <r>
    <n v="2083"/>
    <d v="2023-03-28T18:00:00"/>
    <x v="2"/>
    <n v="13"/>
    <x v="0"/>
    <s v="Yamaha"/>
    <x v="0"/>
    <x v="3"/>
    <n v="70783"/>
    <n v="5"/>
    <n v="68560"/>
    <n v="123056"/>
    <n v="9"/>
    <s v="No"/>
    <x v="0"/>
    <n v="-54496"/>
  </r>
  <r>
    <n v="2084"/>
    <d v="2023-03-28T19:00:00"/>
    <x v="2"/>
    <n v="13"/>
    <x v="0"/>
    <s v="Bajaj"/>
    <x v="0"/>
    <x v="0"/>
    <n v="60067"/>
    <n v="5"/>
    <n v="52256"/>
    <n v="57136"/>
    <n v="8"/>
    <s v="No"/>
    <x v="0"/>
    <n v="-4880"/>
  </r>
  <r>
    <n v="2085"/>
    <d v="2023-03-28T20:00:00"/>
    <x v="2"/>
    <n v="13"/>
    <x v="0"/>
    <s v="Bajaj"/>
    <x v="0"/>
    <x v="0"/>
    <n v="47506"/>
    <n v="3"/>
    <n v="31125"/>
    <n v="106380"/>
    <n v="6"/>
    <s v="Yes"/>
    <x v="0"/>
    <n v="-75255"/>
  </r>
  <r>
    <n v="2086"/>
    <d v="2023-03-28T21:00:00"/>
    <x v="2"/>
    <n v="13"/>
    <x v="0"/>
    <s v="Hero"/>
    <x v="0"/>
    <x v="0"/>
    <n v="60511"/>
    <n v="4"/>
    <n v="29370"/>
    <n v="135579"/>
    <n v="12"/>
    <s v="No"/>
    <x v="0"/>
    <n v="-106209"/>
  </r>
  <r>
    <n v="2087"/>
    <d v="2023-03-28T22:00:00"/>
    <x v="2"/>
    <n v="13"/>
    <x v="0"/>
    <s v="Yamaha"/>
    <x v="0"/>
    <x v="1"/>
    <n v="11186"/>
    <n v="1"/>
    <n v="29838"/>
    <n v="108699"/>
    <n v="14"/>
    <s v="No"/>
    <x v="0"/>
    <n v="-78861"/>
  </r>
  <r>
    <n v="2088"/>
    <d v="2023-03-28T23:00:00"/>
    <x v="2"/>
    <n v="13"/>
    <x v="0"/>
    <s v="Bajaj"/>
    <x v="0"/>
    <x v="2"/>
    <n v="37949"/>
    <n v="2"/>
    <n v="139479"/>
    <n v="103456"/>
    <n v="4"/>
    <s v="Yes"/>
    <x v="0"/>
    <n v="36023"/>
  </r>
  <r>
    <n v="2089"/>
    <d v="2023-03-29T00:00:00"/>
    <x v="2"/>
    <n v="13"/>
    <x v="0"/>
    <s v="Honda"/>
    <x v="1"/>
    <x v="3"/>
    <n v="62106"/>
    <n v="2"/>
    <n v="82429"/>
    <n v="98086"/>
    <n v="14"/>
    <s v="No"/>
    <x v="0"/>
    <n v="-15657"/>
  </r>
  <r>
    <n v="2090"/>
    <d v="2023-03-29T01:00:00"/>
    <x v="2"/>
    <n v="13"/>
    <x v="0"/>
    <s v="Hero"/>
    <x v="0"/>
    <x v="2"/>
    <n v="19391"/>
    <n v="4"/>
    <n v="159206"/>
    <n v="51343"/>
    <n v="13"/>
    <s v="No"/>
    <x v="0"/>
    <n v="107863"/>
  </r>
  <r>
    <n v="2091"/>
    <d v="2023-03-29T02:00:00"/>
    <x v="2"/>
    <n v="13"/>
    <x v="0"/>
    <s v="Yamaha"/>
    <x v="0"/>
    <x v="0"/>
    <n v="52615"/>
    <n v="4"/>
    <n v="68199"/>
    <n v="132529"/>
    <n v="10"/>
    <s v="No"/>
    <x v="0"/>
    <n v="-64330"/>
  </r>
  <r>
    <n v="2092"/>
    <d v="2023-03-29T03:00:00"/>
    <x v="2"/>
    <n v="13"/>
    <x v="0"/>
    <s v="Hero"/>
    <x v="0"/>
    <x v="3"/>
    <n v="61219"/>
    <n v="5"/>
    <n v="102092"/>
    <n v="33254"/>
    <n v="9"/>
    <s v="No"/>
    <x v="0"/>
    <n v="68838"/>
  </r>
  <r>
    <n v="2093"/>
    <d v="2023-03-29T04:00:00"/>
    <x v="2"/>
    <n v="13"/>
    <x v="0"/>
    <s v="Honda"/>
    <x v="0"/>
    <x v="3"/>
    <n v="95964"/>
    <n v="4"/>
    <n v="149925"/>
    <n v="76273"/>
    <n v="7"/>
    <s v="Yes"/>
    <x v="0"/>
    <n v="73652"/>
  </r>
  <r>
    <n v="2094"/>
    <d v="2023-03-29T05:00:00"/>
    <x v="2"/>
    <n v="13"/>
    <x v="0"/>
    <s v="Yamaha"/>
    <x v="0"/>
    <x v="0"/>
    <n v="73530"/>
    <n v="5"/>
    <n v="45113"/>
    <n v="74611"/>
    <n v="5"/>
    <s v="Yes"/>
    <x v="0"/>
    <n v="-29498"/>
  </r>
  <r>
    <n v="2095"/>
    <d v="2023-03-29T06:00:00"/>
    <x v="2"/>
    <n v="13"/>
    <x v="0"/>
    <s v="Hero"/>
    <x v="1"/>
    <x v="2"/>
    <n v="37223"/>
    <n v="7"/>
    <n v="121102"/>
    <n v="132574"/>
    <n v="2"/>
    <s v="Yes"/>
    <x v="0"/>
    <n v="-11472"/>
  </r>
  <r>
    <n v="2096"/>
    <d v="2023-03-29T07:00:00"/>
    <x v="2"/>
    <n v="13"/>
    <x v="0"/>
    <s v="TVS"/>
    <x v="1"/>
    <x v="0"/>
    <n v="30377"/>
    <n v="1"/>
    <n v="27669"/>
    <n v="129847"/>
    <n v="9"/>
    <s v="No"/>
    <x v="1"/>
    <n v="-102178"/>
  </r>
  <r>
    <n v="2097"/>
    <d v="2023-03-29T08:00:00"/>
    <x v="2"/>
    <n v="13"/>
    <x v="0"/>
    <s v="Honda"/>
    <x v="1"/>
    <x v="2"/>
    <n v="94017"/>
    <n v="3"/>
    <n v="169010"/>
    <n v="120547"/>
    <n v="14"/>
    <s v="No"/>
    <x v="0"/>
    <n v="48463"/>
  </r>
  <r>
    <n v="2098"/>
    <d v="2023-03-29T09:00:00"/>
    <x v="2"/>
    <n v="13"/>
    <x v="0"/>
    <s v="Honda"/>
    <x v="1"/>
    <x v="3"/>
    <n v="14526"/>
    <n v="5"/>
    <n v="161789"/>
    <n v="75002"/>
    <n v="7"/>
    <s v="Yes"/>
    <x v="0"/>
    <n v="86787"/>
  </r>
  <r>
    <n v="2099"/>
    <d v="2023-03-29T10:00:00"/>
    <x v="2"/>
    <n v="13"/>
    <x v="0"/>
    <s v="Honda"/>
    <x v="0"/>
    <x v="3"/>
    <n v="20922"/>
    <n v="4"/>
    <n v="102818"/>
    <n v="100683"/>
    <n v="9"/>
    <s v="No"/>
    <x v="0"/>
    <n v="2135"/>
  </r>
  <r>
    <n v="2100"/>
    <d v="2023-03-29T11:00:00"/>
    <x v="2"/>
    <n v="13"/>
    <x v="0"/>
    <s v="TVS"/>
    <x v="0"/>
    <x v="0"/>
    <n v="9744"/>
    <n v="0"/>
    <n v="104737"/>
    <n v="27926"/>
    <n v="11"/>
    <s v="No"/>
    <x v="0"/>
    <n v="76811"/>
  </r>
  <r>
    <n v="2101"/>
    <d v="2023-03-29T12:00:00"/>
    <x v="2"/>
    <n v="13"/>
    <x v="0"/>
    <s v="TVS"/>
    <x v="0"/>
    <x v="3"/>
    <n v="33981"/>
    <n v="8"/>
    <n v="172361"/>
    <n v="114359"/>
    <n v="9"/>
    <s v="No"/>
    <x v="0"/>
    <n v="58002"/>
  </r>
  <r>
    <n v="2102"/>
    <d v="2023-03-29T13:00:00"/>
    <x v="2"/>
    <n v="13"/>
    <x v="0"/>
    <s v="Bajaj"/>
    <x v="0"/>
    <x v="1"/>
    <n v="89680"/>
    <n v="2"/>
    <n v="49406"/>
    <n v="79264"/>
    <n v="10"/>
    <s v="No"/>
    <x v="0"/>
    <n v="-29858"/>
  </r>
  <r>
    <n v="2103"/>
    <d v="2023-03-29T14:00:00"/>
    <x v="2"/>
    <n v="13"/>
    <x v="0"/>
    <s v="Hero"/>
    <x v="0"/>
    <x v="3"/>
    <n v="58531"/>
    <n v="1"/>
    <n v="37873"/>
    <n v="130021"/>
    <n v="5"/>
    <s v="Yes"/>
    <x v="0"/>
    <n v="-92148"/>
  </r>
  <r>
    <n v="2104"/>
    <d v="2023-03-29T15:00:00"/>
    <x v="2"/>
    <n v="13"/>
    <x v="0"/>
    <s v="Bajaj"/>
    <x v="0"/>
    <x v="1"/>
    <n v="9021"/>
    <n v="8"/>
    <n v="150812"/>
    <n v="133284"/>
    <n v="7"/>
    <s v="Yes"/>
    <x v="0"/>
    <n v="17528"/>
  </r>
  <r>
    <n v="2105"/>
    <d v="2023-03-29T16:00:00"/>
    <x v="2"/>
    <n v="13"/>
    <x v="0"/>
    <s v="Hero"/>
    <x v="0"/>
    <x v="3"/>
    <n v="2246"/>
    <n v="6"/>
    <n v="107048"/>
    <n v="104527"/>
    <n v="5"/>
    <s v="Yes"/>
    <x v="0"/>
    <n v="2521"/>
  </r>
  <r>
    <n v="2106"/>
    <d v="2023-03-29T17:00:00"/>
    <x v="2"/>
    <n v="13"/>
    <x v="0"/>
    <s v="TVS"/>
    <x v="0"/>
    <x v="0"/>
    <n v="83627"/>
    <n v="4"/>
    <n v="48461"/>
    <n v="122387"/>
    <n v="3"/>
    <s v="Yes"/>
    <x v="0"/>
    <n v="-73926"/>
  </r>
  <r>
    <n v="2107"/>
    <d v="2023-03-29T18:00:00"/>
    <x v="2"/>
    <n v="13"/>
    <x v="0"/>
    <s v="TVS"/>
    <x v="0"/>
    <x v="0"/>
    <n v="92754"/>
    <n v="5"/>
    <n v="176782"/>
    <n v="42563"/>
    <n v="10"/>
    <s v="No"/>
    <x v="0"/>
    <n v="134219"/>
  </r>
  <r>
    <n v="2108"/>
    <d v="2023-03-29T19:00:00"/>
    <x v="2"/>
    <n v="13"/>
    <x v="0"/>
    <s v="Bajaj"/>
    <x v="0"/>
    <x v="1"/>
    <n v="68732"/>
    <n v="3"/>
    <n v="38448"/>
    <n v="45688"/>
    <n v="8"/>
    <s v="No"/>
    <x v="0"/>
    <n v="-7240"/>
  </r>
  <r>
    <n v="2109"/>
    <d v="2023-03-29T20:00:00"/>
    <x v="2"/>
    <n v="13"/>
    <x v="0"/>
    <s v="Yamaha"/>
    <x v="0"/>
    <x v="0"/>
    <n v="12512"/>
    <n v="0"/>
    <n v="40198"/>
    <n v="109559"/>
    <n v="8"/>
    <s v="No"/>
    <x v="0"/>
    <n v="-69361"/>
  </r>
  <r>
    <n v="2110"/>
    <d v="2023-03-29T21:00:00"/>
    <x v="2"/>
    <n v="13"/>
    <x v="0"/>
    <s v="Bajaj"/>
    <x v="0"/>
    <x v="3"/>
    <n v="80724"/>
    <n v="3"/>
    <n v="98158"/>
    <n v="49130"/>
    <n v="9"/>
    <s v="No"/>
    <x v="0"/>
    <n v="49028"/>
  </r>
  <r>
    <n v="2111"/>
    <d v="2023-03-29T22:00:00"/>
    <x v="2"/>
    <n v="13"/>
    <x v="0"/>
    <s v="Hero"/>
    <x v="0"/>
    <x v="3"/>
    <n v="23957"/>
    <n v="8"/>
    <n v="90470"/>
    <n v="15925"/>
    <n v="11"/>
    <s v="No"/>
    <x v="0"/>
    <n v="74545"/>
  </r>
  <r>
    <n v="2112"/>
    <d v="2023-03-29T23:00:00"/>
    <x v="2"/>
    <n v="13"/>
    <x v="0"/>
    <s v="Bajaj"/>
    <x v="0"/>
    <x v="0"/>
    <n v="71072"/>
    <n v="0"/>
    <n v="45739"/>
    <n v="135207"/>
    <n v="14"/>
    <s v="No"/>
    <x v="0"/>
    <n v="-89468"/>
  </r>
  <r>
    <n v="2113"/>
    <d v="2023-03-30T00:00:00"/>
    <x v="2"/>
    <n v="13"/>
    <x v="0"/>
    <s v="Honda"/>
    <x v="0"/>
    <x v="3"/>
    <n v="30460"/>
    <n v="9"/>
    <n v="109054"/>
    <n v="66595"/>
    <n v="12"/>
    <s v="No"/>
    <x v="0"/>
    <n v="42459"/>
  </r>
  <r>
    <n v="2114"/>
    <d v="2023-03-30T01:00:00"/>
    <x v="2"/>
    <n v="13"/>
    <x v="0"/>
    <s v="Hero"/>
    <x v="0"/>
    <x v="2"/>
    <n v="88195"/>
    <n v="2"/>
    <n v="83186"/>
    <n v="31321"/>
    <n v="6"/>
    <s v="Yes"/>
    <x v="0"/>
    <n v="51865"/>
  </r>
  <r>
    <n v="2115"/>
    <d v="2023-03-30T02:00:00"/>
    <x v="2"/>
    <n v="13"/>
    <x v="0"/>
    <s v="Hero"/>
    <x v="0"/>
    <x v="2"/>
    <n v="8410"/>
    <n v="4"/>
    <n v="51547"/>
    <n v="25769"/>
    <n v="2"/>
    <s v="Yes"/>
    <x v="0"/>
    <n v="25778"/>
  </r>
  <r>
    <n v="2116"/>
    <d v="2023-03-30T03:00:00"/>
    <x v="2"/>
    <n v="13"/>
    <x v="0"/>
    <s v="Yamaha"/>
    <x v="0"/>
    <x v="3"/>
    <n v="3193"/>
    <n v="6"/>
    <n v="119472"/>
    <n v="51748"/>
    <n v="3"/>
    <s v="Yes"/>
    <x v="0"/>
    <n v="67724"/>
  </r>
  <r>
    <n v="2117"/>
    <d v="2023-03-30T04:00:00"/>
    <x v="2"/>
    <n v="13"/>
    <x v="0"/>
    <s v="TVS"/>
    <x v="0"/>
    <x v="0"/>
    <n v="16358"/>
    <n v="8"/>
    <n v="110823"/>
    <n v="55028"/>
    <n v="13"/>
    <s v="No"/>
    <x v="0"/>
    <n v="55795"/>
  </r>
  <r>
    <n v="2118"/>
    <d v="2023-03-30T05:00:00"/>
    <x v="2"/>
    <n v="13"/>
    <x v="0"/>
    <s v="Hero"/>
    <x v="0"/>
    <x v="1"/>
    <n v="29310"/>
    <n v="5"/>
    <n v="131887"/>
    <n v="31151"/>
    <n v="11"/>
    <s v="No"/>
    <x v="0"/>
    <n v="100736"/>
  </r>
  <r>
    <n v="2119"/>
    <d v="2023-03-30T06:00:00"/>
    <x v="2"/>
    <n v="13"/>
    <x v="0"/>
    <s v="TVS"/>
    <x v="0"/>
    <x v="0"/>
    <n v="20592"/>
    <n v="2"/>
    <n v="35686"/>
    <n v="91133"/>
    <n v="12"/>
    <s v="No"/>
    <x v="0"/>
    <n v="-55447"/>
  </r>
  <r>
    <n v="2120"/>
    <d v="2023-03-30T07:00:00"/>
    <x v="2"/>
    <n v="13"/>
    <x v="0"/>
    <s v="Bajaj"/>
    <x v="0"/>
    <x v="1"/>
    <n v="89279"/>
    <n v="6"/>
    <n v="173608"/>
    <n v="49187"/>
    <n v="10"/>
    <s v="No"/>
    <x v="0"/>
    <n v="124421"/>
  </r>
  <r>
    <n v="2121"/>
    <d v="2023-03-30T08:00:00"/>
    <x v="2"/>
    <n v="13"/>
    <x v="0"/>
    <s v="Honda"/>
    <x v="0"/>
    <x v="0"/>
    <n v="49200"/>
    <n v="3"/>
    <n v="59062"/>
    <n v="58835"/>
    <n v="11"/>
    <s v="No"/>
    <x v="0"/>
    <n v="227"/>
  </r>
  <r>
    <n v="2122"/>
    <d v="2023-03-30T09:00:00"/>
    <x v="2"/>
    <n v="13"/>
    <x v="0"/>
    <s v="Yamaha"/>
    <x v="0"/>
    <x v="3"/>
    <n v="58605"/>
    <n v="2"/>
    <n v="73216"/>
    <n v="15059"/>
    <n v="6"/>
    <s v="Yes"/>
    <x v="0"/>
    <n v="58157"/>
  </r>
  <r>
    <n v="2123"/>
    <d v="2023-03-30T10:00:00"/>
    <x v="2"/>
    <n v="13"/>
    <x v="0"/>
    <s v="TVS"/>
    <x v="0"/>
    <x v="2"/>
    <n v="31005"/>
    <n v="6"/>
    <n v="56653"/>
    <n v="115828"/>
    <n v="1"/>
    <s v="Yes"/>
    <x v="0"/>
    <n v="-59175"/>
  </r>
  <r>
    <n v="2124"/>
    <d v="2023-03-30T11:00:00"/>
    <x v="2"/>
    <n v="13"/>
    <x v="0"/>
    <s v="Hero"/>
    <x v="0"/>
    <x v="0"/>
    <n v="73728"/>
    <n v="6"/>
    <n v="46673"/>
    <n v="100717"/>
    <n v="14"/>
    <s v="No"/>
    <x v="0"/>
    <n v="-54044"/>
  </r>
  <r>
    <n v="2125"/>
    <d v="2023-03-30T12:00:00"/>
    <x v="2"/>
    <n v="13"/>
    <x v="0"/>
    <s v="TVS"/>
    <x v="0"/>
    <x v="1"/>
    <n v="29055"/>
    <n v="3"/>
    <n v="166439"/>
    <n v="42235"/>
    <n v="2"/>
    <s v="Yes"/>
    <x v="1"/>
    <n v="124204"/>
  </r>
  <r>
    <n v="2126"/>
    <d v="2023-03-30T13:00:00"/>
    <x v="2"/>
    <n v="13"/>
    <x v="0"/>
    <s v="Hero"/>
    <x v="0"/>
    <x v="2"/>
    <n v="72434"/>
    <n v="6"/>
    <n v="44629"/>
    <n v="109208"/>
    <n v="8"/>
    <s v="No"/>
    <x v="0"/>
    <n v="-64579"/>
  </r>
  <r>
    <n v="2127"/>
    <d v="2023-03-30T14:00:00"/>
    <x v="2"/>
    <n v="13"/>
    <x v="0"/>
    <s v="TVS"/>
    <x v="0"/>
    <x v="1"/>
    <n v="73288"/>
    <n v="1"/>
    <n v="145756"/>
    <n v="82114"/>
    <n v="11"/>
    <s v="No"/>
    <x v="0"/>
    <n v="63642"/>
  </r>
  <r>
    <n v="2128"/>
    <d v="2023-03-30T15:00:00"/>
    <x v="2"/>
    <n v="13"/>
    <x v="0"/>
    <s v="Hero"/>
    <x v="0"/>
    <x v="3"/>
    <n v="77757"/>
    <n v="0"/>
    <n v="136641"/>
    <n v="60366"/>
    <n v="8"/>
    <s v="No"/>
    <x v="0"/>
    <n v="76275"/>
  </r>
  <r>
    <n v="2129"/>
    <d v="2023-03-30T16:00:00"/>
    <x v="2"/>
    <n v="13"/>
    <x v="0"/>
    <s v="Bajaj"/>
    <x v="0"/>
    <x v="2"/>
    <n v="18439"/>
    <n v="1"/>
    <n v="50063"/>
    <n v="127831"/>
    <n v="6"/>
    <s v="Yes"/>
    <x v="0"/>
    <n v="-77768"/>
  </r>
  <r>
    <n v="2130"/>
    <d v="2023-03-30T17:00:00"/>
    <x v="2"/>
    <n v="13"/>
    <x v="0"/>
    <s v="Hero"/>
    <x v="0"/>
    <x v="1"/>
    <n v="12325"/>
    <n v="3"/>
    <n v="44322"/>
    <n v="136889"/>
    <n v="3"/>
    <s v="Yes"/>
    <x v="0"/>
    <n v="-92567"/>
  </r>
  <r>
    <n v="2131"/>
    <d v="2023-03-30T18:00:00"/>
    <x v="2"/>
    <n v="13"/>
    <x v="0"/>
    <s v="Hero"/>
    <x v="0"/>
    <x v="0"/>
    <n v="91287"/>
    <n v="7"/>
    <n v="37693"/>
    <n v="96583"/>
    <n v="14"/>
    <s v="No"/>
    <x v="0"/>
    <n v="-58890"/>
  </r>
  <r>
    <n v="2132"/>
    <d v="2023-03-30T19:00:00"/>
    <x v="2"/>
    <n v="13"/>
    <x v="0"/>
    <s v="Honda"/>
    <x v="0"/>
    <x v="3"/>
    <n v="24651"/>
    <n v="2"/>
    <n v="165313"/>
    <n v="47160"/>
    <n v="2"/>
    <s v="Yes"/>
    <x v="0"/>
    <n v="118153"/>
  </r>
  <r>
    <n v="2133"/>
    <d v="2023-03-30T20:00:00"/>
    <x v="2"/>
    <n v="13"/>
    <x v="0"/>
    <s v="Hero"/>
    <x v="0"/>
    <x v="3"/>
    <n v="536"/>
    <n v="9"/>
    <n v="127379"/>
    <n v="114011"/>
    <n v="13"/>
    <s v="No"/>
    <x v="0"/>
    <n v="13368"/>
  </r>
  <r>
    <n v="2134"/>
    <d v="2023-03-30T21:00:00"/>
    <x v="2"/>
    <n v="13"/>
    <x v="0"/>
    <s v="Honda"/>
    <x v="0"/>
    <x v="3"/>
    <n v="94448"/>
    <n v="5"/>
    <n v="37651"/>
    <n v="105085"/>
    <n v="6"/>
    <s v="Yes"/>
    <x v="0"/>
    <n v="-67434"/>
  </r>
  <r>
    <n v="2135"/>
    <d v="2023-03-30T22:00:00"/>
    <x v="2"/>
    <n v="13"/>
    <x v="0"/>
    <s v="Yamaha"/>
    <x v="0"/>
    <x v="0"/>
    <n v="84207"/>
    <n v="5"/>
    <n v="34275"/>
    <n v="20277"/>
    <n v="1"/>
    <s v="Yes"/>
    <x v="0"/>
    <n v="13998"/>
  </r>
  <r>
    <n v="2136"/>
    <d v="2023-03-30T23:00:00"/>
    <x v="2"/>
    <n v="13"/>
    <x v="0"/>
    <s v="Honda"/>
    <x v="1"/>
    <x v="0"/>
    <n v="39551"/>
    <n v="8"/>
    <n v="70606"/>
    <n v="16780"/>
    <n v="14"/>
    <s v="No"/>
    <x v="0"/>
    <n v="53826"/>
  </r>
  <r>
    <n v="2137"/>
    <d v="2023-03-31T00:00:00"/>
    <x v="2"/>
    <n v="13"/>
    <x v="0"/>
    <s v="Bajaj"/>
    <x v="0"/>
    <x v="2"/>
    <n v="98797"/>
    <n v="8"/>
    <n v="26658"/>
    <n v="61579"/>
    <n v="10"/>
    <s v="No"/>
    <x v="0"/>
    <n v="-34921"/>
  </r>
  <r>
    <n v="2138"/>
    <d v="2023-03-31T01:00:00"/>
    <x v="2"/>
    <n v="13"/>
    <x v="0"/>
    <s v="Honda"/>
    <x v="0"/>
    <x v="0"/>
    <n v="81238"/>
    <n v="3"/>
    <n v="97468"/>
    <n v="132101"/>
    <n v="6"/>
    <s v="Yes"/>
    <x v="0"/>
    <n v="-34633"/>
  </r>
  <r>
    <n v="2139"/>
    <d v="2023-03-31T02:00:00"/>
    <x v="2"/>
    <n v="13"/>
    <x v="0"/>
    <s v="Yamaha"/>
    <x v="0"/>
    <x v="2"/>
    <n v="74096"/>
    <n v="8"/>
    <n v="170320"/>
    <n v="126449"/>
    <n v="9"/>
    <s v="No"/>
    <x v="0"/>
    <n v="43871"/>
  </r>
  <r>
    <n v="2140"/>
    <d v="2023-03-31T03:00:00"/>
    <x v="2"/>
    <n v="13"/>
    <x v="0"/>
    <s v="Bajaj"/>
    <x v="0"/>
    <x v="3"/>
    <n v="60571"/>
    <n v="5"/>
    <n v="174273"/>
    <n v="75750"/>
    <n v="7"/>
    <s v="Yes"/>
    <x v="0"/>
    <n v="98523"/>
  </r>
  <r>
    <n v="2141"/>
    <d v="2023-03-31T04:00:00"/>
    <x v="2"/>
    <n v="13"/>
    <x v="0"/>
    <s v="TVS"/>
    <x v="0"/>
    <x v="2"/>
    <n v="74101"/>
    <n v="1"/>
    <n v="66150"/>
    <n v="71902"/>
    <n v="9"/>
    <s v="No"/>
    <x v="0"/>
    <n v="-5752"/>
  </r>
  <r>
    <n v="2142"/>
    <d v="2023-03-31T05:00:00"/>
    <x v="2"/>
    <n v="13"/>
    <x v="0"/>
    <s v="TVS"/>
    <x v="0"/>
    <x v="1"/>
    <n v="30373"/>
    <n v="9"/>
    <n v="39999"/>
    <n v="95198"/>
    <n v="2"/>
    <s v="Yes"/>
    <x v="0"/>
    <n v="-55199"/>
  </r>
  <r>
    <n v="2143"/>
    <d v="2023-03-31T06:00:00"/>
    <x v="2"/>
    <n v="13"/>
    <x v="0"/>
    <s v="Honda"/>
    <x v="0"/>
    <x v="3"/>
    <n v="37148"/>
    <n v="5"/>
    <n v="31376"/>
    <n v="131849"/>
    <n v="11"/>
    <s v="No"/>
    <x v="0"/>
    <n v="-100473"/>
  </r>
  <r>
    <n v="2144"/>
    <d v="2023-03-31T07:00:00"/>
    <x v="2"/>
    <n v="13"/>
    <x v="0"/>
    <s v="Honda"/>
    <x v="1"/>
    <x v="3"/>
    <n v="71968"/>
    <n v="1"/>
    <n v="76673"/>
    <n v="112052"/>
    <n v="14"/>
    <s v="No"/>
    <x v="0"/>
    <n v="-35379"/>
  </r>
  <r>
    <n v="2145"/>
    <d v="2023-03-31T08:00:00"/>
    <x v="2"/>
    <n v="13"/>
    <x v="0"/>
    <s v="Yamaha"/>
    <x v="0"/>
    <x v="2"/>
    <n v="26970"/>
    <n v="7"/>
    <n v="28476"/>
    <n v="47161"/>
    <n v="5"/>
    <s v="Yes"/>
    <x v="0"/>
    <n v="-18685"/>
  </r>
  <r>
    <n v="2146"/>
    <d v="2023-03-31T09:00:00"/>
    <x v="2"/>
    <n v="13"/>
    <x v="0"/>
    <s v="Yamaha"/>
    <x v="0"/>
    <x v="3"/>
    <n v="65629"/>
    <n v="3"/>
    <n v="94902"/>
    <n v="59499"/>
    <n v="9"/>
    <s v="No"/>
    <x v="0"/>
    <n v="35403"/>
  </r>
  <r>
    <n v="2147"/>
    <d v="2023-03-31T10:00:00"/>
    <x v="2"/>
    <n v="13"/>
    <x v="0"/>
    <s v="Hero"/>
    <x v="1"/>
    <x v="0"/>
    <n v="8828"/>
    <n v="4"/>
    <n v="116269"/>
    <n v="46886"/>
    <n v="7"/>
    <s v="Yes"/>
    <x v="0"/>
    <n v="69383"/>
  </r>
  <r>
    <n v="2148"/>
    <d v="2023-03-31T11:00:00"/>
    <x v="2"/>
    <n v="13"/>
    <x v="0"/>
    <s v="Yamaha"/>
    <x v="0"/>
    <x v="1"/>
    <n v="6833"/>
    <n v="7"/>
    <n v="123331"/>
    <n v="23800"/>
    <n v="9"/>
    <s v="No"/>
    <x v="0"/>
    <n v="99531"/>
  </r>
  <r>
    <n v="2149"/>
    <d v="2023-03-31T12:00:00"/>
    <x v="2"/>
    <n v="13"/>
    <x v="0"/>
    <s v="Hero"/>
    <x v="1"/>
    <x v="2"/>
    <n v="47138"/>
    <n v="7"/>
    <n v="176687"/>
    <n v="64460"/>
    <n v="14"/>
    <s v="No"/>
    <x v="0"/>
    <n v="112227"/>
  </r>
  <r>
    <n v="2150"/>
    <d v="2023-03-31T13:00:00"/>
    <x v="2"/>
    <n v="13"/>
    <x v="0"/>
    <s v="Bajaj"/>
    <x v="0"/>
    <x v="2"/>
    <n v="11768"/>
    <n v="5"/>
    <n v="36164"/>
    <n v="85975"/>
    <n v="11"/>
    <s v="No"/>
    <x v="0"/>
    <n v="-49811"/>
  </r>
  <r>
    <n v="2151"/>
    <d v="2023-03-31T14:00:00"/>
    <x v="2"/>
    <n v="13"/>
    <x v="0"/>
    <s v="Honda"/>
    <x v="0"/>
    <x v="3"/>
    <n v="71103"/>
    <n v="3"/>
    <n v="64316"/>
    <n v="84843"/>
    <n v="6"/>
    <s v="Yes"/>
    <x v="0"/>
    <n v="-20527"/>
  </r>
  <r>
    <n v="2152"/>
    <d v="2023-03-31T15:00:00"/>
    <x v="2"/>
    <n v="13"/>
    <x v="0"/>
    <s v="Bajaj"/>
    <x v="0"/>
    <x v="0"/>
    <n v="17545"/>
    <n v="0"/>
    <n v="87968"/>
    <n v="17364"/>
    <n v="7"/>
    <s v="Yes"/>
    <x v="0"/>
    <n v="70604"/>
  </r>
  <r>
    <n v="2153"/>
    <d v="2023-03-31T16:00:00"/>
    <x v="2"/>
    <n v="13"/>
    <x v="0"/>
    <s v="Yamaha"/>
    <x v="0"/>
    <x v="3"/>
    <n v="41241"/>
    <n v="6"/>
    <n v="165119"/>
    <n v="31568"/>
    <n v="10"/>
    <s v="No"/>
    <x v="0"/>
    <n v="133551"/>
  </r>
  <r>
    <n v="2154"/>
    <d v="2023-03-31T17:00:00"/>
    <x v="2"/>
    <n v="13"/>
    <x v="0"/>
    <s v="Bajaj"/>
    <x v="1"/>
    <x v="3"/>
    <n v="88806"/>
    <n v="7"/>
    <n v="162649"/>
    <n v="53092"/>
    <n v="5"/>
    <s v="Yes"/>
    <x v="0"/>
    <n v="109557"/>
  </r>
  <r>
    <n v="2155"/>
    <d v="2023-03-31T18:00:00"/>
    <x v="2"/>
    <n v="13"/>
    <x v="0"/>
    <s v="Bajaj"/>
    <x v="0"/>
    <x v="2"/>
    <n v="43270"/>
    <n v="8"/>
    <n v="159942"/>
    <n v="86019"/>
    <n v="6"/>
    <s v="Yes"/>
    <x v="1"/>
    <n v="73923"/>
  </r>
  <r>
    <n v="2156"/>
    <d v="2023-03-31T19:00:00"/>
    <x v="2"/>
    <n v="13"/>
    <x v="0"/>
    <s v="Bajaj"/>
    <x v="0"/>
    <x v="3"/>
    <n v="8387"/>
    <n v="1"/>
    <n v="59094"/>
    <n v="77679"/>
    <n v="1"/>
    <s v="Yes"/>
    <x v="0"/>
    <n v="-18585"/>
  </r>
  <r>
    <n v="2157"/>
    <d v="2023-03-31T20:00:00"/>
    <x v="2"/>
    <n v="13"/>
    <x v="0"/>
    <s v="Yamaha"/>
    <x v="0"/>
    <x v="1"/>
    <n v="99218"/>
    <n v="0"/>
    <n v="80329"/>
    <n v="80781"/>
    <n v="1"/>
    <s v="Yes"/>
    <x v="0"/>
    <n v="-452"/>
  </r>
  <r>
    <n v="2158"/>
    <d v="2023-03-31T21:00:00"/>
    <x v="2"/>
    <n v="13"/>
    <x v="0"/>
    <s v="Bajaj"/>
    <x v="0"/>
    <x v="3"/>
    <n v="98406"/>
    <n v="3"/>
    <n v="165289"/>
    <n v="23430"/>
    <n v="2"/>
    <s v="Yes"/>
    <x v="0"/>
    <n v="141859"/>
  </r>
  <r>
    <n v="2159"/>
    <d v="2023-03-31T22:00:00"/>
    <x v="2"/>
    <n v="13"/>
    <x v="0"/>
    <s v="Hero"/>
    <x v="0"/>
    <x v="3"/>
    <n v="25418"/>
    <n v="4"/>
    <n v="108138"/>
    <n v="88719"/>
    <n v="11"/>
    <s v="No"/>
    <x v="0"/>
    <n v="19419"/>
  </r>
  <r>
    <n v="2160"/>
    <d v="2023-03-31T23:00:00"/>
    <x v="2"/>
    <n v="13"/>
    <x v="0"/>
    <s v="Yamaha"/>
    <x v="0"/>
    <x v="2"/>
    <n v="35997"/>
    <n v="9"/>
    <n v="91141"/>
    <n v="53692"/>
    <n v="14"/>
    <s v="No"/>
    <x v="1"/>
    <n v="37449"/>
  </r>
  <r>
    <n v="2161"/>
    <d v="2023-04-01T00:00:00"/>
    <x v="3"/>
    <n v="13"/>
    <x v="0"/>
    <s v="Bajaj"/>
    <x v="0"/>
    <x v="3"/>
    <n v="94062"/>
    <n v="0"/>
    <n v="178415"/>
    <n v="45086"/>
    <n v="4"/>
    <s v="Yes"/>
    <x v="0"/>
    <n v="133329"/>
  </r>
  <r>
    <n v="2162"/>
    <d v="2023-04-01T01:00:00"/>
    <x v="3"/>
    <n v="13"/>
    <x v="0"/>
    <s v="Yamaha"/>
    <x v="0"/>
    <x v="0"/>
    <n v="61509"/>
    <n v="4"/>
    <n v="153307"/>
    <n v="64671"/>
    <n v="11"/>
    <s v="No"/>
    <x v="1"/>
    <n v="88636"/>
  </r>
  <r>
    <n v="2163"/>
    <d v="2023-04-01T02:00:00"/>
    <x v="3"/>
    <n v="13"/>
    <x v="0"/>
    <s v="TVS"/>
    <x v="0"/>
    <x v="2"/>
    <n v="12429"/>
    <n v="5"/>
    <n v="169075"/>
    <n v="113262"/>
    <n v="9"/>
    <s v="No"/>
    <x v="0"/>
    <n v="55813"/>
  </r>
  <r>
    <n v="2164"/>
    <d v="2023-04-01T03:00:00"/>
    <x v="3"/>
    <n v="13"/>
    <x v="0"/>
    <s v="Hero"/>
    <x v="0"/>
    <x v="3"/>
    <n v="62262"/>
    <n v="2"/>
    <n v="108197"/>
    <n v="28901"/>
    <n v="7"/>
    <s v="Yes"/>
    <x v="0"/>
    <n v="79296"/>
  </r>
  <r>
    <n v="2165"/>
    <d v="2023-04-01T04:00:00"/>
    <x v="3"/>
    <n v="13"/>
    <x v="0"/>
    <s v="Bajaj"/>
    <x v="0"/>
    <x v="1"/>
    <n v="79599"/>
    <n v="6"/>
    <n v="107318"/>
    <n v="18907"/>
    <n v="6"/>
    <s v="Yes"/>
    <x v="0"/>
    <n v="88411"/>
  </r>
  <r>
    <n v="2166"/>
    <d v="2023-04-01T05:00:00"/>
    <x v="3"/>
    <n v="13"/>
    <x v="0"/>
    <s v="TVS"/>
    <x v="0"/>
    <x v="1"/>
    <n v="29046"/>
    <n v="5"/>
    <n v="104023"/>
    <n v="113580"/>
    <n v="1"/>
    <s v="Yes"/>
    <x v="0"/>
    <n v="-9557"/>
  </r>
  <r>
    <n v="2167"/>
    <d v="2023-04-01T06:00:00"/>
    <x v="3"/>
    <n v="13"/>
    <x v="0"/>
    <s v="TVS"/>
    <x v="0"/>
    <x v="2"/>
    <n v="78924"/>
    <n v="3"/>
    <n v="76962"/>
    <n v="43604"/>
    <n v="5"/>
    <s v="Yes"/>
    <x v="0"/>
    <n v="33358"/>
  </r>
  <r>
    <n v="2168"/>
    <d v="2023-04-01T07:00:00"/>
    <x v="3"/>
    <n v="13"/>
    <x v="0"/>
    <s v="Yamaha"/>
    <x v="0"/>
    <x v="2"/>
    <n v="37838"/>
    <n v="2"/>
    <n v="138037"/>
    <n v="52869"/>
    <n v="11"/>
    <s v="No"/>
    <x v="0"/>
    <n v="85168"/>
  </r>
  <r>
    <n v="2169"/>
    <d v="2023-04-01T08:00:00"/>
    <x v="3"/>
    <n v="13"/>
    <x v="0"/>
    <s v="TVS"/>
    <x v="0"/>
    <x v="3"/>
    <n v="34783"/>
    <n v="4"/>
    <n v="112601"/>
    <n v="29537"/>
    <n v="12"/>
    <s v="No"/>
    <x v="0"/>
    <n v="83064"/>
  </r>
  <r>
    <n v="2170"/>
    <d v="2023-04-01T09:00:00"/>
    <x v="3"/>
    <n v="13"/>
    <x v="0"/>
    <s v="Hero"/>
    <x v="0"/>
    <x v="0"/>
    <n v="82994"/>
    <n v="2"/>
    <n v="109859"/>
    <n v="27501"/>
    <n v="13"/>
    <s v="No"/>
    <x v="0"/>
    <n v="82358"/>
  </r>
  <r>
    <n v="2171"/>
    <d v="2023-04-01T10:00:00"/>
    <x v="3"/>
    <n v="13"/>
    <x v="0"/>
    <s v="Hero"/>
    <x v="0"/>
    <x v="3"/>
    <n v="78670"/>
    <n v="9"/>
    <n v="115933"/>
    <n v="138485"/>
    <n v="4"/>
    <s v="Yes"/>
    <x v="0"/>
    <n v="-22552"/>
  </r>
  <r>
    <n v="2172"/>
    <d v="2023-04-01T11:00:00"/>
    <x v="3"/>
    <n v="13"/>
    <x v="0"/>
    <s v="Honda"/>
    <x v="0"/>
    <x v="1"/>
    <n v="85287"/>
    <n v="8"/>
    <n v="70957"/>
    <n v="134261"/>
    <n v="5"/>
    <s v="Yes"/>
    <x v="1"/>
    <n v="-63304"/>
  </r>
  <r>
    <n v="2173"/>
    <d v="2023-04-01T12:00:00"/>
    <x v="3"/>
    <n v="13"/>
    <x v="0"/>
    <s v="Hero"/>
    <x v="0"/>
    <x v="0"/>
    <n v="47066"/>
    <n v="8"/>
    <n v="107864"/>
    <n v="52371"/>
    <n v="11"/>
    <s v="No"/>
    <x v="0"/>
    <n v="55493"/>
  </r>
  <r>
    <n v="2174"/>
    <d v="2023-04-01T13:00:00"/>
    <x v="3"/>
    <n v="13"/>
    <x v="0"/>
    <s v="TVS"/>
    <x v="0"/>
    <x v="0"/>
    <n v="85964"/>
    <n v="5"/>
    <n v="151358"/>
    <n v="129639"/>
    <n v="9"/>
    <s v="No"/>
    <x v="0"/>
    <n v="21719"/>
  </r>
  <r>
    <n v="2175"/>
    <d v="2023-04-01T14:00:00"/>
    <x v="3"/>
    <n v="13"/>
    <x v="0"/>
    <s v="Hero"/>
    <x v="0"/>
    <x v="0"/>
    <n v="82491"/>
    <n v="5"/>
    <n v="68739"/>
    <n v="126690"/>
    <n v="12"/>
    <s v="No"/>
    <x v="0"/>
    <n v="-57951"/>
  </r>
  <r>
    <n v="2176"/>
    <d v="2023-04-01T15:00:00"/>
    <x v="3"/>
    <n v="13"/>
    <x v="0"/>
    <s v="Yamaha"/>
    <x v="0"/>
    <x v="3"/>
    <n v="93180"/>
    <n v="3"/>
    <n v="63733"/>
    <n v="51821"/>
    <n v="3"/>
    <s v="Yes"/>
    <x v="0"/>
    <n v="11912"/>
  </r>
  <r>
    <n v="2177"/>
    <d v="2023-04-01T16:00:00"/>
    <x v="3"/>
    <n v="13"/>
    <x v="0"/>
    <s v="Honda"/>
    <x v="1"/>
    <x v="1"/>
    <n v="28513"/>
    <n v="3"/>
    <n v="70389"/>
    <n v="103732"/>
    <n v="4"/>
    <s v="Yes"/>
    <x v="0"/>
    <n v="-33343"/>
  </r>
  <r>
    <n v="2178"/>
    <d v="2023-04-01T17:00:00"/>
    <x v="3"/>
    <n v="13"/>
    <x v="0"/>
    <s v="TVS"/>
    <x v="0"/>
    <x v="2"/>
    <n v="52632"/>
    <n v="1"/>
    <n v="81922"/>
    <n v="21073"/>
    <n v="8"/>
    <s v="No"/>
    <x v="0"/>
    <n v="60849"/>
  </r>
  <r>
    <n v="2179"/>
    <d v="2023-04-01T18:00:00"/>
    <x v="3"/>
    <n v="13"/>
    <x v="0"/>
    <s v="Honda"/>
    <x v="0"/>
    <x v="3"/>
    <n v="87912"/>
    <n v="9"/>
    <n v="42580"/>
    <n v="129829"/>
    <n v="3"/>
    <s v="Yes"/>
    <x v="0"/>
    <n v="-87249"/>
  </r>
  <r>
    <n v="2180"/>
    <d v="2023-04-01T19:00:00"/>
    <x v="3"/>
    <n v="13"/>
    <x v="0"/>
    <s v="TVS"/>
    <x v="1"/>
    <x v="2"/>
    <n v="92998"/>
    <n v="3"/>
    <n v="140900"/>
    <n v="76005"/>
    <n v="13"/>
    <s v="No"/>
    <x v="0"/>
    <n v="64895"/>
  </r>
  <r>
    <n v="2181"/>
    <d v="2023-04-01T20:00:00"/>
    <x v="3"/>
    <n v="13"/>
    <x v="0"/>
    <s v="Yamaha"/>
    <x v="0"/>
    <x v="0"/>
    <n v="28584"/>
    <n v="7"/>
    <n v="156895"/>
    <n v="91097"/>
    <n v="3"/>
    <s v="Yes"/>
    <x v="0"/>
    <n v="65798"/>
  </r>
  <r>
    <n v="2182"/>
    <d v="2023-04-01T21:00:00"/>
    <x v="3"/>
    <n v="13"/>
    <x v="0"/>
    <s v="Honda"/>
    <x v="0"/>
    <x v="0"/>
    <n v="21643"/>
    <n v="9"/>
    <n v="32084"/>
    <n v="33101"/>
    <n v="13"/>
    <s v="No"/>
    <x v="0"/>
    <n v="-1017"/>
  </r>
  <r>
    <n v="2183"/>
    <d v="2023-04-01T22:00:00"/>
    <x v="3"/>
    <n v="13"/>
    <x v="0"/>
    <s v="Bajaj"/>
    <x v="0"/>
    <x v="3"/>
    <n v="92127"/>
    <n v="1"/>
    <n v="102991"/>
    <n v="126052"/>
    <n v="9"/>
    <s v="No"/>
    <x v="0"/>
    <n v="-23061"/>
  </r>
  <r>
    <n v="2184"/>
    <d v="2023-04-01T23:00:00"/>
    <x v="3"/>
    <n v="13"/>
    <x v="0"/>
    <s v="TVS"/>
    <x v="0"/>
    <x v="1"/>
    <n v="14679"/>
    <n v="8"/>
    <n v="166679"/>
    <n v="46426"/>
    <n v="5"/>
    <s v="Yes"/>
    <x v="0"/>
    <n v="120253"/>
  </r>
  <r>
    <n v="2185"/>
    <d v="2023-04-02T00:00:00"/>
    <x v="3"/>
    <n v="14"/>
    <x v="0"/>
    <s v="Bajaj"/>
    <x v="1"/>
    <x v="0"/>
    <n v="98843"/>
    <n v="0"/>
    <n v="107455"/>
    <n v="109877"/>
    <n v="10"/>
    <s v="No"/>
    <x v="0"/>
    <n v="-2422"/>
  </r>
  <r>
    <n v="2186"/>
    <d v="2023-04-02T01:00:00"/>
    <x v="3"/>
    <n v="14"/>
    <x v="0"/>
    <s v="Honda"/>
    <x v="1"/>
    <x v="2"/>
    <n v="59226"/>
    <n v="1"/>
    <n v="137540"/>
    <n v="22313"/>
    <n v="1"/>
    <s v="Yes"/>
    <x v="0"/>
    <n v="115227"/>
  </r>
  <r>
    <n v="2187"/>
    <d v="2023-04-02T02:00:00"/>
    <x v="3"/>
    <n v="14"/>
    <x v="0"/>
    <s v="Bajaj"/>
    <x v="0"/>
    <x v="2"/>
    <n v="10722"/>
    <n v="1"/>
    <n v="139540"/>
    <n v="45773"/>
    <n v="7"/>
    <s v="Yes"/>
    <x v="0"/>
    <n v="93767"/>
  </r>
  <r>
    <n v="2188"/>
    <d v="2023-04-02T03:00:00"/>
    <x v="3"/>
    <n v="14"/>
    <x v="0"/>
    <s v="Bajaj"/>
    <x v="0"/>
    <x v="3"/>
    <n v="60465"/>
    <n v="5"/>
    <n v="168041"/>
    <n v="43003"/>
    <n v="7"/>
    <s v="Yes"/>
    <x v="0"/>
    <n v="125038"/>
  </r>
  <r>
    <n v="2189"/>
    <d v="2023-04-02T04:00:00"/>
    <x v="3"/>
    <n v="14"/>
    <x v="0"/>
    <s v="Honda"/>
    <x v="1"/>
    <x v="2"/>
    <n v="64568"/>
    <n v="6"/>
    <n v="42333"/>
    <n v="74668"/>
    <n v="6"/>
    <s v="Yes"/>
    <x v="0"/>
    <n v="-32335"/>
  </r>
  <r>
    <n v="2190"/>
    <d v="2023-04-02T05:00:00"/>
    <x v="3"/>
    <n v="14"/>
    <x v="0"/>
    <s v="Yamaha"/>
    <x v="0"/>
    <x v="1"/>
    <n v="24449"/>
    <n v="2"/>
    <n v="152182"/>
    <n v="106956"/>
    <n v="6"/>
    <s v="Yes"/>
    <x v="0"/>
    <n v="45226"/>
  </r>
  <r>
    <n v="2191"/>
    <d v="2023-04-02T06:00:00"/>
    <x v="3"/>
    <n v="14"/>
    <x v="0"/>
    <s v="Bajaj"/>
    <x v="0"/>
    <x v="0"/>
    <n v="16616"/>
    <n v="8"/>
    <n v="61668"/>
    <n v="86250"/>
    <n v="3"/>
    <s v="Yes"/>
    <x v="0"/>
    <n v="-24582"/>
  </r>
  <r>
    <n v="2192"/>
    <d v="2023-04-02T07:00:00"/>
    <x v="3"/>
    <n v="14"/>
    <x v="0"/>
    <s v="Bajaj"/>
    <x v="1"/>
    <x v="2"/>
    <n v="51552"/>
    <n v="4"/>
    <n v="36945"/>
    <n v="130087"/>
    <n v="3"/>
    <s v="Yes"/>
    <x v="0"/>
    <n v="-93142"/>
  </r>
  <r>
    <n v="2193"/>
    <d v="2023-04-02T08:00:00"/>
    <x v="3"/>
    <n v="14"/>
    <x v="0"/>
    <s v="Yamaha"/>
    <x v="0"/>
    <x v="2"/>
    <n v="51869"/>
    <n v="4"/>
    <n v="127528"/>
    <n v="134451"/>
    <n v="10"/>
    <s v="No"/>
    <x v="0"/>
    <n v="-6923"/>
  </r>
  <r>
    <n v="2194"/>
    <d v="2023-04-02T09:00:00"/>
    <x v="3"/>
    <n v="14"/>
    <x v="0"/>
    <s v="Bajaj"/>
    <x v="0"/>
    <x v="0"/>
    <n v="49317"/>
    <n v="3"/>
    <n v="71526"/>
    <n v="107675"/>
    <n v="11"/>
    <s v="No"/>
    <x v="0"/>
    <n v="-36149"/>
  </r>
  <r>
    <n v="2195"/>
    <d v="2023-04-02T10:00:00"/>
    <x v="3"/>
    <n v="14"/>
    <x v="0"/>
    <s v="Bajaj"/>
    <x v="0"/>
    <x v="3"/>
    <n v="83703"/>
    <n v="8"/>
    <n v="72717"/>
    <n v="106634"/>
    <n v="9"/>
    <s v="No"/>
    <x v="0"/>
    <n v="-33917"/>
  </r>
  <r>
    <n v="2196"/>
    <d v="2023-04-02T11:00:00"/>
    <x v="3"/>
    <n v="14"/>
    <x v="0"/>
    <s v="Bajaj"/>
    <x v="1"/>
    <x v="2"/>
    <n v="74811"/>
    <n v="7"/>
    <n v="115480"/>
    <n v="57294"/>
    <n v="1"/>
    <s v="Yes"/>
    <x v="0"/>
    <n v="58186"/>
  </r>
  <r>
    <n v="2197"/>
    <d v="2023-04-02T12:00:00"/>
    <x v="3"/>
    <n v="14"/>
    <x v="0"/>
    <s v="Hero"/>
    <x v="0"/>
    <x v="3"/>
    <n v="30155"/>
    <n v="3"/>
    <n v="160673"/>
    <n v="28582"/>
    <n v="7"/>
    <s v="Yes"/>
    <x v="0"/>
    <n v="132091"/>
  </r>
  <r>
    <n v="2198"/>
    <d v="2023-04-02T13:00:00"/>
    <x v="3"/>
    <n v="14"/>
    <x v="0"/>
    <s v="Yamaha"/>
    <x v="0"/>
    <x v="3"/>
    <n v="58302"/>
    <n v="3"/>
    <n v="37930"/>
    <n v="124119"/>
    <n v="13"/>
    <s v="No"/>
    <x v="1"/>
    <n v="-86189"/>
  </r>
  <r>
    <n v="2199"/>
    <d v="2023-04-02T14:00:00"/>
    <x v="3"/>
    <n v="14"/>
    <x v="0"/>
    <s v="Bajaj"/>
    <x v="0"/>
    <x v="2"/>
    <n v="48132"/>
    <n v="1"/>
    <n v="29333"/>
    <n v="28760"/>
    <n v="12"/>
    <s v="No"/>
    <x v="0"/>
    <n v="573"/>
  </r>
  <r>
    <n v="2200"/>
    <d v="2023-04-02T15:00:00"/>
    <x v="3"/>
    <n v="14"/>
    <x v="0"/>
    <s v="Yamaha"/>
    <x v="0"/>
    <x v="1"/>
    <n v="14693"/>
    <n v="8"/>
    <n v="145384"/>
    <n v="86791"/>
    <n v="11"/>
    <s v="No"/>
    <x v="0"/>
    <n v="58593"/>
  </r>
  <r>
    <n v="2201"/>
    <d v="2023-04-02T16:00:00"/>
    <x v="3"/>
    <n v="14"/>
    <x v="0"/>
    <s v="TVS"/>
    <x v="0"/>
    <x v="3"/>
    <n v="80712"/>
    <n v="2"/>
    <n v="42839"/>
    <n v="97158"/>
    <n v="10"/>
    <s v="No"/>
    <x v="0"/>
    <n v="-54319"/>
  </r>
  <r>
    <n v="2202"/>
    <d v="2023-04-02T17:00:00"/>
    <x v="3"/>
    <n v="14"/>
    <x v="0"/>
    <s v="TVS"/>
    <x v="0"/>
    <x v="2"/>
    <n v="31276"/>
    <n v="3"/>
    <n v="76337"/>
    <n v="50983"/>
    <n v="7"/>
    <s v="Yes"/>
    <x v="0"/>
    <n v="25354"/>
  </r>
  <r>
    <n v="2203"/>
    <d v="2023-04-02T18:00:00"/>
    <x v="3"/>
    <n v="14"/>
    <x v="0"/>
    <s v="Bajaj"/>
    <x v="0"/>
    <x v="3"/>
    <n v="43725"/>
    <n v="6"/>
    <n v="45195"/>
    <n v="55309"/>
    <n v="8"/>
    <s v="No"/>
    <x v="0"/>
    <n v="-10114"/>
  </r>
  <r>
    <n v="2204"/>
    <d v="2023-04-02T19:00:00"/>
    <x v="3"/>
    <n v="14"/>
    <x v="0"/>
    <s v="Yamaha"/>
    <x v="0"/>
    <x v="0"/>
    <n v="60510"/>
    <n v="9"/>
    <n v="114229"/>
    <n v="44715"/>
    <n v="6"/>
    <s v="Yes"/>
    <x v="0"/>
    <n v="69514"/>
  </r>
  <r>
    <n v="2205"/>
    <d v="2023-04-02T20:00:00"/>
    <x v="3"/>
    <n v="14"/>
    <x v="0"/>
    <s v="Yamaha"/>
    <x v="1"/>
    <x v="1"/>
    <n v="83235"/>
    <n v="7"/>
    <n v="138251"/>
    <n v="51415"/>
    <n v="8"/>
    <s v="No"/>
    <x v="0"/>
    <n v="86836"/>
  </r>
  <r>
    <n v="2206"/>
    <d v="2023-04-02T21:00:00"/>
    <x v="3"/>
    <n v="14"/>
    <x v="0"/>
    <s v="Yamaha"/>
    <x v="0"/>
    <x v="1"/>
    <n v="65951"/>
    <n v="7"/>
    <n v="137265"/>
    <n v="102328"/>
    <n v="1"/>
    <s v="Yes"/>
    <x v="0"/>
    <n v="34937"/>
  </r>
  <r>
    <n v="2207"/>
    <d v="2023-04-02T22:00:00"/>
    <x v="3"/>
    <n v="14"/>
    <x v="0"/>
    <s v="Hero"/>
    <x v="1"/>
    <x v="0"/>
    <n v="49312"/>
    <n v="3"/>
    <n v="126986"/>
    <n v="123112"/>
    <n v="1"/>
    <s v="Yes"/>
    <x v="0"/>
    <n v="3874"/>
  </r>
  <r>
    <n v="2208"/>
    <d v="2023-04-02T23:00:00"/>
    <x v="3"/>
    <n v="14"/>
    <x v="0"/>
    <s v="TVS"/>
    <x v="0"/>
    <x v="0"/>
    <n v="81102"/>
    <n v="6"/>
    <n v="75998"/>
    <n v="103260"/>
    <n v="9"/>
    <s v="No"/>
    <x v="0"/>
    <n v="-27262"/>
  </r>
  <r>
    <n v="2209"/>
    <d v="2023-04-03T00:00:00"/>
    <x v="3"/>
    <n v="14"/>
    <x v="0"/>
    <s v="Yamaha"/>
    <x v="0"/>
    <x v="3"/>
    <n v="19395"/>
    <n v="9"/>
    <n v="56558"/>
    <n v="66581"/>
    <n v="12"/>
    <s v="No"/>
    <x v="0"/>
    <n v="-10023"/>
  </r>
  <r>
    <n v="2210"/>
    <d v="2023-04-03T01:00:00"/>
    <x v="3"/>
    <n v="14"/>
    <x v="0"/>
    <s v="Yamaha"/>
    <x v="0"/>
    <x v="0"/>
    <n v="66282"/>
    <n v="0"/>
    <n v="27985"/>
    <n v="18652"/>
    <n v="4"/>
    <s v="Yes"/>
    <x v="0"/>
    <n v="9333"/>
  </r>
  <r>
    <n v="2211"/>
    <d v="2023-04-03T02:00:00"/>
    <x v="3"/>
    <n v="14"/>
    <x v="0"/>
    <s v="Hero"/>
    <x v="0"/>
    <x v="1"/>
    <n v="21709"/>
    <n v="5"/>
    <n v="86794"/>
    <n v="41297"/>
    <n v="3"/>
    <s v="Yes"/>
    <x v="0"/>
    <n v="45497"/>
  </r>
  <r>
    <n v="2212"/>
    <d v="2023-04-03T03:00:00"/>
    <x v="3"/>
    <n v="14"/>
    <x v="0"/>
    <s v="Hero"/>
    <x v="1"/>
    <x v="0"/>
    <n v="82836"/>
    <n v="5"/>
    <n v="68585"/>
    <n v="112958"/>
    <n v="6"/>
    <s v="Yes"/>
    <x v="0"/>
    <n v="-44373"/>
  </r>
  <r>
    <n v="2213"/>
    <d v="2023-04-03T04:00:00"/>
    <x v="3"/>
    <n v="14"/>
    <x v="0"/>
    <s v="Yamaha"/>
    <x v="0"/>
    <x v="2"/>
    <n v="62307"/>
    <n v="5"/>
    <n v="65264"/>
    <n v="29028"/>
    <n v="10"/>
    <s v="No"/>
    <x v="0"/>
    <n v="36236"/>
  </r>
  <r>
    <n v="2214"/>
    <d v="2023-04-03T05:00:00"/>
    <x v="3"/>
    <n v="14"/>
    <x v="0"/>
    <s v="Honda"/>
    <x v="0"/>
    <x v="2"/>
    <n v="23586"/>
    <n v="1"/>
    <n v="109816"/>
    <n v="28803"/>
    <n v="12"/>
    <s v="No"/>
    <x v="0"/>
    <n v="81013"/>
  </r>
  <r>
    <n v="2215"/>
    <d v="2023-04-03T06:00:00"/>
    <x v="3"/>
    <n v="14"/>
    <x v="0"/>
    <s v="Yamaha"/>
    <x v="0"/>
    <x v="3"/>
    <n v="86137"/>
    <n v="7"/>
    <n v="59022"/>
    <n v="21307"/>
    <n v="13"/>
    <s v="No"/>
    <x v="1"/>
    <n v="37715"/>
  </r>
  <r>
    <n v="2216"/>
    <d v="2023-04-03T07:00:00"/>
    <x v="3"/>
    <n v="14"/>
    <x v="0"/>
    <s v="Yamaha"/>
    <x v="0"/>
    <x v="1"/>
    <n v="82527"/>
    <n v="4"/>
    <n v="171739"/>
    <n v="46325"/>
    <n v="12"/>
    <s v="No"/>
    <x v="0"/>
    <n v="125414"/>
  </r>
  <r>
    <n v="2217"/>
    <d v="2023-04-03T08:00:00"/>
    <x v="3"/>
    <n v="14"/>
    <x v="0"/>
    <s v="Hero"/>
    <x v="0"/>
    <x v="2"/>
    <n v="27707"/>
    <n v="4"/>
    <n v="43065"/>
    <n v="73616"/>
    <n v="9"/>
    <s v="No"/>
    <x v="0"/>
    <n v="-30551"/>
  </r>
  <r>
    <n v="2218"/>
    <d v="2023-04-03T09:00:00"/>
    <x v="3"/>
    <n v="14"/>
    <x v="0"/>
    <s v="Hero"/>
    <x v="0"/>
    <x v="0"/>
    <n v="21397"/>
    <n v="1"/>
    <n v="139382"/>
    <n v="75483"/>
    <n v="10"/>
    <s v="No"/>
    <x v="1"/>
    <n v="63899"/>
  </r>
  <r>
    <n v="2219"/>
    <d v="2023-04-03T10:00:00"/>
    <x v="3"/>
    <n v="14"/>
    <x v="0"/>
    <s v="Yamaha"/>
    <x v="0"/>
    <x v="2"/>
    <n v="63583"/>
    <n v="3"/>
    <n v="153145"/>
    <n v="46574"/>
    <n v="11"/>
    <s v="No"/>
    <x v="0"/>
    <n v="106571"/>
  </r>
  <r>
    <n v="2220"/>
    <d v="2023-04-03T11:00:00"/>
    <x v="3"/>
    <n v="14"/>
    <x v="0"/>
    <s v="Yamaha"/>
    <x v="0"/>
    <x v="2"/>
    <n v="95528"/>
    <n v="8"/>
    <n v="112191"/>
    <n v="134828"/>
    <n v="4"/>
    <s v="Yes"/>
    <x v="0"/>
    <n v="-22637"/>
  </r>
  <r>
    <n v="2221"/>
    <d v="2023-04-03T12:00:00"/>
    <x v="3"/>
    <n v="14"/>
    <x v="0"/>
    <s v="Yamaha"/>
    <x v="0"/>
    <x v="3"/>
    <n v="67457"/>
    <n v="8"/>
    <n v="166078"/>
    <n v="99798"/>
    <n v="9"/>
    <s v="No"/>
    <x v="0"/>
    <n v="66280"/>
  </r>
  <r>
    <n v="2222"/>
    <d v="2023-04-03T13:00:00"/>
    <x v="3"/>
    <n v="14"/>
    <x v="0"/>
    <s v="Hero"/>
    <x v="0"/>
    <x v="0"/>
    <n v="98051"/>
    <n v="5"/>
    <n v="96819"/>
    <n v="82071"/>
    <n v="5"/>
    <s v="Yes"/>
    <x v="0"/>
    <n v="14748"/>
  </r>
  <r>
    <n v="2223"/>
    <d v="2023-04-03T14:00:00"/>
    <x v="3"/>
    <n v="14"/>
    <x v="0"/>
    <s v="Yamaha"/>
    <x v="0"/>
    <x v="0"/>
    <n v="79006"/>
    <n v="8"/>
    <n v="132158"/>
    <n v="29932"/>
    <n v="13"/>
    <s v="No"/>
    <x v="0"/>
    <n v="102226"/>
  </r>
  <r>
    <n v="2224"/>
    <d v="2023-04-03T15:00:00"/>
    <x v="3"/>
    <n v="14"/>
    <x v="0"/>
    <s v="Yamaha"/>
    <x v="0"/>
    <x v="0"/>
    <n v="7783"/>
    <n v="3"/>
    <n v="28143"/>
    <n v="30749"/>
    <n v="7"/>
    <s v="Yes"/>
    <x v="0"/>
    <n v="-2606"/>
  </r>
  <r>
    <n v="2225"/>
    <d v="2023-04-03T16:00:00"/>
    <x v="3"/>
    <n v="14"/>
    <x v="0"/>
    <s v="Bajaj"/>
    <x v="0"/>
    <x v="3"/>
    <n v="94524"/>
    <n v="0"/>
    <n v="82505"/>
    <n v="23727"/>
    <n v="3"/>
    <s v="Yes"/>
    <x v="0"/>
    <n v="58778"/>
  </r>
  <r>
    <n v="2226"/>
    <d v="2023-04-03T17:00:00"/>
    <x v="3"/>
    <n v="14"/>
    <x v="0"/>
    <s v="Honda"/>
    <x v="0"/>
    <x v="0"/>
    <n v="81981"/>
    <n v="1"/>
    <n v="168489"/>
    <n v="70406"/>
    <n v="3"/>
    <s v="Yes"/>
    <x v="0"/>
    <n v="98083"/>
  </r>
  <r>
    <n v="2227"/>
    <d v="2023-04-03T18:00:00"/>
    <x v="3"/>
    <n v="14"/>
    <x v="0"/>
    <s v="TVS"/>
    <x v="0"/>
    <x v="0"/>
    <n v="755"/>
    <n v="0"/>
    <n v="53896"/>
    <n v="32332"/>
    <n v="12"/>
    <s v="No"/>
    <x v="0"/>
    <n v="21564"/>
  </r>
  <r>
    <n v="2228"/>
    <d v="2023-04-03T19:00:00"/>
    <x v="3"/>
    <n v="14"/>
    <x v="0"/>
    <s v="Honda"/>
    <x v="0"/>
    <x v="2"/>
    <n v="77055"/>
    <n v="7"/>
    <n v="75629"/>
    <n v="110070"/>
    <n v="3"/>
    <s v="Yes"/>
    <x v="0"/>
    <n v="-34441"/>
  </r>
  <r>
    <n v="2229"/>
    <d v="2023-04-03T20:00:00"/>
    <x v="3"/>
    <n v="14"/>
    <x v="0"/>
    <s v="Bajaj"/>
    <x v="1"/>
    <x v="2"/>
    <n v="15987"/>
    <n v="8"/>
    <n v="64916"/>
    <n v="25834"/>
    <n v="8"/>
    <s v="No"/>
    <x v="0"/>
    <n v="39082"/>
  </r>
  <r>
    <n v="2230"/>
    <d v="2023-04-03T21:00:00"/>
    <x v="3"/>
    <n v="14"/>
    <x v="0"/>
    <s v="TVS"/>
    <x v="0"/>
    <x v="0"/>
    <n v="19846"/>
    <n v="9"/>
    <n v="86330"/>
    <n v="35325"/>
    <n v="14"/>
    <s v="No"/>
    <x v="0"/>
    <n v="51005"/>
  </r>
  <r>
    <n v="2231"/>
    <d v="2023-04-03T22:00:00"/>
    <x v="3"/>
    <n v="14"/>
    <x v="0"/>
    <s v="Yamaha"/>
    <x v="0"/>
    <x v="1"/>
    <n v="35550"/>
    <n v="5"/>
    <n v="32551"/>
    <n v="24213"/>
    <n v="6"/>
    <s v="Yes"/>
    <x v="0"/>
    <n v="8338"/>
  </r>
  <r>
    <n v="2232"/>
    <d v="2023-04-03T23:00:00"/>
    <x v="3"/>
    <n v="14"/>
    <x v="0"/>
    <s v="Bajaj"/>
    <x v="1"/>
    <x v="1"/>
    <n v="9244"/>
    <n v="1"/>
    <n v="125972"/>
    <n v="136291"/>
    <n v="9"/>
    <s v="No"/>
    <x v="0"/>
    <n v="-10319"/>
  </r>
  <r>
    <n v="2233"/>
    <d v="2023-04-04T00:00:00"/>
    <x v="3"/>
    <n v="14"/>
    <x v="0"/>
    <s v="Yamaha"/>
    <x v="0"/>
    <x v="0"/>
    <n v="25256"/>
    <n v="5"/>
    <n v="144623"/>
    <n v="128741"/>
    <n v="9"/>
    <s v="No"/>
    <x v="0"/>
    <n v="15882"/>
  </r>
  <r>
    <n v="2234"/>
    <d v="2023-04-04T01:00:00"/>
    <x v="3"/>
    <n v="14"/>
    <x v="0"/>
    <s v="Hero"/>
    <x v="0"/>
    <x v="1"/>
    <n v="62096"/>
    <n v="8"/>
    <n v="138216"/>
    <n v="138313"/>
    <n v="8"/>
    <s v="No"/>
    <x v="1"/>
    <n v="-97"/>
  </r>
  <r>
    <n v="2235"/>
    <d v="2023-04-04T02:00:00"/>
    <x v="3"/>
    <n v="14"/>
    <x v="0"/>
    <s v="Bajaj"/>
    <x v="1"/>
    <x v="3"/>
    <n v="83897"/>
    <n v="2"/>
    <n v="92782"/>
    <n v="16403"/>
    <n v="1"/>
    <s v="Yes"/>
    <x v="1"/>
    <n v="76379"/>
  </r>
  <r>
    <n v="2236"/>
    <d v="2023-04-04T03:00:00"/>
    <x v="3"/>
    <n v="14"/>
    <x v="0"/>
    <s v="Hero"/>
    <x v="0"/>
    <x v="2"/>
    <n v="25646"/>
    <n v="8"/>
    <n v="90391"/>
    <n v="71971"/>
    <n v="6"/>
    <s v="Yes"/>
    <x v="0"/>
    <n v="18420"/>
  </r>
  <r>
    <n v="2237"/>
    <d v="2023-04-04T04:00:00"/>
    <x v="3"/>
    <n v="14"/>
    <x v="0"/>
    <s v="Bajaj"/>
    <x v="0"/>
    <x v="3"/>
    <n v="55532"/>
    <n v="1"/>
    <n v="129957"/>
    <n v="133199"/>
    <n v="4"/>
    <s v="Yes"/>
    <x v="0"/>
    <n v="-3242"/>
  </r>
  <r>
    <n v="2238"/>
    <d v="2023-04-04T05:00:00"/>
    <x v="3"/>
    <n v="14"/>
    <x v="0"/>
    <s v="Bajaj"/>
    <x v="0"/>
    <x v="2"/>
    <n v="43187"/>
    <n v="4"/>
    <n v="148546"/>
    <n v="132623"/>
    <n v="4"/>
    <s v="Yes"/>
    <x v="0"/>
    <n v="15923"/>
  </r>
  <r>
    <n v="2239"/>
    <d v="2023-04-04T06:00:00"/>
    <x v="3"/>
    <n v="14"/>
    <x v="0"/>
    <s v="Hero"/>
    <x v="0"/>
    <x v="1"/>
    <n v="46603"/>
    <n v="1"/>
    <n v="150006"/>
    <n v="69030"/>
    <n v="3"/>
    <s v="Yes"/>
    <x v="0"/>
    <n v="80976"/>
  </r>
  <r>
    <n v="2240"/>
    <d v="2023-04-04T07:00:00"/>
    <x v="3"/>
    <n v="14"/>
    <x v="0"/>
    <s v="TVS"/>
    <x v="0"/>
    <x v="1"/>
    <n v="22476"/>
    <n v="6"/>
    <n v="88411"/>
    <n v="88042"/>
    <n v="12"/>
    <s v="No"/>
    <x v="1"/>
    <n v="369"/>
  </r>
  <r>
    <n v="2241"/>
    <d v="2023-04-04T08:00:00"/>
    <x v="3"/>
    <n v="14"/>
    <x v="0"/>
    <s v="Honda"/>
    <x v="0"/>
    <x v="0"/>
    <n v="63363"/>
    <n v="9"/>
    <n v="98185"/>
    <n v="110195"/>
    <n v="9"/>
    <s v="No"/>
    <x v="0"/>
    <n v="-12010"/>
  </r>
  <r>
    <n v="2242"/>
    <d v="2023-04-04T09:00:00"/>
    <x v="3"/>
    <n v="14"/>
    <x v="0"/>
    <s v="Yamaha"/>
    <x v="0"/>
    <x v="1"/>
    <n v="1091"/>
    <n v="8"/>
    <n v="156960"/>
    <n v="22591"/>
    <n v="2"/>
    <s v="Yes"/>
    <x v="0"/>
    <n v="134369"/>
  </r>
  <r>
    <n v="2243"/>
    <d v="2023-04-04T10:00:00"/>
    <x v="3"/>
    <n v="14"/>
    <x v="0"/>
    <s v="Bajaj"/>
    <x v="0"/>
    <x v="1"/>
    <n v="6777"/>
    <n v="6"/>
    <n v="152574"/>
    <n v="27996"/>
    <n v="1"/>
    <s v="Yes"/>
    <x v="0"/>
    <n v="124578"/>
  </r>
  <r>
    <n v="2244"/>
    <d v="2023-04-04T11:00:00"/>
    <x v="3"/>
    <n v="14"/>
    <x v="0"/>
    <s v="Yamaha"/>
    <x v="1"/>
    <x v="0"/>
    <n v="62360"/>
    <n v="4"/>
    <n v="54424"/>
    <n v="118364"/>
    <n v="14"/>
    <s v="No"/>
    <x v="0"/>
    <n v="-63940"/>
  </r>
  <r>
    <n v="2245"/>
    <d v="2023-04-04T12:00:00"/>
    <x v="3"/>
    <n v="14"/>
    <x v="0"/>
    <s v="Hero"/>
    <x v="0"/>
    <x v="0"/>
    <n v="2760"/>
    <n v="3"/>
    <n v="66559"/>
    <n v="67485"/>
    <n v="10"/>
    <s v="No"/>
    <x v="0"/>
    <n v="-926"/>
  </r>
  <r>
    <n v="2246"/>
    <d v="2023-04-04T13:00:00"/>
    <x v="3"/>
    <n v="14"/>
    <x v="0"/>
    <s v="Yamaha"/>
    <x v="1"/>
    <x v="2"/>
    <n v="66383"/>
    <n v="3"/>
    <n v="36075"/>
    <n v="62830"/>
    <n v="3"/>
    <s v="Yes"/>
    <x v="0"/>
    <n v="-26755"/>
  </r>
  <r>
    <n v="2247"/>
    <d v="2023-04-04T14:00:00"/>
    <x v="3"/>
    <n v="14"/>
    <x v="0"/>
    <s v="Hero"/>
    <x v="1"/>
    <x v="1"/>
    <n v="25241"/>
    <n v="9"/>
    <n v="178771"/>
    <n v="49370"/>
    <n v="13"/>
    <s v="No"/>
    <x v="0"/>
    <n v="129401"/>
  </r>
  <r>
    <n v="2248"/>
    <d v="2023-04-04T15:00:00"/>
    <x v="3"/>
    <n v="14"/>
    <x v="0"/>
    <s v="Yamaha"/>
    <x v="0"/>
    <x v="2"/>
    <n v="37711"/>
    <n v="7"/>
    <n v="34950"/>
    <n v="72572"/>
    <n v="4"/>
    <s v="Yes"/>
    <x v="0"/>
    <n v="-37622"/>
  </r>
  <r>
    <n v="2249"/>
    <d v="2023-04-04T16:00:00"/>
    <x v="3"/>
    <n v="14"/>
    <x v="0"/>
    <s v="Honda"/>
    <x v="0"/>
    <x v="2"/>
    <n v="42042"/>
    <n v="9"/>
    <n v="161485"/>
    <n v="94008"/>
    <n v="4"/>
    <s v="Yes"/>
    <x v="0"/>
    <n v="67477"/>
  </r>
  <r>
    <n v="2250"/>
    <d v="2023-04-04T17:00:00"/>
    <x v="3"/>
    <n v="14"/>
    <x v="0"/>
    <s v="Honda"/>
    <x v="0"/>
    <x v="3"/>
    <n v="7369"/>
    <n v="9"/>
    <n v="64305"/>
    <n v="44098"/>
    <n v="6"/>
    <s v="Yes"/>
    <x v="0"/>
    <n v="20207"/>
  </r>
  <r>
    <n v="2251"/>
    <d v="2023-04-04T18:00:00"/>
    <x v="3"/>
    <n v="14"/>
    <x v="0"/>
    <s v="Honda"/>
    <x v="1"/>
    <x v="1"/>
    <n v="94118"/>
    <n v="9"/>
    <n v="28569"/>
    <n v="76561"/>
    <n v="1"/>
    <s v="Yes"/>
    <x v="0"/>
    <n v="-47992"/>
  </r>
  <r>
    <n v="2252"/>
    <d v="2023-04-04T19:00:00"/>
    <x v="3"/>
    <n v="14"/>
    <x v="0"/>
    <s v="Honda"/>
    <x v="0"/>
    <x v="1"/>
    <n v="88116"/>
    <n v="9"/>
    <n v="91778"/>
    <n v="17196"/>
    <n v="1"/>
    <s v="Yes"/>
    <x v="0"/>
    <n v="74582"/>
  </r>
  <r>
    <n v="2253"/>
    <d v="2023-04-04T20:00:00"/>
    <x v="3"/>
    <n v="14"/>
    <x v="0"/>
    <s v="Honda"/>
    <x v="0"/>
    <x v="3"/>
    <n v="65232"/>
    <n v="9"/>
    <n v="127633"/>
    <n v="26091"/>
    <n v="2"/>
    <s v="Yes"/>
    <x v="0"/>
    <n v="101542"/>
  </r>
  <r>
    <n v="2254"/>
    <d v="2023-04-04T21:00:00"/>
    <x v="3"/>
    <n v="14"/>
    <x v="0"/>
    <s v="Honda"/>
    <x v="0"/>
    <x v="2"/>
    <n v="95015"/>
    <n v="0"/>
    <n v="55085"/>
    <n v="95576"/>
    <n v="4"/>
    <s v="Yes"/>
    <x v="0"/>
    <n v="-40491"/>
  </r>
  <r>
    <n v="2255"/>
    <d v="2023-04-04T22:00:00"/>
    <x v="3"/>
    <n v="14"/>
    <x v="0"/>
    <s v="Hero"/>
    <x v="0"/>
    <x v="1"/>
    <n v="19922"/>
    <n v="4"/>
    <n v="121307"/>
    <n v="80254"/>
    <n v="7"/>
    <s v="Yes"/>
    <x v="0"/>
    <n v="41053"/>
  </r>
  <r>
    <n v="2256"/>
    <d v="2023-04-04T23:00:00"/>
    <x v="3"/>
    <n v="14"/>
    <x v="0"/>
    <s v="Bajaj"/>
    <x v="0"/>
    <x v="2"/>
    <n v="36113"/>
    <n v="1"/>
    <n v="117174"/>
    <n v="64262"/>
    <n v="6"/>
    <s v="Yes"/>
    <x v="0"/>
    <n v="52912"/>
  </r>
  <r>
    <n v="2257"/>
    <d v="2023-04-05T00:00:00"/>
    <x v="3"/>
    <n v="14"/>
    <x v="0"/>
    <s v="Yamaha"/>
    <x v="0"/>
    <x v="3"/>
    <n v="57516"/>
    <n v="8"/>
    <n v="61163"/>
    <n v="129320"/>
    <n v="11"/>
    <s v="No"/>
    <x v="0"/>
    <n v="-68157"/>
  </r>
  <r>
    <n v="2258"/>
    <d v="2023-04-05T01:00:00"/>
    <x v="3"/>
    <n v="14"/>
    <x v="0"/>
    <s v="Honda"/>
    <x v="0"/>
    <x v="0"/>
    <n v="60610"/>
    <n v="6"/>
    <n v="74592"/>
    <n v="139124"/>
    <n v="9"/>
    <s v="No"/>
    <x v="0"/>
    <n v="-64532"/>
  </r>
  <r>
    <n v="2259"/>
    <d v="2023-04-05T02:00:00"/>
    <x v="3"/>
    <n v="14"/>
    <x v="0"/>
    <s v="Hero"/>
    <x v="0"/>
    <x v="2"/>
    <n v="89029"/>
    <n v="9"/>
    <n v="142431"/>
    <n v="21023"/>
    <n v="7"/>
    <s v="Yes"/>
    <x v="0"/>
    <n v="121408"/>
  </r>
  <r>
    <n v="2260"/>
    <d v="2023-04-05T03:00:00"/>
    <x v="3"/>
    <n v="14"/>
    <x v="0"/>
    <s v="Hero"/>
    <x v="1"/>
    <x v="1"/>
    <n v="78422"/>
    <n v="7"/>
    <n v="33039"/>
    <n v="35543"/>
    <n v="12"/>
    <s v="No"/>
    <x v="0"/>
    <n v="-2504"/>
  </r>
  <r>
    <n v="2261"/>
    <d v="2023-04-05T04:00:00"/>
    <x v="3"/>
    <n v="14"/>
    <x v="0"/>
    <s v="Hero"/>
    <x v="0"/>
    <x v="0"/>
    <n v="34533"/>
    <n v="5"/>
    <n v="164270"/>
    <n v="75029"/>
    <n v="5"/>
    <s v="Yes"/>
    <x v="0"/>
    <n v="89241"/>
  </r>
  <r>
    <n v="2262"/>
    <d v="2023-04-05T05:00:00"/>
    <x v="3"/>
    <n v="14"/>
    <x v="0"/>
    <s v="Bajaj"/>
    <x v="1"/>
    <x v="2"/>
    <n v="45713"/>
    <n v="8"/>
    <n v="28824"/>
    <n v="108913"/>
    <n v="6"/>
    <s v="Yes"/>
    <x v="0"/>
    <n v="-80089"/>
  </r>
  <r>
    <n v="2263"/>
    <d v="2023-04-05T06:00:00"/>
    <x v="3"/>
    <n v="14"/>
    <x v="0"/>
    <s v="Yamaha"/>
    <x v="0"/>
    <x v="2"/>
    <n v="62493"/>
    <n v="5"/>
    <n v="75420"/>
    <n v="117171"/>
    <n v="10"/>
    <s v="No"/>
    <x v="0"/>
    <n v="-41751"/>
  </r>
  <r>
    <n v="2264"/>
    <d v="2023-04-05T07:00:00"/>
    <x v="3"/>
    <n v="14"/>
    <x v="0"/>
    <s v="Bajaj"/>
    <x v="0"/>
    <x v="0"/>
    <n v="13438"/>
    <n v="6"/>
    <n v="114535"/>
    <n v="57337"/>
    <n v="9"/>
    <s v="No"/>
    <x v="0"/>
    <n v="57198"/>
  </r>
  <r>
    <n v="2265"/>
    <d v="2023-04-05T08:00:00"/>
    <x v="3"/>
    <n v="14"/>
    <x v="0"/>
    <s v="TVS"/>
    <x v="0"/>
    <x v="0"/>
    <n v="77195"/>
    <n v="6"/>
    <n v="28436"/>
    <n v="55409"/>
    <n v="1"/>
    <s v="Yes"/>
    <x v="0"/>
    <n v="-26973"/>
  </r>
  <r>
    <n v="2266"/>
    <d v="2023-04-05T09:00:00"/>
    <x v="3"/>
    <n v="14"/>
    <x v="0"/>
    <s v="Hero"/>
    <x v="0"/>
    <x v="0"/>
    <n v="2774"/>
    <n v="8"/>
    <n v="118550"/>
    <n v="85540"/>
    <n v="11"/>
    <s v="No"/>
    <x v="0"/>
    <n v="33010"/>
  </r>
  <r>
    <n v="2267"/>
    <d v="2023-04-05T10:00:00"/>
    <x v="3"/>
    <n v="14"/>
    <x v="0"/>
    <s v="TVS"/>
    <x v="1"/>
    <x v="1"/>
    <n v="84890"/>
    <n v="7"/>
    <n v="41057"/>
    <n v="24963"/>
    <n v="9"/>
    <s v="No"/>
    <x v="0"/>
    <n v="16094"/>
  </r>
  <r>
    <n v="2268"/>
    <d v="2023-04-05T11:00:00"/>
    <x v="3"/>
    <n v="14"/>
    <x v="0"/>
    <s v="Honda"/>
    <x v="0"/>
    <x v="1"/>
    <n v="32315"/>
    <n v="0"/>
    <n v="26310"/>
    <n v="28796"/>
    <n v="6"/>
    <s v="Yes"/>
    <x v="0"/>
    <n v="-2486"/>
  </r>
  <r>
    <n v="2269"/>
    <d v="2023-04-05T12:00:00"/>
    <x v="3"/>
    <n v="14"/>
    <x v="0"/>
    <s v="Honda"/>
    <x v="1"/>
    <x v="2"/>
    <n v="76518"/>
    <n v="3"/>
    <n v="151913"/>
    <n v="55972"/>
    <n v="12"/>
    <s v="No"/>
    <x v="0"/>
    <n v="95941"/>
  </r>
  <r>
    <n v="2270"/>
    <d v="2023-04-05T13:00:00"/>
    <x v="3"/>
    <n v="14"/>
    <x v="0"/>
    <s v="Bajaj"/>
    <x v="0"/>
    <x v="2"/>
    <n v="19461"/>
    <n v="6"/>
    <n v="91013"/>
    <n v="87613"/>
    <n v="4"/>
    <s v="Yes"/>
    <x v="0"/>
    <n v="3400"/>
  </r>
  <r>
    <n v="2271"/>
    <d v="2023-04-05T14:00:00"/>
    <x v="3"/>
    <n v="14"/>
    <x v="0"/>
    <s v="Yamaha"/>
    <x v="0"/>
    <x v="3"/>
    <n v="20544"/>
    <n v="7"/>
    <n v="85022"/>
    <n v="110384"/>
    <n v="12"/>
    <s v="No"/>
    <x v="1"/>
    <n v="-25362"/>
  </r>
  <r>
    <n v="2272"/>
    <d v="2023-04-05T15:00:00"/>
    <x v="3"/>
    <n v="14"/>
    <x v="0"/>
    <s v="TVS"/>
    <x v="0"/>
    <x v="1"/>
    <n v="99872"/>
    <n v="6"/>
    <n v="164978"/>
    <n v="93062"/>
    <n v="5"/>
    <s v="Yes"/>
    <x v="0"/>
    <n v="71916"/>
  </r>
  <r>
    <n v="2273"/>
    <d v="2023-04-05T16:00:00"/>
    <x v="3"/>
    <n v="14"/>
    <x v="0"/>
    <s v="Yamaha"/>
    <x v="0"/>
    <x v="2"/>
    <n v="22475"/>
    <n v="2"/>
    <n v="165940"/>
    <n v="18261"/>
    <n v="13"/>
    <s v="No"/>
    <x v="0"/>
    <n v="147679"/>
  </r>
  <r>
    <n v="2274"/>
    <d v="2023-04-05T17:00:00"/>
    <x v="3"/>
    <n v="14"/>
    <x v="0"/>
    <s v="Bajaj"/>
    <x v="0"/>
    <x v="0"/>
    <n v="15206"/>
    <n v="3"/>
    <n v="43546"/>
    <n v="32046"/>
    <n v="1"/>
    <s v="Yes"/>
    <x v="0"/>
    <n v="11500"/>
  </r>
  <r>
    <n v="2275"/>
    <d v="2023-04-05T18:00:00"/>
    <x v="3"/>
    <n v="14"/>
    <x v="0"/>
    <s v="Honda"/>
    <x v="1"/>
    <x v="0"/>
    <n v="6474"/>
    <n v="6"/>
    <n v="123812"/>
    <n v="28397"/>
    <n v="7"/>
    <s v="Yes"/>
    <x v="0"/>
    <n v="95415"/>
  </r>
  <r>
    <n v="2276"/>
    <d v="2023-04-05T19:00:00"/>
    <x v="3"/>
    <n v="14"/>
    <x v="0"/>
    <s v="Yamaha"/>
    <x v="0"/>
    <x v="1"/>
    <n v="76964"/>
    <n v="7"/>
    <n v="97855"/>
    <n v="75436"/>
    <n v="13"/>
    <s v="No"/>
    <x v="0"/>
    <n v="22419"/>
  </r>
  <r>
    <n v="2277"/>
    <d v="2023-04-05T20:00:00"/>
    <x v="3"/>
    <n v="14"/>
    <x v="0"/>
    <s v="Yamaha"/>
    <x v="0"/>
    <x v="0"/>
    <n v="21713"/>
    <n v="6"/>
    <n v="58149"/>
    <n v="105805"/>
    <n v="13"/>
    <s v="No"/>
    <x v="0"/>
    <n v="-47656"/>
  </r>
  <r>
    <n v="2278"/>
    <d v="2023-04-05T21:00:00"/>
    <x v="3"/>
    <n v="14"/>
    <x v="0"/>
    <s v="Honda"/>
    <x v="0"/>
    <x v="3"/>
    <n v="2450"/>
    <n v="5"/>
    <n v="138591"/>
    <n v="116694"/>
    <n v="8"/>
    <s v="No"/>
    <x v="1"/>
    <n v="21897"/>
  </r>
  <r>
    <n v="2279"/>
    <d v="2023-04-05T22:00:00"/>
    <x v="3"/>
    <n v="14"/>
    <x v="0"/>
    <s v="TVS"/>
    <x v="0"/>
    <x v="2"/>
    <n v="85513"/>
    <n v="8"/>
    <n v="179756"/>
    <n v="40757"/>
    <n v="11"/>
    <s v="No"/>
    <x v="0"/>
    <n v="138999"/>
  </r>
  <r>
    <n v="2280"/>
    <d v="2023-04-05T23:00:00"/>
    <x v="3"/>
    <n v="14"/>
    <x v="0"/>
    <s v="Honda"/>
    <x v="0"/>
    <x v="2"/>
    <n v="10911"/>
    <n v="8"/>
    <n v="54858"/>
    <n v="132706"/>
    <n v="5"/>
    <s v="Yes"/>
    <x v="0"/>
    <n v="-77848"/>
  </r>
  <r>
    <n v="2281"/>
    <d v="2023-04-06T00:00:00"/>
    <x v="3"/>
    <n v="14"/>
    <x v="0"/>
    <s v="Yamaha"/>
    <x v="0"/>
    <x v="2"/>
    <n v="87731"/>
    <n v="6"/>
    <n v="70330"/>
    <n v="30299"/>
    <n v="2"/>
    <s v="Yes"/>
    <x v="0"/>
    <n v="40031"/>
  </r>
  <r>
    <n v="2282"/>
    <d v="2023-04-06T01:00:00"/>
    <x v="3"/>
    <n v="14"/>
    <x v="0"/>
    <s v="TVS"/>
    <x v="0"/>
    <x v="1"/>
    <n v="46656"/>
    <n v="7"/>
    <n v="117203"/>
    <n v="139384"/>
    <n v="8"/>
    <s v="No"/>
    <x v="0"/>
    <n v="-22181"/>
  </r>
  <r>
    <n v="2283"/>
    <d v="2023-04-06T02:00:00"/>
    <x v="3"/>
    <n v="14"/>
    <x v="0"/>
    <s v="TVS"/>
    <x v="0"/>
    <x v="0"/>
    <n v="63244"/>
    <n v="5"/>
    <n v="50293"/>
    <n v="16902"/>
    <n v="10"/>
    <s v="No"/>
    <x v="0"/>
    <n v="33391"/>
  </r>
  <r>
    <n v="2284"/>
    <d v="2023-04-06T03:00:00"/>
    <x v="3"/>
    <n v="14"/>
    <x v="0"/>
    <s v="Honda"/>
    <x v="0"/>
    <x v="3"/>
    <n v="18271"/>
    <n v="0"/>
    <n v="81869"/>
    <n v="133859"/>
    <n v="7"/>
    <s v="Yes"/>
    <x v="1"/>
    <n v="-51990"/>
  </r>
  <r>
    <n v="2285"/>
    <d v="2023-04-06T04:00:00"/>
    <x v="3"/>
    <n v="14"/>
    <x v="0"/>
    <s v="Yamaha"/>
    <x v="0"/>
    <x v="1"/>
    <n v="70310"/>
    <n v="0"/>
    <n v="115429"/>
    <n v="130016"/>
    <n v="10"/>
    <s v="No"/>
    <x v="1"/>
    <n v="-14587"/>
  </r>
  <r>
    <n v="2286"/>
    <d v="2023-04-06T05:00:00"/>
    <x v="3"/>
    <n v="14"/>
    <x v="0"/>
    <s v="Bajaj"/>
    <x v="0"/>
    <x v="2"/>
    <n v="35553"/>
    <n v="5"/>
    <n v="160701"/>
    <n v="57399"/>
    <n v="9"/>
    <s v="No"/>
    <x v="0"/>
    <n v="103302"/>
  </r>
  <r>
    <n v="2287"/>
    <d v="2023-04-06T06:00:00"/>
    <x v="3"/>
    <n v="14"/>
    <x v="0"/>
    <s v="Yamaha"/>
    <x v="0"/>
    <x v="3"/>
    <n v="52576"/>
    <n v="1"/>
    <n v="30704"/>
    <n v="63330"/>
    <n v="4"/>
    <s v="Yes"/>
    <x v="0"/>
    <n v="-32626"/>
  </r>
  <r>
    <n v="2288"/>
    <d v="2023-04-06T07:00:00"/>
    <x v="3"/>
    <n v="14"/>
    <x v="0"/>
    <s v="Hero"/>
    <x v="0"/>
    <x v="2"/>
    <n v="7545"/>
    <n v="7"/>
    <n v="157848"/>
    <n v="61308"/>
    <n v="11"/>
    <s v="No"/>
    <x v="0"/>
    <n v="96540"/>
  </r>
  <r>
    <n v="2289"/>
    <d v="2023-04-06T08:00:00"/>
    <x v="3"/>
    <n v="14"/>
    <x v="0"/>
    <s v="Bajaj"/>
    <x v="0"/>
    <x v="2"/>
    <n v="58123"/>
    <n v="0"/>
    <n v="73281"/>
    <n v="135983"/>
    <n v="9"/>
    <s v="No"/>
    <x v="0"/>
    <n v="-62702"/>
  </r>
  <r>
    <n v="2290"/>
    <d v="2023-04-06T09:00:00"/>
    <x v="3"/>
    <n v="14"/>
    <x v="0"/>
    <s v="TVS"/>
    <x v="0"/>
    <x v="1"/>
    <n v="30214"/>
    <n v="1"/>
    <n v="141972"/>
    <n v="18846"/>
    <n v="4"/>
    <s v="Yes"/>
    <x v="0"/>
    <n v="123126"/>
  </r>
  <r>
    <n v="2291"/>
    <d v="2023-04-06T10:00:00"/>
    <x v="3"/>
    <n v="14"/>
    <x v="0"/>
    <s v="Bajaj"/>
    <x v="0"/>
    <x v="2"/>
    <n v="34886"/>
    <n v="7"/>
    <n v="138532"/>
    <n v="27359"/>
    <n v="3"/>
    <s v="Yes"/>
    <x v="0"/>
    <n v="111173"/>
  </r>
  <r>
    <n v="2292"/>
    <d v="2023-04-06T11:00:00"/>
    <x v="3"/>
    <n v="14"/>
    <x v="0"/>
    <s v="TVS"/>
    <x v="0"/>
    <x v="3"/>
    <n v="9062"/>
    <n v="5"/>
    <n v="91780"/>
    <n v="64376"/>
    <n v="11"/>
    <s v="No"/>
    <x v="0"/>
    <n v="27404"/>
  </r>
  <r>
    <n v="2293"/>
    <d v="2023-04-06T12:00:00"/>
    <x v="3"/>
    <n v="14"/>
    <x v="0"/>
    <s v="TVS"/>
    <x v="0"/>
    <x v="2"/>
    <n v="55548"/>
    <n v="9"/>
    <n v="157405"/>
    <n v="83056"/>
    <n v="3"/>
    <s v="Yes"/>
    <x v="0"/>
    <n v="74349"/>
  </r>
  <r>
    <n v="2294"/>
    <d v="2023-04-06T13:00:00"/>
    <x v="3"/>
    <n v="14"/>
    <x v="0"/>
    <s v="Bajaj"/>
    <x v="0"/>
    <x v="0"/>
    <n v="93795"/>
    <n v="1"/>
    <n v="80333"/>
    <n v="55832"/>
    <n v="10"/>
    <s v="No"/>
    <x v="0"/>
    <n v="24501"/>
  </r>
  <r>
    <n v="2295"/>
    <d v="2023-04-06T14:00:00"/>
    <x v="3"/>
    <n v="14"/>
    <x v="0"/>
    <s v="TVS"/>
    <x v="0"/>
    <x v="2"/>
    <n v="12526"/>
    <n v="1"/>
    <n v="158005"/>
    <n v="35098"/>
    <n v="2"/>
    <s v="Yes"/>
    <x v="0"/>
    <n v="122907"/>
  </r>
  <r>
    <n v="2296"/>
    <d v="2023-04-06T15:00:00"/>
    <x v="3"/>
    <n v="14"/>
    <x v="0"/>
    <s v="TVS"/>
    <x v="0"/>
    <x v="1"/>
    <n v="32089"/>
    <n v="6"/>
    <n v="114893"/>
    <n v="132095"/>
    <n v="10"/>
    <s v="No"/>
    <x v="0"/>
    <n v="-17202"/>
  </r>
  <r>
    <n v="2297"/>
    <d v="2023-04-06T16:00:00"/>
    <x v="3"/>
    <n v="14"/>
    <x v="0"/>
    <s v="Hero"/>
    <x v="0"/>
    <x v="3"/>
    <n v="97774"/>
    <n v="4"/>
    <n v="87958"/>
    <n v="119987"/>
    <n v="3"/>
    <s v="Yes"/>
    <x v="0"/>
    <n v="-32029"/>
  </r>
  <r>
    <n v="2298"/>
    <d v="2023-04-06T17:00:00"/>
    <x v="3"/>
    <n v="14"/>
    <x v="0"/>
    <s v="Yamaha"/>
    <x v="1"/>
    <x v="1"/>
    <n v="27344"/>
    <n v="4"/>
    <n v="162899"/>
    <n v="64962"/>
    <n v="14"/>
    <s v="No"/>
    <x v="0"/>
    <n v="97937"/>
  </r>
  <r>
    <n v="2299"/>
    <d v="2023-04-06T18:00:00"/>
    <x v="3"/>
    <n v="14"/>
    <x v="0"/>
    <s v="Yamaha"/>
    <x v="0"/>
    <x v="0"/>
    <n v="23947"/>
    <n v="7"/>
    <n v="55844"/>
    <n v="103672"/>
    <n v="8"/>
    <s v="No"/>
    <x v="0"/>
    <n v="-47828"/>
  </r>
  <r>
    <n v="2300"/>
    <d v="2023-04-06T19:00:00"/>
    <x v="3"/>
    <n v="14"/>
    <x v="0"/>
    <s v="Hero"/>
    <x v="0"/>
    <x v="2"/>
    <n v="90915"/>
    <n v="6"/>
    <n v="139501"/>
    <n v="50885"/>
    <n v="11"/>
    <s v="No"/>
    <x v="0"/>
    <n v="88616"/>
  </r>
  <r>
    <n v="2301"/>
    <d v="2023-04-06T20:00:00"/>
    <x v="3"/>
    <n v="14"/>
    <x v="0"/>
    <s v="Bajaj"/>
    <x v="0"/>
    <x v="1"/>
    <n v="78002"/>
    <n v="8"/>
    <n v="116200"/>
    <n v="111256"/>
    <n v="8"/>
    <s v="No"/>
    <x v="0"/>
    <n v="4944"/>
  </r>
  <r>
    <n v="2302"/>
    <d v="2023-04-06T21:00:00"/>
    <x v="3"/>
    <n v="14"/>
    <x v="0"/>
    <s v="Honda"/>
    <x v="1"/>
    <x v="1"/>
    <n v="83768"/>
    <n v="3"/>
    <n v="25792"/>
    <n v="36157"/>
    <n v="2"/>
    <s v="Yes"/>
    <x v="0"/>
    <n v="-10365"/>
  </r>
  <r>
    <n v="2303"/>
    <d v="2023-04-06T22:00:00"/>
    <x v="3"/>
    <n v="14"/>
    <x v="0"/>
    <s v="Honda"/>
    <x v="0"/>
    <x v="1"/>
    <n v="55208"/>
    <n v="9"/>
    <n v="108187"/>
    <n v="63372"/>
    <n v="11"/>
    <s v="No"/>
    <x v="0"/>
    <n v="44815"/>
  </r>
  <r>
    <n v="2304"/>
    <d v="2023-04-06T23:00:00"/>
    <x v="3"/>
    <n v="14"/>
    <x v="0"/>
    <s v="Honda"/>
    <x v="1"/>
    <x v="1"/>
    <n v="64425"/>
    <n v="3"/>
    <n v="67510"/>
    <n v="34674"/>
    <n v="2"/>
    <s v="Yes"/>
    <x v="0"/>
    <n v="32836"/>
  </r>
  <r>
    <n v="2305"/>
    <d v="2023-04-07T00:00:00"/>
    <x v="3"/>
    <n v="14"/>
    <x v="0"/>
    <s v="Hero"/>
    <x v="0"/>
    <x v="0"/>
    <n v="71325"/>
    <n v="1"/>
    <n v="138104"/>
    <n v="47357"/>
    <n v="2"/>
    <s v="Yes"/>
    <x v="0"/>
    <n v="90747"/>
  </r>
  <r>
    <n v="2306"/>
    <d v="2023-04-07T01:00:00"/>
    <x v="3"/>
    <n v="14"/>
    <x v="0"/>
    <s v="Hero"/>
    <x v="0"/>
    <x v="0"/>
    <n v="52074"/>
    <n v="2"/>
    <n v="64632"/>
    <n v="27578"/>
    <n v="10"/>
    <s v="No"/>
    <x v="0"/>
    <n v="37054"/>
  </r>
  <r>
    <n v="2307"/>
    <d v="2023-04-07T02:00:00"/>
    <x v="3"/>
    <n v="14"/>
    <x v="0"/>
    <s v="TVS"/>
    <x v="0"/>
    <x v="2"/>
    <n v="86048"/>
    <n v="0"/>
    <n v="108568"/>
    <n v="17251"/>
    <n v="7"/>
    <s v="Yes"/>
    <x v="0"/>
    <n v="91317"/>
  </r>
  <r>
    <n v="2308"/>
    <d v="2023-04-07T03:00:00"/>
    <x v="3"/>
    <n v="14"/>
    <x v="0"/>
    <s v="Honda"/>
    <x v="0"/>
    <x v="2"/>
    <n v="19312"/>
    <n v="0"/>
    <n v="90214"/>
    <n v="94049"/>
    <n v="6"/>
    <s v="Yes"/>
    <x v="0"/>
    <n v="-3835"/>
  </r>
  <r>
    <n v="2309"/>
    <d v="2023-04-07T04:00:00"/>
    <x v="3"/>
    <n v="14"/>
    <x v="0"/>
    <s v="Bajaj"/>
    <x v="1"/>
    <x v="3"/>
    <n v="55809"/>
    <n v="6"/>
    <n v="69870"/>
    <n v="52429"/>
    <n v="12"/>
    <s v="No"/>
    <x v="0"/>
    <n v="17441"/>
  </r>
  <r>
    <n v="2310"/>
    <d v="2023-04-07T05:00:00"/>
    <x v="3"/>
    <n v="14"/>
    <x v="0"/>
    <s v="Bajaj"/>
    <x v="0"/>
    <x v="0"/>
    <n v="64730"/>
    <n v="4"/>
    <n v="73110"/>
    <n v="107641"/>
    <n v="11"/>
    <s v="No"/>
    <x v="0"/>
    <n v="-34531"/>
  </r>
  <r>
    <n v="2311"/>
    <d v="2023-04-07T06:00:00"/>
    <x v="3"/>
    <n v="14"/>
    <x v="0"/>
    <s v="Honda"/>
    <x v="0"/>
    <x v="1"/>
    <n v="42128"/>
    <n v="2"/>
    <n v="134414"/>
    <n v="61871"/>
    <n v="1"/>
    <s v="Yes"/>
    <x v="0"/>
    <n v="72543"/>
  </r>
  <r>
    <n v="2312"/>
    <d v="2023-04-07T07:00:00"/>
    <x v="3"/>
    <n v="14"/>
    <x v="0"/>
    <s v="Honda"/>
    <x v="0"/>
    <x v="1"/>
    <n v="41081"/>
    <n v="6"/>
    <n v="161243"/>
    <n v="101526"/>
    <n v="2"/>
    <s v="Yes"/>
    <x v="0"/>
    <n v="59717"/>
  </r>
  <r>
    <n v="2313"/>
    <d v="2023-04-07T08:00:00"/>
    <x v="3"/>
    <n v="14"/>
    <x v="0"/>
    <s v="Honda"/>
    <x v="0"/>
    <x v="3"/>
    <n v="47128"/>
    <n v="1"/>
    <n v="165661"/>
    <n v="40499"/>
    <n v="14"/>
    <s v="No"/>
    <x v="1"/>
    <n v="125162"/>
  </r>
  <r>
    <n v="2314"/>
    <d v="2023-04-07T09:00:00"/>
    <x v="3"/>
    <n v="14"/>
    <x v="0"/>
    <s v="Hero"/>
    <x v="0"/>
    <x v="1"/>
    <n v="89128"/>
    <n v="2"/>
    <n v="43077"/>
    <n v="21421"/>
    <n v="1"/>
    <s v="Yes"/>
    <x v="0"/>
    <n v="21656"/>
  </r>
  <r>
    <n v="2315"/>
    <d v="2023-04-07T10:00:00"/>
    <x v="3"/>
    <n v="14"/>
    <x v="0"/>
    <s v="Hero"/>
    <x v="0"/>
    <x v="3"/>
    <n v="25605"/>
    <n v="0"/>
    <n v="89874"/>
    <n v="67204"/>
    <n v="12"/>
    <s v="No"/>
    <x v="0"/>
    <n v="22670"/>
  </r>
  <r>
    <n v="2316"/>
    <d v="2023-04-07T11:00:00"/>
    <x v="3"/>
    <n v="14"/>
    <x v="0"/>
    <s v="Hero"/>
    <x v="1"/>
    <x v="2"/>
    <n v="80330"/>
    <n v="7"/>
    <n v="171009"/>
    <n v="39591"/>
    <n v="11"/>
    <s v="No"/>
    <x v="0"/>
    <n v="131418"/>
  </r>
  <r>
    <n v="2317"/>
    <d v="2023-04-07T12:00:00"/>
    <x v="3"/>
    <n v="14"/>
    <x v="0"/>
    <s v="Yamaha"/>
    <x v="0"/>
    <x v="0"/>
    <n v="69657"/>
    <n v="1"/>
    <n v="34754"/>
    <n v="75940"/>
    <n v="7"/>
    <s v="Yes"/>
    <x v="0"/>
    <n v="-41186"/>
  </r>
  <r>
    <n v="2318"/>
    <d v="2023-04-07T13:00:00"/>
    <x v="3"/>
    <n v="14"/>
    <x v="0"/>
    <s v="Bajaj"/>
    <x v="0"/>
    <x v="3"/>
    <n v="32942"/>
    <n v="6"/>
    <n v="50688"/>
    <n v="107515"/>
    <n v="6"/>
    <s v="Yes"/>
    <x v="1"/>
    <n v="-56827"/>
  </r>
  <r>
    <n v="2319"/>
    <d v="2023-04-07T14:00:00"/>
    <x v="3"/>
    <n v="14"/>
    <x v="0"/>
    <s v="Bajaj"/>
    <x v="0"/>
    <x v="1"/>
    <n v="87735"/>
    <n v="8"/>
    <n v="32048"/>
    <n v="101371"/>
    <n v="2"/>
    <s v="Yes"/>
    <x v="0"/>
    <n v="-69323"/>
  </r>
  <r>
    <n v="2320"/>
    <d v="2023-04-07T15:00:00"/>
    <x v="3"/>
    <n v="14"/>
    <x v="0"/>
    <s v="TVS"/>
    <x v="0"/>
    <x v="3"/>
    <n v="2847"/>
    <n v="5"/>
    <n v="47568"/>
    <n v="118229"/>
    <n v="2"/>
    <s v="Yes"/>
    <x v="0"/>
    <n v="-70661"/>
  </r>
  <r>
    <n v="2321"/>
    <d v="2023-04-07T16:00:00"/>
    <x v="3"/>
    <n v="14"/>
    <x v="0"/>
    <s v="Hero"/>
    <x v="0"/>
    <x v="2"/>
    <n v="95522"/>
    <n v="1"/>
    <n v="122583"/>
    <n v="27202"/>
    <n v="2"/>
    <s v="Yes"/>
    <x v="0"/>
    <n v="95381"/>
  </r>
  <r>
    <n v="2322"/>
    <d v="2023-04-07T17:00:00"/>
    <x v="3"/>
    <n v="14"/>
    <x v="0"/>
    <s v="Yamaha"/>
    <x v="1"/>
    <x v="1"/>
    <n v="48150"/>
    <n v="1"/>
    <n v="173617"/>
    <n v="115950"/>
    <n v="8"/>
    <s v="No"/>
    <x v="0"/>
    <n v="57667"/>
  </r>
  <r>
    <n v="2323"/>
    <d v="2023-04-07T18:00:00"/>
    <x v="3"/>
    <n v="14"/>
    <x v="0"/>
    <s v="Yamaha"/>
    <x v="0"/>
    <x v="2"/>
    <n v="17610"/>
    <n v="8"/>
    <n v="119449"/>
    <n v="138981"/>
    <n v="14"/>
    <s v="No"/>
    <x v="0"/>
    <n v="-19532"/>
  </r>
  <r>
    <n v="2324"/>
    <d v="2023-04-07T19:00:00"/>
    <x v="3"/>
    <n v="14"/>
    <x v="0"/>
    <s v="Bajaj"/>
    <x v="0"/>
    <x v="2"/>
    <n v="62670"/>
    <n v="9"/>
    <n v="70217"/>
    <n v="106202"/>
    <n v="7"/>
    <s v="Yes"/>
    <x v="0"/>
    <n v="-35985"/>
  </r>
  <r>
    <n v="2325"/>
    <d v="2023-04-07T20:00:00"/>
    <x v="3"/>
    <n v="14"/>
    <x v="0"/>
    <s v="Hero"/>
    <x v="0"/>
    <x v="3"/>
    <n v="5423"/>
    <n v="7"/>
    <n v="164781"/>
    <n v="34290"/>
    <n v="1"/>
    <s v="Yes"/>
    <x v="0"/>
    <n v="130491"/>
  </r>
  <r>
    <n v="2326"/>
    <d v="2023-04-07T21:00:00"/>
    <x v="3"/>
    <n v="14"/>
    <x v="0"/>
    <s v="TVS"/>
    <x v="1"/>
    <x v="2"/>
    <n v="52301"/>
    <n v="8"/>
    <n v="152873"/>
    <n v="33130"/>
    <n v="4"/>
    <s v="Yes"/>
    <x v="0"/>
    <n v="119743"/>
  </r>
  <r>
    <n v="2327"/>
    <d v="2023-04-07T22:00:00"/>
    <x v="3"/>
    <n v="14"/>
    <x v="0"/>
    <s v="Hero"/>
    <x v="0"/>
    <x v="1"/>
    <n v="63271"/>
    <n v="3"/>
    <n v="50358"/>
    <n v="52077"/>
    <n v="11"/>
    <s v="No"/>
    <x v="0"/>
    <n v="-1719"/>
  </r>
  <r>
    <n v="2328"/>
    <d v="2023-04-07T23:00:00"/>
    <x v="3"/>
    <n v="14"/>
    <x v="0"/>
    <s v="Honda"/>
    <x v="0"/>
    <x v="2"/>
    <n v="81647"/>
    <n v="3"/>
    <n v="139064"/>
    <n v="139600"/>
    <n v="4"/>
    <s v="Yes"/>
    <x v="0"/>
    <n v="-536"/>
  </r>
  <r>
    <n v="2329"/>
    <d v="2023-04-08T00:00:00"/>
    <x v="3"/>
    <n v="14"/>
    <x v="0"/>
    <s v="Hero"/>
    <x v="0"/>
    <x v="2"/>
    <n v="48635"/>
    <n v="1"/>
    <n v="36023"/>
    <n v="130136"/>
    <n v="7"/>
    <s v="Yes"/>
    <x v="0"/>
    <n v="-94113"/>
  </r>
  <r>
    <n v="2330"/>
    <d v="2023-04-08T01:00:00"/>
    <x v="3"/>
    <n v="14"/>
    <x v="0"/>
    <s v="Honda"/>
    <x v="0"/>
    <x v="3"/>
    <n v="19699"/>
    <n v="9"/>
    <n v="120387"/>
    <n v="34396"/>
    <n v="2"/>
    <s v="Yes"/>
    <x v="0"/>
    <n v="85991"/>
  </r>
  <r>
    <n v="2331"/>
    <d v="2023-04-08T02:00:00"/>
    <x v="3"/>
    <n v="14"/>
    <x v="0"/>
    <s v="Honda"/>
    <x v="0"/>
    <x v="2"/>
    <n v="9566"/>
    <n v="0"/>
    <n v="111728"/>
    <n v="75848"/>
    <n v="4"/>
    <s v="Yes"/>
    <x v="0"/>
    <n v="35880"/>
  </r>
  <r>
    <n v="2332"/>
    <d v="2023-04-08T03:00:00"/>
    <x v="3"/>
    <n v="14"/>
    <x v="0"/>
    <s v="TVS"/>
    <x v="0"/>
    <x v="0"/>
    <n v="52636"/>
    <n v="9"/>
    <n v="174911"/>
    <n v="98488"/>
    <n v="1"/>
    <s v="Yes"/>
    <x v="0"/>
    <n v="76423"/>
  </r>
  <r>
    <n v="2333"/>
    <d v="2023-04-08T04:00:00"/>
    <x v="3"/>
    <n v="14"/>
    <x v="0"/>
    <s v="Bajaj"/>
    <x v="0"/>
    <x v="3"/>
    <n v="92790"/>
    <n v="3"/>
    <n v="52410"/>
    <n v="75530"/>
    <n v="13"/>
    <s v="No"/>
    <x v="0"/>
    <n v="-23120"/>
  </r>
  <r>
    <n v="2334"/>
    <d v="2023-04-08T05:00:00"/>
    <x v="3"/>
    <n v="14"/>
    <x v="0"/>
    <s v="Hero"/>
    <x v="0"/>
    <x v="3"/>
    <n v="37075"/>
    <n v="9"/>
    <n v="130696"/>
    <n v="79274"/>
    <n v="13"/>
    <s v="No"/>
    <x v="0"/>
    <n v="51422"/>
  </r>
  <r>
    <n v="2335"/>
    <d v="2023-04-08T06:00:00"/>
    <x v="3"/>
    <n v="14"/>
    <x v="0"/>
    <s v="Honda"/>
    <x v="0"/>
    <x v="1"/>
    <n v="90296"/>
    <n v="9"/>
    <n v="36447"/>
    <n v="133179"/>
    <n v="11"/>
    <s v="No"/>
    <x v="0"/>
    <n v="-96732"/>
  </r>
  <r>
    <n v="2336"/>
    <d v="2023-04-08T07:00:00"/>
    <x v="3"/>
    <n v="14"/>
    <x v="0"/>
    <s v="Hero"/>
    <x v="0"/>
    <x v="1"/>
    <n v="47233"/>
    <n v="7"/>
    <n v="142954"/>
    <n v="42122"/>
    <n v="11"/>
    <s v="No"/>
    <x v="0"/>
    <n v="100832"/>
  </r>
  <r>
    <n v="2337"/>
    <d v="2023-04-08T08:00:00"/>
    <x v="3"/>
    <n v="14"/>
    <x v="0"/>
    <s v="Bajaj"/>
    <x v="0"/>
    <x v="1"/>
    <n v="17491"/>
    <n v="1"/>
    <n v="111569"/>
    <n v="44381"/>
    <n v="4"/>
    <s v="Yes"/>
    <x v="0"/>
    <n v="67188"/>
  </r>
  <r>
    <n v="2338"/>
    <d v="2023-04-08T09:00:00"/>
    <x v="3"/>
    <n v="14"/>
    <x v="0"/>
    <s v="Bajaj"/>
    <x v="0"/>
    <x v="1"/>
    <n v="23053"/>
    <n v="7"/>
    <n v="120894"/>
    <n v="60435"/>
    <n v="11"/>
    <s v="No"/>
    <x v="0"/>
    <n v="60459"/>
  </r>
  <r>
    <n v="2339"/>
    <d v="2023-04-08T10:00:00"/>
    <x v="3"/>
    <n v="14"/>
    <x v="0"/>
    <s v="Yamaha"/>
    <x v="0"/>
    <x v="0"/>
    <n v="90210"/>
    <n v="0"/>
    <n v="38907"/>
    <n v="120614"/>
    <n v="14"/>
    <s v="No"/>
    <x v="0"/>
    <n v="-81707"/>
  </r>
  <r>
    <n v="2340"/>
    <d v="2023-04-08T11:00:00"/>
    <x v="3"/>
    <n v="14"/>
    <x v="0"/>
    <s v="Bajaj"/>
    <x v="0"/>
    <x v="3"/>
    <n v="87993"/>
    <n v="0"/>
    <n v="46637"/>
    <n v="38267"/>
    <n v="1"/>
    <s v="Yes"/>
    <x v="0"/>
    <n v="8370"/>
  </r>
  <r>
    <n v="2341"/>
    <d v="2023-04-08T12:00:00"/>
    <x v="3"/>
    <n v="14"/>
    <x v="0"/>
    <s v="TVS"/>
    <x v="0"/>
    <x v="2"/>
    <n v="1134"/>
    <n v="3"/>
    <n v="178441"/>
    <n v="128271"/>
    <n v="2"/>
    <s v="Yes"/>
    <x v="0"/>
    <n v="50170"/>
  </r>
  <r>
    <n v="2342"/>
    <d v="2023-04-08T13:00:00"/>
    <x v="3"/>
    <n v="14"/>
    <x v="0"/>
    <s v="Honda"/>
    <x v="0"/>
    <x v="1"/>
    <n v="95917"/>
    <n v="6"/>
    <n v="158661"/>
    <n v="135672"/>
    <n v="2"/>
    <s v="Yes"/>
    <x v="0"/>
    <n v="22989"/>
  </r>
  <r>
    <n v="2343"/>
    <d v="2023-04-08T14:00:00"/>
    <x v="3"/>
    <n v="14"/>
    <x v="0"/>
    <s v="Yamaha"/>
    <x v="0"/>
    <x v="1"/>
    <n v="13271"/>
    <n v="8"/>
    <n v="48560"/>
    <n v="122543"/>
    <n v="12"/>
    <s v="No"/>
    <x v="0"/>
    <n v="-73983"/>
  </r>
  <r>
    <n v="2344"/>
    <d v="2023-04-08T15:00:00"/>
    <x v="3"/>
    <n v="14"/>
    <x v="0"/>
    <s v="TVS"/>
    <x v="1"/>
    <x v="1"/>
    <n v="18798"/>
    <n v="4"/>
    <n v="28034"/>
    <n v="76978"/>
    <n v="10"/>
    <s v="No"/>
    <x v="1"/>
    <n v="-48944"/>
  </r>
  <r>
    <n v="2345"/>
    <d v="2023-04-08T16:00:00"/>
    <x v="3"/>
    <n v="14"/>
    <x v="0"/>
    <s v="Hero"/>
    <x v="0"/>
    <x v="2"/>
    <n v="80376"/>
    <n v="1"/>
    <n v="156241"/>
    <n v="22088"/>
    <n v="12"/>
    <s v="No"/>
    <x v="1"/>
    <n v="134153"/>
  </r>
  <r>
    <n v="2346"/>
    <d v="2023-04-08T17:00:00"/>
    <x v="3"/>
    <n v="14"/>
    <x v="0"/>
    <s v="Honda"/>
    <x v="1"/>
    <x v="1"/>
    <n v="99392"/>
    <n v="6"/>
    <n v="117449"/>
    <n v="112354"/>
    <n v="3"/>
    <s v="Yes"/>
    <x v="1"/>
    <n v="5095"/>
  </r>
  <r>
    <n v="2347"/>
    <d v="2023-04-08T18:00:00"/>
    <x v="3"/>
    <n v="14"/>
    <x v="0"/>
    <s v="Bajaj"/>
    <x v="0"/>
    <x v="2"/>
    <n v="36499"/>
    <n v="1"/>
    <n v="28239"/>
    <n v="27822"/>
    <n v="8"/>
    <s v="No"/>
    <x v="0"/>
    <n v="417"/>
  </r>
  <r>
    <n v="2348"/>
    <d v="2023-04-08T19:00:00"/>
    <x v="3"/>
    <n v="14"/>
    <x v="0"/>
    <s v="Honda"/>
    <x v="0"/>
    <x v="3"/>
    <n v="72387"/>
    <n v="8"/>
    <n v="28415"/>
    <n v="134456"/>
    <n v="11"/>
    <s v="No"/>
    <x v="0"/>
    <n v="-106041"/>
  </r>
  <r>
    <n v="2349"/>
    <d v="2023-04-08T20:00:00"/>
    <x v="3"/>
    <n v="14"/>
    <x v="0"/>
    <s v="Hero"/>
    <x v="0"/>
    <x v="3"/>
    <n v="60148"/>
    <n v="8"/>
    <n v="101944"/>
    <n v="65216"/>
    <n v="6"/>
    <s v="Yes"/>
    <x v="0"/>
    <n v="36728"/>
  </r>
  <r>
    <n v="2350"/>
    <d v="2023-04-08T21:00:00"/>
    <x v="3"/>
    <n v="14"/>
    <x v="0"/>
    <s v="Yamaha"/>
    <x v="0"/>
    <x v="3"/>
    <n v="63168"/>
    <n v="2"/>
    <n v="159556"/>
    <n v="51589"/>
    <n v="6"/>
    <s v="Yes"/>
    <x v="0"/>
    <n v="107967"/>
  </r>
  <r>
    <n v="2351"/>
    <d v="2023-04-08T22:00:00"/>
    <x v="3"/>
    <n v="14"/>
    <x v="0"/>
    <s v="Yamaha"/>
    <x v="0"/>
    <x v="0"/>
    <n v="69874"/>
    <n v="7"/>
    <n v="78987"/>
    <n v="80262"/>
    <n v="9"/>
    <s v="No"/>
    <x v="0"/>
    <n v="-1275"/>
  </r>
  <r>
    <n v="2352"/>
    <d v="2023-04-08T23:00:00"/>
    <x v="3"/>
    <n v="14"/>
    <x v="0"/>
    <s v="Yamaha"/>
    <x v="0"/>
    <x v="2"/>
    <n v="68009"/>
    <n v="3"/>
    <n v="43225"/>
    <n v="72911"/>
    <n v="8"/>
    <s v="No"/>
    <x v="0"/>
    <n v="-29686"/>
  </r>
  <r>
    <n v="2353"/>
    <d v="2023-04-09T00:00:00"/>
    <x v="3"/>
    <n v="15"/>
    <x v="0"/>
    <s v="Bajaj"/>
    <x v="1"/>
    <x v="1"/>
    <n v="76283"/>
    <n v="2"/>
    <n v="105459"/>
    <n v="16436"/>
    <n v="2"/>
    <s v="Yes"/>
    <x v="0"/>
    <n v="89023"/>
  </r>
  <r>
    <n v="2354"/>
    <d v="2023-04-09T01:00:00"/>
    <x v="3"/>
    <n v="15"/>
    <x v="0"/>
    <s v="TVS"/>
    <x v="0"/>
    <x v="1"/>
    <n v="44940"/>
    <n v="0"/>
    <n v="45936"/>
    <n v="76854"/>
    <n v="6"/>
    <s v="Yes"/>
    <x v="0"/>
    <n v="-30918"/>
  </r>
  <r>
    <n v="2355"/>
    <d v="2023-04-09T02:00:00"/>
    <x v="3"/>
    <n v="15"/>
    <x v="0"/>
    <s v="TVS"/>
    <x v="0"/>
    <x v="1"/>
    <n v="32155"/>
    <n v="4"/>
    <n v="64612"/>
    <n v="76888"/>
    <n v="1"/>
    <s v="Yes"/>
    <x v="0"/>
    <n v="-12276"/>
  </r>
  <r>
    <n v="2356"/>
    <d v="2023-04-09T03:00:00"/>
    <x v="3"/>
    <n v="15"/>
    <x v="0"/>
    <s v="Honda"/>
    <x v="0"/>
    <x v="1"/>
    <n v="43539"/>
    <n v="3"/>
    <n v="120533"/>
    <n v="126201"/>
    <n v="13"/>
    <s v="No"/>
    <x v="0"/>
    <n v="-5668"/>
  </r>
  <r>
    <n v="2357"/>
    <d v="2023-04-09T04:00:00"/>
    <x v="3"/>
    <n v="15"/>
    <x v="0"/>
    <s v="Bajaj"/>
    <x v="0"/>
    <x v="0"/>
    <n v="55755"/>
    <n v="0"/>
    <n v="145877"/>
    <n v="42281"/>
    <n v="14"/>
    <s v="No"/>
    <x v="0"/>
    <n v="103596"/>
  </r>
  <r>
    <n v="2358"/>
    <d v="2023-04-09T05:00:00"/>
    <x v="3"/>
    <n v="15"/>
    <x v="0"/>
    <s v="Yamaha"/>
    <x v="0"/>
    <x v="1"/>
    <n v="72719"/>
    <n v="9"/>
    <n v="127269"/>
    <n v="103017"/>
    <n v="9"/>
    <s v="No"/>
    <x v="1"/>
    <n v="24252"/>
  </r>
  <r>
    <n v="2359"/>
    <d v="2023-04-09T06:00:00"/>
    <x v="3"/>
    <n v="15"/>
    <x v="0"/>
    <s v="Yamaha"/>
    <x v="0"/>
    <x v="0"/>
    <n v="55489"/>
    <n v="7"/>
    <n v="64952"/>
    <n v="111005"/>
    <n v="4"/>
    <s v="Yes"/>
    <x v="1"/>
    <n v="-46053"/>
  </r>
  <r>
    <n v="2360"/>
    <d v="2023-04-09T07:00:00"/>
    <x v="3"/>
    <n v="15"/>
    <x v="0"/>
    <s v="Hero"/>
    <x v="1"/>
    <x v="2"/>
    <n v="11744"/>
    <n v="7"/>
    <n v="83945"/>
    <n v="99403"/>
    <n v="4"/>
    <s v="Yes"/>
    <x v="0"/>
    <n v="-15458"/>
  </r>
  <r>
    <n v="2361"/>
    <d v="2023-04-09T08:00:00"/>
    <x v="3"/>
    <n v="15"/>
    <x v="0"/>
    <s v="Hero"/>
    <x v="0"/>
    <x v="3"/>
    <n v="95094"/>
    <n v="7"/>
    <n v="30380"/>
    <n v="121023"/>
    <n v="9"/>
    <s v="No"/>
    <x v="0"/>
    <n v="-90643"/>
  </r>
  <r>
    <n v="2362"/>
    <d v="2023-04-09T09:00:00"/>
    <x v="3"/>
    <n v="15"/>
    <x v="0"/>
    <s v="Yamaha"/>
    <x v="0"/>
    <x v="1"/>
    <n v="59095"/>
    <n v="2"/>
    <n v="105821"/>
    <n v="68952"/>
    <n v="3"/>
    <s v="Yes"/>
    <x v="0"/>
    <n v="36869"/>
  </r>
  <r>
    <n v="2363"/>
    <d v="2023-04-09T10:00:00"/>
    <x v="3"/>
    <n v="15"/>
    <x v="0"/>
    <s v="Yamaha"/>
    <x v="0"/>
    <x v="3"/>
    <n v="40051"/>
    <n v="5"/>
    <n v="172215"/>
    <n v="37766"/>
    <n v="5"/>
    <s v="Yes"/>
    <x v="0"/>
    <n v="134449"/>
  </r>
  <r>
    <n v="2364"/>
    <d v="2023-04-09T11:00:00"/>
    <x v="3"/>
    <n v="15"/>
    <x v="0"/>
    <s v="Bajaj"/>
    <x v="0"/>
    <x v="2"/>
    <n v="63730"/>
    <n v="6"/>
    <n v="74744"/>
    <n v="110273"/>
    <n v="1"/>
    <s v="Yes"/>
    <x v="0"/>
    <n v="-35529"/>
  </r>
  <r>
    <n v="2365"/>
    <d v="2023-04-09T12:00:00"/>
    <x v="3"/>
    <n v="15"/>
    <x v="0"/>
    <s v="TVS"/>
    <x v="0"/>
    <x v="2"/>
    <n v="28871"/>
    <n v="8"/>
    <n v="105262"/>
    <n v="36213"/>
    <n v="6"/>
    <s v="Yes"/>
    <x v="0"/>
    <n v="69049"/>
  </r>
  <r>
    <n v="2366"/>
    <d v="2023-04-09T13:00:00"/>
    <x v="3"/>
    <n v="15"/>
    <x v="0"/>
    <s v="Hero"/>
    <x v="0"/>
    <x v="1"/>
    <n v="69858"/>
    <n v="4"/>
    <n v="82331"/>
    <n v="108891"/>
    <n v="3"/>
    <s v="Yes"/>
    <x v="0"/>
    <n v="-26560"/>
  </r>
  <r>
    <n v="2367"/>
    <d v="2023-04-09T14:00:00"/>
    <x v="3"/>
    <n v="15"/>
    <x v="0"/>
    <s v="TVS"/>
    <x v="0"/>
    <x v="2"/>
    <n v="29378"/>
    <n v="8"/>
    <n v="117551"/>
    <n v="77239"/>
    <n v="1"/>
    <s v="Yes"/>
    <x v="0"/>
    <n v="40312"/>
  </r>
  <r>
    <n v="2368"/>
    <d v="2023-04-09T15:00:00"/>
    <x v="3"/>
    <n v="15"/>
    <x v="0"/>
    <s v="Bajaj"/>
    <x v="0"/>
    <x v="3"/>
    <n v="36657"/>
    <n v="5"/>
    <n v="88815"/>
    <n v="37537"/>
    <n v="10"/>
    <s v="No"/>
    <x v="1"/>
    <n v="51278"/>
  </r>
  <r>
    <n v="2369"/>
    <d v="2023-04-09T16:00:00"/>
    <x v="3"/>
    <n v="15"/>
    <x v="0"/>
    <s v="Yamaha"/>
    <x v="0"/>
    <x v="1"/>
    <n v="6414"/>
    <n v="9"/>
    <n v="96519"/>
    <n v="17794"/>
    <n v="6"/>
    <s v="Yes"/>
    <x v="0"/>
    <n v="78725"/>
  </r>
  <r>
    <n v="2370"/>
    <d v="2023-04-09T17:00:00"/>
    <x v="3"/>
    <n v="15"/>
    <x v="0"/>
    <s v="TVS"/>
    <x v="1"/>
    <x v="0"/>
    <n v="84200"/>
    <n v="9"/>
    <n v="175250"/>
    <n v="74204"/>
    <n v="14"/>
    <s v="No"/>
    <x v="0"/>
    <n v="101046"/>
  </r>
  <r>
    <n v="2371"/>
    <d v="2023-04-09T18:00:00"/>
    <x v="3"/>
    <n v="15"/>
    <x v="0"/>
    <s v="Yamaha"/>
    <x v="0"/>
    <x v="1"/>
    <n v="27680"/>
    <n v="9"/>
    <n v="117526"/>
    <n v="124832"/>
    <n v="12"/>
    <s v="No"/>
    <x v="0"/>
    <n v="-7306"/>
  </r>
  <r>
    <n v="2372"/>
    <d v="2023-04-09T19:00:00"/>
    <x v="3"/>
    <n v="15"/>
    <x v="0"/>
    <s v="Yamaha"/>
    <x v="0"/>
    <x v="3"/>
    <n v="4188"/>
    <n v="3"/>
    <n v="134365"/>
    <n v="47324"/>
    <n v="10"/>
    <s v="No"/>
    <x v="0"/>
    <n v="87041"/>
  </r>
  <r>
    <n v="2373"/>
    <d v="2023-04-09T20:00:00"/>
    <x v="3"/>
    <n v="15"/>
    <x v="0"/>
    <s v="Honda"/>
    <x v="0"/>
    <x v="1"/>
    <n v="80719"/>
    <n v="0"/>
    <n v="61366"/>
    <n v="71764"/>
    <n v="2"/>
    <s v="Yes"/>
    <x v="0"/>
    <n v="-10398"/>
  </r>
  <r>
    <n v="2374"/>
    <d v="2023-04-09T21:00:00"/>
    <x v="3"/>
    <n v="15"/>
    <x v="0"/>
    <s v="TVS"/>
    <x v="0"/>
    <x v="1"/>
    <n v="79116"/>
    <n v="0"/>
    <n v="124830"/>
    <n v="45858"/>
    <n v="8"/>
    <s v="No"/>
    <x v="0"/>
    <n v="78972"/>
  </r>
  <r>
    <n v="2375"/>
    <d v="2023-04-09T22:00:00"/>
    <x v="3"/>
    <n v="15"/>
    <x v="0"/>
    <s v="TVS"/>
    <x v="0"/>
    <x v="3"/>
    <n v="96989"/>
    <n v="9"/>
    <n v="66911"/>
    <n v="57850"/>
    <n v="14"/>
    <s v="No"/>
    <x v="0"/>
    <n v="9061"/>
  </r>
  <r>
    <n v="2376"/>
    <d v="2023-04-09T23:00:00"/>
    <x v="3"/>
    <n v="15"/>
    <x v="0"/>
    <s v="Yamaha"/>
    <x v="0"/>
    <x v="1"/>
    <n v="10416"/>
    <n v="4"/>
    <n v="108422"/>
    <n v="28018"/>
    <n v="13"/>
    <s v="No"/>
    <x v="0"/>
    <n v="80404"/>
  </r>
  <r>
    <n v="2377"/>
    <d v="2023-04-10T00:00:00"/>
    <x v="3"/>
    <n v="15"/>
    <x v="0"/>
    <s v="Bajaj"/>
    <x v="0"/>
    <x v="1"/>
    <n v="56863"/>
    <n v="2"/>
    <n v="78619"/>
    <n v="98017"/>
    <n v="11"/>
    <s v="No"/>
    <x v="0"/>
    <n v="-19398"/>
  </r>
  <r>
    <n v="2378"/>
    <d v="2023-04-10T01:00:00"/>
    <x v="3"/>
    <n v="15"/>
    <x v="0"/>
    <s v="Honda"/>
    <x v="0"/>
    <x v="3"/>
    <n v="95713"/>
    <n v="4"/>
    <n v="47791"/>
    <n v="65790"/>
    <n v="12"/>
    <s v="No"/>
    <x v="0"/>
    <n v="-17999"/>
  </r>
  <r>
    <n v="2379"/>
    <d v="2023-04-10T02:00:00"/>
    <x v="3"/>
    <n v="15"/>
    <x v="0"/>
    <s v="Yamaha"/>
    <x v="0"/>
    <x v="2"/>
    <n v="27860"/>
    <n v="4"/>
    <n v="33301"/>
    <n v="96120"/>
    <n v="2"/>
    <s v="Yes"/>
    <x v="0"/>
    <n v="-62819"/>
  </r>
  <r>
    <n v="2380"/>
    <d v="2023-04-10T03:00:00"/>
    <x v="3"/>
    <n v="15"/>
    <x v="0"/>
    <s v="Hero"/>
    <x v="0"/>
    <x v="3"/>
    <n v="38305"/>
    <n v="0"/>
    <n v="151866"/>
    <n v="24850"/>
    <n v="4"/>
    <s v="Yes"/>
    <x v="0"/>
    <n v="127016"/>
  </r>
  <r>
    <n v="2381"/>
    <d v="2023-04-10T04:00:00"/>
    <x v="3"/>
    <n v="15"/>
    <x v="0"/>
    <s v="Hero"/>
    <x v="1"/>
    <x v="1"/>
    <n v="13953"/>
    <n v="7"/>
    <n v="128623"/>
    <n v="106237"/>
    <n v="14"/>
    <s v="No"/>
    <x v="0"/>
    <n v="22386"/>
  </r>
  <r>
    <n v="2382"/>
    <d v="2023-04-10T05:00:00"/>
    <x v="3"/>
    <n v="15"/>
    <x v="0"/>
    <s v="Honda"/>
    <x v="1"/>
    <x v="0"/>
    <n v="23203"/>
    <n v="4"/>
    <n v="137824"/>
    <n v="121759"/>
    <n v="3"/>
    <s v="Yes"/>
    <x v="0"/>
    <n v="16065"/>
  </r>
  <r>
    <n v="2383"/>
    <d v="2023-04-10T06:00:00"/>
    <x v="3"/>
    <n v="15"/>
    <x v="0"/>
    <s v="Bajaj"/>
    <x v="0"/>
    <x v="0"/>
    <n v="59521"/>
    <n v="4"/>
    <n v="61894"/>
    <n v="124488"/>
    <n v="9"/>
    <s v="No"/>
    <x v="0"/>
    <n v="-62594"/>
  </r>
  <r>
    <n v="2384"/>
    <d v="2023-04-10T07:00:00"/>
    <x v="3"/>
    <n v="15"/>
    <x v="0"/>
    <s v="Yamaha"/>
    <x v="0"/>
    <x v="3"/>
    <n v="74676"/>
    <n v="8"/>
    <n v="104618"/>
    <n v="60975"/>
    <n v="2"/>
    <s v="Yes"/>
    <x v="1"/>
    <n v="43643"/>
  </r>
  <r>
    <n v="2385"/>
    <d v="2023-04-10T08:00:00"/>
    <x v="3"/>
    <n v="15"/>
    <x v="0"/>
    <s v="TVS"/>
    <x v="0"/>
    <x v="0"/>
    <n v="95299"/>
    <n v="7"/>
    <n v="95994"/>
    <n v="80510"/>
    <n v="3"/>
    <s v="Yes"/>
    <x v="0"/>
    <n v="15484"/>
  </r>
  <r>
    <n v="2386"/>
    <d v="2023-04-10T09:00:00"/>
    <x v="3"/>
    <n v="15"/>
    <x v="0"/>
    <s v="Honda"/>
    <x v="1"/>
    <x v="1"/>
    <n v="98885"/>
    <n v="0"/>
    <n v="66770"/>
    <n v="80696"/>
    <n v="7"/>
    <s v="Yes"/>
    <x v="0"/>
    <n v="-13926"/>
  </r>
  <r>
    <n v="2387"/>
    <d v="2023-04-10T10:00:00"/>
    <x v="3"/>
    <n v="15"/>
    <x v="0"/>
    <s v="Bajaj"/>
    <x v="0"/>
    <x v="1"/>
    <n v="82114"/>
    <n v="2"/>
    <n v="47300"/>
    <n v="40832"/>
    <n v="4"/>
    <s v="Yes"/>
    <x v="0"/>
    <n v="6468"/>
  </r>
  <r>
    <n v="2388"/>
    <d v="2023-04-10T11:00:00"/>
    <x v="3"/>
    <n v="15"/>
    <x v="0"/>
    <s v="TVS"/>
    <x v="1"/>
    <x v="3"/>
    <n v="89419"/>
    <n v="6"/>
    <n v="143025"/>
    <n v="111746"/>
    <n v="6"/>
    <s v="Yes"/>
    <x v="0"/>
    <n v="31279"/>
  </r>
  <r>
    <n v="2389"/>
    <d v="2023-04-10T12:00:00"/>
    <x v="3"/>
    <n v="15"/>
    <x v="0"/>
    <s v="Hero"/>
    <x v="0"/>
    <x v="1"/>
    <n v="81572"/>
    <n v="0"/>
    <n v="145605"/>
    <n v="102826"/>
    <n v="3"/>
    <s v="Yes"/>
    <x v="0"/>
    <n v="42779"/>
  </r>
  <r>
    <n v="2390"/>
    <d v="2023-04-10T13:00:00"/>
    <x v="3"/>
    <n v="15"/>
    <x v="0"/>
    <s v="Hero"/>
    <x v="0"/>
    <x v="2"/>
    <n v="7910"/>
    <n v="0"/>
    <n v="65285"/>
    <n v="109977"/>
    <n v="1"/>
    <s v="Yes"/>
    <x v="0"/>
    <n v="-44692"/>
  </r>
  <r>
    <n v="2391"/>
    <d v="2023-04-10T14:00:00"/>
    <x v="3"/>
    <n v="15"/>
    <x v="0"/>
    <s v="TVS"/>
    <x v="0"/>
    <x v="1"/>
    <n v="81962"/>
    <n v="4"/>
    <n v="142713"/>
    <n v="39886"/>
    <n v="11"/>
    <s v="No"/>
    <x v="0"/>
    <n v="102827"/>
  </r>
  <r>
    <n v="2392"/>
    <d v="2023-04-10T15:00:00"/>
    <x v="3"/>
    <n v="15"/>
    <x v="0"/>
    <s v="Honda"/>
    <x v="1"/>
    <x v="3"/>
    <n v="48768"/>
    <n v="8"/>
    <n v="73671"/>
    <n v="112930"/>
    <n v="6"/>
    <s v="Yes"/>
    <x v="0"/>
    <n v="-39259"/>
  </r>
  <r>
    <n v="2393"/>
    <d v="2023-04-10T16:00:00"/>
    <x v="3"/>
    <n v="15"/>
    <x v="0"/>
    <s v="Hero"/>
    <x v="1"/>
    <x v="2"/>
    <n v="34748"/>
    <n v="5"/>
    <n v="143216"/>
    <n v="23418"/>
    <n v="4"/>
    <s v="Yes"/>
    <x v="0"/>
    <n v="119798"/>
  </r>
  <r>
    <n v="2394"/>
    <d v="2023-04-10T17:00:00"/>
    <x v="3"/>
    <n v="15"/>
    <x v="0"/>
    <s v="Yamaha"/>
    <x v="0"/>
    <x v="2"/>
    <n v="31659"/>
    <n v="9"/>
    <n v="45270"/>
    <n v="138152"/>
    <n v="2"/>
    <s v="Yes"/>
    <x v="0"/>
    <n v="-92882"/>
  </r>
  <r>
    <n v="2395"/>
    <d v="2023-04-10T18:00:00"/>
    <x v="3"/>
    <n v="15"/>
    <x v="0"/>
    <s v="TVS"/>
    <x v="0"/>
    <x v="0"/>
    <n v="42539"/>
    <n v="1"/>
    <n v="144870"/>
    <n v="22081"/>
    <n v="7"/>
    <s v="Yes"/>
    <x v="0"/>
    <n v="122789"/>
  </r>
  <r>
    <n v="2396"/>
    <d v="2023-04-10T19:00:00"/>
    <x v="3"/>
    <n v="15"/>
    <x v="0"/>
    <s v="TVS"/>
    <x v="0"/>
    <x v="1"/>
    <n v="48300"/>
    <n v="8"/>
    <n v="152897"/>
    <n v="117716"/>
    <n v="10"/>
    <s v="No"/>
    <x v="0"/>
    <n v="35181"/>
  </r>
  <r>
    <n v="2397"/>
    <d v="2023-04-10T20:00:00"/>
    <x v="3"/>
    <n v="15"/>
    <x v="0"/>
    <s v="Hero"/>
    <x v="0"/>
    <x v="3"/>
    <n v="41261"/>
    <n v="5"/>
    <n v="169770"/>
    <n v="25114"/>
    <n v="13"/>
    <s v="No"/>
    <x v="0"/>
    <n v="144656"/>
  </r>
  <r>
    <n v="2398"/>
    <d v="2023-04-10T21:00:00"/>
    <x v="3"/>
    <n v="15"/>
    <x v="0"/>
    <s v="Honda"/>
    <x v="0"/>
    <x v="0"/>
    <n v="95126"/>
    <n v="4"/>
    <n v="97265"/>
    <n v="132845"/>
    <n v="12"/>
    <s v="No"/>
    <x v="1"/>
    <n v="-35580"/>
  </r>
  <r>
    <n v="2399"/>
    <d v="2023-04-10T22:00:00"/>
    <x v="3"/>
    <n v="15"/>
    <x v="0"/>
    <s v="Yamaha"/>
    <x v="0"/>
    <x v="0"/>
    <n v="86603"/>
    <n v="4"/>
    <n v="36171"/>
    <n v="33722"/>
    <n v="13"/>
    <s v="No"/>
    <x v="0"/>
    <n v="2449"/>
  </r>
  <r>
    <n v="2400"/>
    <d v="2023-04-10T23:00:00"/>
    <x v="3"/>
    <n v="15"/>
    <x v="0"/>
    <s v="Honda"/>
    <x v="0"/>
    <x v="1"/>
    <n v="44163"/>
    <n v="2"/>
    <n v="85684"/>
    <n v="102508"/>
    <n v="5"/>
    <s v="Yes"/>
    <x v="0"/>
    <n v="-16824"/>
  </r>
  <r>
    <n v="2401"/>
    <d v="2023-04-11T00:00:00"/>
    <x v="3"/>
    <n v="15"/>
    <x v="0"/>
    <s v="Bajaj"/>
    <x v="0"/>
    <x v="1"/>
    <n v="81403"/>
    <n v="5"/>
    <n v="74948"/>
    <n v="32985"/>
    <n v="6"/>
    <s v="Yes"/>
    <x v="0"/>
    <n v="41963"/>
  </r>
  <r>
    <n v="2402"/>
    <d v="2023-04-11T01:00:00"/>
    <x v="3"/>
    <n v="15"/>
    <x v="0"/>
    <s v="Bajaj"/>
    <x v="0"/>
    <x v="3"/>
    <n v="40912"/>
    <n v="3"/>
    <n v="59725"/>
    <n v="20888"/>
    <n v="6"/>
    <s v="Yes"/>
    <x v="0"/>
    <n v="38837"/>
  </r>
  <r>
    <n v="2403"/>
    <d v="2023-04-11T02:00:00"/>
    <x v="3"/>
    <n v="15"/>
    <x v="0"/>
    <s v="Hero"/>
    <x v="0"/>
    <x v="0"/>
    <n v="35867"/>
    <n v="9"/>
    <n v="44450"/>
    <n v="84254"/>
    <n v="14"/>
    <s v="No"/>
    <x v="0"/>
    <n v="-39804"/>
  </r>
  <r>
    <n v="2404"/>
    <d v="2023-04-11T03:00:00"/>
    <x v="3"/>
    <n v="15"/>
    <x v="0"/>
    <s v="Hero"/>
    <x v="0"/>
    <x v="3"/>
    <n v="6313"/>
    <n v="1"/>
    <n v="169372"/>
    <n v="112683"/>
    <n v="9"/>
    <s v="No"/>
    <x v="0"/>
    <n v="56689"/>
  </r>
  <r>
    <n v="2405"/>
    <d v="2023-04-11T04:00:00"/>
    <x v="3"/>
    <n v="15"/>
    <x v="0"/>
    <s v="Hero"/>
    <x v="0"/>
    <x v="0"/>
    <n v="60394"/>
    <n v="2"/>
    <n v="150900"/>
    <n v="135234"/>
    <n v="12"/>
    <s v="No"/>
    <x v="1"/>
    <n v="15666"/>
  </r>
  <r>
    <n v="2406"/>
    <d v="2023-04-11T05:00:00"/>
    <x v="3"/>
    <n v="15"/>
    <x v="0"/>
    <s v="Bajaj"/>
    <x v="0"/>
    <x v="0"/>
    <n v="51944"/>
    <n v="8"/>
    <n v="109600"/>
    <n v="123918"/>
    <n v="2"/>
    <s v="Yes"/>
    <x v="0"/>
    <n v="-14318"/>
  </r>
  <r>
    <n v="2407"/>
    <d v="2023-04-11T06:00:00"/>
    <x v="3"/>
    <n v="15"/>
    <x v="0"/>
    <s v="Honda"/>
    <x v="0"/>
    <x v="0"/>
    <n v="34769"/>
    <n v="8"/>
    <n v="160513"/>
    <n v="98845"/>
    <n v="12"/>
    <s v="No"/>
    <x v="0"/>
    <n v="61668"/>
  </r>
  <r>
    <n v="2408"/>
    <d v="2023-04-11T07:00:00"/>
    <x v="3"/>
    <n v="15"/>
    <x v="0"/>
    <s v="Honda"/>
    <x v="0"/>
    <x v="1"/>
    <n v="62248"/>
    <n v="5"/>
    <n v="136315"/>
    <n v="138446"/>
    <n v="6"/>
    <s v="Yes"/>
    <x v="0"/>
    <n v="-2131"/>
  </r>
  <r>
    <n v="2409"/>
    <d v="2023-04-11T08:00:00"/>
    <x v="3"/>
    <n v="15"/>
    <x v="0"/>
    <s v="Hero"/>
    <x v="0"/>
    <x v="0"/>
    <n v="41690"/>
    <n v="9"/>
    <n v="175404"/>
    <n v="34299"/>
    <n v="9"/>
    <s v="No"/>
    <x v="0"/>
    <n v="141105"/>
  </r>
  <r>
    <n v="2410"/>
    <d v="2023-04-11T09:00:00"/>
    <x v="3"/>
    <n v="15"/>
    <x v="0"/>
    <s v="Yamaha"/>
    <x v="0"/>
    <x v="0"/>
    <n v="40818"/>
    <n v="9"/>
    <n v="45115"/>
    <n v="71050"/>
    <n v="12"/>
    <s v="No"/>
    <x v="1"/>
    <n v="-25935"/>
  </r>
  <r>
    <n v="2411"/>
    <d v="2023-04-11T10:00:00"/>
    <x v="3"/>
    <n v="15"/>
    <x v="0"/>
    <s v="Honda"/>
    <x v="0"/>
    <x v="0"/>
    <n v="37518"/>
    <n v="8"/>
    <n v="124405"/>
    <n v="121747"/>
    <n v="4"/>
    <s v="Yes"/>
    <x v="0"/>
    <n v="2658"/>
  </r>
  <r>
    <n v="2412"/>
    <d v="2023-04-11T11:00:00"/>
    <x v="3"/>
    <n v="15"/>
    <x v="0"/>
    <s v="Bajaj"/>
    <x v="0"/>
    <x v="2"/>
    <n v="40259"/>
    <n v="3"/>
    <n v="112404"/>
    <n v="37036"/>
    <n v="13"/>
    <s v="No"/>
    <x v="0"/>
    <n v="75368"/>
  </r>
  <r>
    <n v="2413"/>
    <d v="2023-04-11T12:00:00"/>
    <x v="3"/>
    <n v="15"/>
    <x v="0"/>
    <s v="TVS"/>
    <x v="1"/>
    <x v="1"/>
    <n v="16998"/>
    <n v="4"/>
    <n v="169687"/>
    <n v="100421"/>
    <n v="12"/>
    <s v="No"/>
    <x v="0"/>
    <n v="69266"/>
  </r>
  <r>
    <n v="2414"/>
    <d v="2023-04-11T13:00:00"/>
    <x v="3"/>
    <n v="15"/>
    <x v="0"/>
    <s v="TVS"/>
    <x v="1"/>
    <x v="2"/>
    <n v="26489"/>
    <n v="9"/>
    <n v="170804"/>
    <n v="44346"/>
    <n v="13"/>
    <s v="No"/>
    <x v="0"/>
    <n v="126458"/>
  </r>
  <r>
    <n v="2415"/>
    <d v="2023-04-11T14:00:00"/>
    <x v="3"/>
    <n v="15"/>
    <x v="0"/>
    <s v="TVS"/>
    <x v="0"/>
    <x v="1"/>
    <n v="26068"/>
    <n v="5"/>
    <n v="135670"/>
    <n v="128507"/>
    <n v="13"/>
    <s v="No"/>
    <x v="0"/>
    <n v="7163"/>
  </r>
  <r>
    <n v="2416"/>
    <d v="2023-04-11T15:00:00"/>
    <x v="3"/>
    <n v="15"/>
    <x v="0"/>
    <s v="Yamaha"/>
    <x v="0"/>
    <x v="3"/>
    <n v="67077"/>
    <n v="8"/>
    <n v="67738"/>
    <n v="129673"/>
    <n v="11"/>
    <s v="No"/>
    <x v="0"/>
    <n v="-61935"/>
  </r>
  <r>
    <n v="2417"/>
    <d v="2023-04-11T16:00:00"/>
    <x v="3"/>
    <n v="15"/>
    <x v="0"/>
    <s v="Hero"/>
    <x v="0"/>
    <x v="2"/>
    <n v="30599"/>
    <n v="4"/>
    <n v="157053"/>
    <n v="41691"/>
    <n v="6"/>
    <s v="Yes"/>
    <x v="0"/>
    <n v="115362"/>
  </r>
  <r>
    <n v="2418"/>
    <d v="2023-04-11T17:00:00"/>
    <x v="3"/>
    <n v="15"/>
    <x v="0"/>
    <s v="Bajaj"/>
    <x v="1"/>
    <x v="3"/>
    <n v="90400"/>
    <n v="7"/>
    <n v="106666"/>
    <n v="120578"/>
    <n v="7"/>
    <s v="Yes"/>
    <x v="0"/>
    <n v="-13912"/>
  </r>
  <r>
    <n v="2419"/>
    <d v="2023-04-11T18:00:00"/>
    <x v="3"/>
    <n v="15"/>
    <x v="0"/>
    <s v="Yamaha"/>
    <x v="0"/>
    <x v="0"/>
    <n v="41139"/>
    <n v="0"/>
    <n v="109351"/>
    <n v="129063"/>
    <n v="1"/>
    <s v="Yes"/>
    <x v="0"/>
    <n v="-19712"/>
  </r>
  <r>
    <n v="2420"/>
    <d v="2023-04-11T19:00:00"/>
    <x v="3"/>
    <n v="15"/>
    <x v="0"/>
    <s v="Bajaj"/>
    <x v="0"/>
    <x v="3"/>
    <n v="23982"/>
    <n v="4"/>
    <n v="164638"/>
    <n v="32986"/>
    <n v="5"/>
    <s v="Yes"/>
    <x v="1"/>
    <n v="131652"/>
  </r>
  <r>
    <n v="2421"/>
    <d v="2023-04-11T20:00:00"/>
    <x v="3"/>
    <n v="15"/>
    <x v="0"/>
    <s v="Bajaj"/>
    <x v="0"/>
    <x v="3"/>
    <n v="69712"/>
    <n v="9"/>
    <n v="35728"/>
    <n v="42846"/>
    <n v="4"/>
    <s v="Yes"/>
    <x v="0"/>
    <n v="-7118"/>
  </r>
  <r>
    <n v="2422"/>
    <d v="2023-04-11T21:00:00"/>
    <x v="3"/>
    <n v="15"/>
    <x v="0"/>
    <s v="Hero"/>
    <x v="0"/>
    <x v="3"/>
    <n v="55761"/>
    <n v="0"/>
    <n v="130852"/>
    <n v="137047"/>
    <n v="13"/>
    <s v="No"/>
    <x v="0"/>
    <n v="-6195"/>
  </r>
  <r>
    <n v="2423"/>
    <d v="2023-04-11T22:00:00"/>
    <x v="3"/>
    <n v="15"/>
    <x v="0"/>
    <s v="TVS"/>
    <x v="0"/>
    <x v="3"/>
    <n v="87817"/>
    <n v="9"/>
    <n v="108911"/>
    <n v="64665"/>
    <n v="13"/>
    <s v="No"/>
    <x v="0"/>
    <n v="44246"/>
  </r>
  <r>
    <n v="2424"/>
    <d v="2023-04-11T23:00:00"/>
    <x v="3"/>
    <n v="15"/>
    <x v="0"/>
    <s v="Hero"/>
    <x v="0"/>
    <x v="1"/>
    <n v="30548"/>
    <n v="5"/>
    <n v="142616"/>
    <n v="128408"/>
    <n v="13"/>
    <s v="No"/>
    <x v="0"/>
    <n v="14208"/>
  </r>
  <r>
    <n v="2425"/>
    <d v="2023-04-12T00:00:00"/>
    <x v="3"/>
    <n v="15"/>
    <x v="0"/>
    <s v="Yamaha"/>
    <x v="0"/>
    <x v="2"/>
    <n v="3565"/>
    <n v="6"/>
    <n v="61214"/>
    <n v="56401"/>
    <n v="10"/>
    <s v="No"/>
    <x v="0"/>
    <n v="4813"/>
  </r>
  <r>
    <n v="2426"/>
    <d v="2023-04-12T01:00:00"/>
    <x v="3"/>
    <n v="15"/>
    <x v="0"/>
    <s v="Yamaha"/>
    <x v="0"/>
    <x v="1"/>
    <n v="2536"/>
    <n v="4"/>
    <n v="70588"/>
    <n v="88728"/>
    <n v="2"/>
    <s v="Yes"/>
    <x v="0"/>
    <n v="-18140"/>
  </r>
  <r>
    <n v="2427"/>
    <d v="2023-04-12T02:00:00"/>
    <x v="3"/>
    <n v="15"/>
    <x v="0"/>
    <s v="Yamaha"/>
    <x v="0"/>
    <x v="1"/>
    <n v="36314"/>
    <n v="0"/>
    <n v="175025"/>
    <n v="119805"/>
    <n v="2"/>
    <s v="Yes"/>
    <x v="1"/>
    <n v="55220"/>
  </r>
  <r>
    <n v="2428"/>
    <d v="2023-04-12T03:00:00"/>
    <x v="3"/>
    <n v="15"/>
    <x v="0"/>
    <s v="Hero"/>
    <x v="0"/>
    <x v="1"/>
    <n v="60194"/>
    <n v="5"/>
    <n v="93408"/>
    <n v="65054"/>
    <n v="2"/>
    <s v="Yes"/>
    <x v="0"/>
    <n v="28354"/>
  </r>
  <r>
    <n v="2429"/>
    <d v="2023-04-12T04:00:00"/>
    <x v="3"/>
    <n v="15"/>
    <x v="0"/>
    <s v="Bajaj"/>
    <x v="1"/>
    <x v="3"/>
    <n v="17424"/>
    <n v="9"/>
    <n v="59103"/>
    <n v="53487"/>
    <n v="7"/>
    <s v="Yes"/>
    <x v="0"/>
    <n v="5616"/>
  </r>
  <r>
    <n v="2430"/>
    <d v="2023-04-12T05:00:00"/>
    <x v="3"/>
    <n v="15"/>
    <x v="0"/>
    <s v="Bajaj"/>
    <x v="0"/>
    <x v="1"/>
    <n v="60704"/>
    <n v="4"/>
    <n v="95949"/>
    <n v="24412"/>
    <n v="11"/>
    <s v="No"/>
    <x v="0"/>
    <n v="71537"/>
  </r>
  <r>
    <n v="2431"/>
    <d v="2023-04-12T06:00:00"/>
    <x v="3"/>
    <n v="15"/>
    <x v="0"/>
    <s v="Honda"/>
    <x v="0"/>
    <x v="2"/>
    <n v="33344"/>
    <n v="5"/>
    <n v="176228"/>
    <n v="137836"/>
    <n v="13"/>
    <s v="No"/>
    <x v="1"/>
    <n v="38392"/>
  </r>
  <r>
    <n v="2432"/>
    <d v="2023-04-12T07:00:00"/>
    <x v="3"/>
    <n v="15"/>
    <x v="0"/>
    <s v="Yamaha"/>
    <x v="0"/>
    <x v="1"/>
    <n v="82443"/>
    <n v="9"/>
    <n v="38423"/>
    <n v="96499"/>
    <n v="11"/>
    <s v="No"/>
    <x v="0"/>
    <n v="-58076"/>
  </r>
  <r>
    <n v="2433"/>
    <d v="2023-04-12T08:00:00"/>
    <x v="3"/>
    <n v="15"/>
    <x v="0"/>
    <s v="Bajaj"/>
    <x v="0"/>
    <x v="0"/>
    <n v="22018"/>
    <n v="6"/>
    <n v="63062"/>
    <n v="66473"/>
    <n v="4"/>
    <s v="Yes"/>
    <x v="0"/>
    <n v="-3411"/>
  </r>
  <r>
    <n v="2434"/>
    <d v="2023-04-12T09:00:00"/>
    <x v="3"/>
    <n v="15"/>
    <x v="0"/>
    <s v="Honda"/>
    <x v="1"/>
    <x v="3"/>
    <n v="17559"/>
    <n v="6"/>
    <n v="26987"/>
    <n v="114159"/>
    <n v="6"/>
    <s v="Yes"/>
    <x v="0"/>
    <n v="-87172"/>
  </r>
  <r>
    <n v="2435"/>
    <d v="2023-04-12T10:00:00"/>
    <x v="3"/>
    <n v="15"/>
    <x v="0"/>
    <s v="Bajaj"/>
    <x v="0"/>
    <x v="0"/>
    <n v="23552"/>
    <n v="1"/>
    <n v="87979"/>
    <n v="81553"/>
    <n v="7"/>
    <s v="Yes"/>
    <x v="0"/>
    <n v="6426"/>
  </r>
  <r>
    <n v="2436"/>
    <d v="2023-04-12T11:00:00"/>
    <x v="3"/>
    <n v="15"/>
    <x v="0"/>
    <s v="Yamaha"/>
    <x v="1"/>
    <x v="2"/>
    <n v="70303"/>
    <n v="2"/>
    <n v="62597"/>
    <n v="20279"/>
    <n v="9"/>
    <s v="No"/>
    <x v="0"/>
    <n v="42318"/>
  </r>
  <r>
    <n v="2437"/>
    <d v="2023-04-12T12:00:00"/>
    <x v="3"/>
    <n v="15"/>
    <x v="0"/>
    <s v="TVS"/>
    <x v="0"/>
    <x v="2"/>
    <n v="72024"/>
    <n v="5"/>
    <n v="108905"/>
    <n v="90948"/>
    <n v="11"/>
    <s v="No"/>
    <x v="0"/>
    <n v="17957"/>
  </r>
  <r>
    <n v="2438"/>
    <d v="2023-04-12T13:00:00"/>
    <x v="3"/>
    <n v="15"/>
    <x v="0"/>
    <s v="Yamaha"/>
    <x v="1"/>
    <x v="2"/>
    <n v="94010"/>
    <n v="2"/>
    <n v="101970"/>
    <n v="22712"/>
    <n v="2"/>
    <s v="Yes"/>
    <x v="0"/>
    <n v="79258"/>
  </r>
  <r>
    <n v="2439"/>
    <d v="2023-04-12T14:00:00"/>
    <x v="3"/>
    <n v="15"/>
    <x v="0"/>
    <s v="Hero"/>
    <x v="0"/>
    <x v="2"/>
    <n v="90072"/>
    <n v="1"/>
    <n v="88805"/>
    <n v="30817"/>
    <n v="10"/>
    <s v="No"/>
    <x v="0"/>
    <n v="57988"/>
  </r>
  <r>
    <n v="2440"/>
    <d v="2023-04-12T15:00:00"/>
    <x v="3"/>
    <n v="15"/>
    <x v="0"/>
    <s v="Bajaj"/>
    <x v="0"/>
    <x v="1"/>
    <n v="9180"/>
    <n v="3"/>
    <n v="144779"/>
    <n v="68832"/>
    <n v="12"/>
    <s v="No"/>
    <x v="0"/>
    <n v="75947"/>
  </r>
  <r>
    <n v="2441"/>
    <d v="2023-04-12T16:00:00"/>
    <x v="3"/>
    <n v="15"/>
    <x v="0"/>
    <s v="Bajaj"/>
    <x v="0"/>
    <x v="3"/>
    <n v="67521"/>
    <n v="4"/>
    <n v="172708"/>
    <n v="108616"/>
    <n v="13"/>
    <s v="No"/>
    <x v="0"/>
    <n v="64092"/>
  </r>
  <r>
    <n v="2442"/>
    <d v="2023-04-12T17:00:00"/>
    <x v="3"/>
    <n v="15"/>
    <x v="0"/>
    <s v="Hero"/>
    <x v="1"/>
    <x v="2"/>
    <n v="80749"/>
    <n v="9"/>
    <n v="82467"/>
    <n v="71224"/>
    <n v="9"/>
    <s v="No"/>
    <x v="0"/>
    <n v="11243"/>
  </r>
  <r>
    <n v="2443"/>
    <d v="2023-04-12T18:00:00"/>
    <x v="3"/>
    <n v="15"/>
    <x v="0"/>
    <s v="Hero"/>
    <x v="1"/>
    <x v="0"/>
    <n v="20543"/>
    <n v="8"/>
    <n v="132732"/>
    <n v="21624"/>
    <n v="11"/>
    <s v="No"/>
    <x v="0"/>
    <n v="111108"/>
  </r>
  <r>
    <n v="2444"/>
    <d v="2023-04-12T19:00:00"/>
    <x v="3"/>
    <n v="15"/>
    <x v="0"/>
    <s v="TVS"/>
    <x v="0"/>
    <x v="2"/>
    <n v="2919"/>
    <n v="2"/>
    <n v="173079"/>
    <n v="44126"/>
    <n v="5"/>
    <s v="Yes"/>
    <x v="0"/>
    <n v="128953"/>
  </r>
  <r>
    <n v="2445"/>
    <d v="2023-04-12T20:00:00"/>
    <x v="3"/>
    <n v="15"/>
    <x v="0"/>
    <s v="Bajaj"/>
    <x v="1"/>
    <x v="3"/>
    <n v="57392"/>
    <n v="2"/>
    <n v="126460"/>
    <n v="97115"/>
    <n v="13"/>
    <s v="No"/>
    <x v="0"/>
    <n v="29345"/>
  </r>
  <r>
    <n v="2446"/>
    <d v="2023-04-12T21:00:00"/>
    <x v="3"/>
    <n v="15"/>
    <x v="0"/>
    <s v="Bajaj"/>
    <x v="0"/>
    <x v="0"/>
    <n v="17640"/>
    <n v="5"/>
    <n v="159461"/>
    <n v="95667"/>
    <n v="6"/>
    <s v="Yes"/>
    <x v="1"/>
    <n v="63794"/>
  </r>
  <r>
    <n v="2447"/>
    <d v="2023-04-12T22:00:00"/>
    <x v="3"/>
    <n v="15"/>
    <x v="0"/>
    <s v="TVS"/>
    <x v="0"/>
    <x v="0"/>
    <n v="43984"/>
    <n v="4"/>
    <n v="143105"/>
    <n v="52462"/>
    <n v="6"/>
    <s v="Yes"/>
    <x v="0"/>
    <n v="90643"/>
  </r>
  <r>
    <n v="2448"/>
    <d v="2023-04-12T23:00:00"/>
    <x v="3"/>
    <n v="15"/>
    <x v="0"/>
    <s v="Honda"/>
    <x v="0"/>
    <x v="0"/>
    <n v="64369"/>
    <n v="5"/>
    <n v="149535"/>
    <n v="73676"/>
    <n v="11"/>
    <s v="No"/>
    <x v="0"/>
    <n v="75859"/>
  </r>
  <r>
    <n v="2449"/>
    <d v="2023-04-13T00:00:00"/>
    <x v="3"/>
    <n v="15"/>
    <x v="0"/>
    <s v="TVS"/>
    <x v="0"/>
    <x v="1"/>
    <n v="45710"/>
    <n v="6"/>
    <n v="34458"/>
    <n v="61815"/>
    <n v="3"/>
    <s v="Yes"/>
    <x v="0"/>
    <n v="-27357"/>
  </r>
  <r>
    <n v="2450"/>
    <d v="2023-04-13T01:00:00"/>
    <x v="3"/>
    <n v="15"/>
    <x v="0"/>
    <s v="Yamaha"/>
    <x v="0"/>
    <x v="2"/>
    <n v="58100"/>
    <n v="2"/>
    <n v="93481"/>
    <n v="117955"/>
    <n v="11"/>
    <s v="No"/>
    <x v="0"/>
    <n v="-24474"/>
  </r>
  <r>
    <n v="2451"/>
    <d v="2023-04-13T02:00:00"/>
    <x v="3"/>
    <n v="15"/>
    <x v="0"/>
    <s v="Bajaj"/>
    <x v="0"/>
    <x v="1"/>
    <n v="78997"/>
    <n v="4"/>
    <n v="99888"/>
    <n v="103911"/>
    <n v="11"/>
    <s v="No"/>
    <x v="0"/>
    <n v="-4023"/>
  </r>
  <r>
    <n v="2452"/>
    <d v="2023-04-13T03:00:00"/>
    <x v="3"/>
    <n v="15"/>
    <x v="0"/>
    <s v="Hero"/>
    <x v="0"/>
    <x v="0"/>
    <n v="6987"/>
    <n v="7"/>
    <n v="101022"/>
    <n v="41093"/>
    <n v="10"/>
    <s v="No"/>
    <x v="0"/>
    <n v="59929"/>
  </r>
  <r>
    <n v="2453"/>
    <d v="2023-04-13T04:00:00"/>
    <x v="3"/>
    <n v="15"/>
    <x v="0"/>
    <s v="Yamaha"/>
    <x v="0"/>
    <x v="1"/>
    <n v="61192"/>
    <n v="3"/>
    <n v="92628"/>
    <n v="126030"/>
    <n v="7"/>
    <s v="Yes"/>
    <x v="0"/>
    <n v="-33402"/>
  </r>
  <r>
    <n v="2454"/>
    <d v="2023-04-13T05:00:00"/>
    <x v="3"/>
    <n v="15"/>
    <x v="0"/>
    <s v="Bajaj"/>
    <x v="0"/>
    <x v="1"/>
    <n v="62612"/>
    <n v="9"/>
    <n v="95648"/>
    <n v="132385"/>
    <n v="13"/>
    <s v="No"/>
    <x v="0"/>
    <n v="-36737"/>
  </r>
  <r>
    <n v="2455"/>
    <d v="2023-04-13T06:00:00"/>
    <x v="3"/>
    <n v="15"/>
    <x v="0"/>
    <s v="TVS"/>
    <x v="0"/>
    <x v="1"/>
    <n v="31610"/>
    <n v="1"/>
    <n v="41937"/>
    <n v="47525"/>
    <n v="7"/>
    <s v="Yes"/>
    <x v="0"/>
    <n v="-5588"/>
  </r>
  <r>
    <n v="2456"/>
    <d v="2023-04-13T07:00:00"/>
    <x v="3"/>
    <n v="15"/>
    <x v="0"/>
    <s v="Yamaha"/>
    <x v="0"/>
    <x v="2"/>
    <n v="16860"/>
    <n v="3"/>
    <n v="26112"/>
    <n v="44030"/>
    <n v="8"/>
    <s v="No"/>
    <x v="0"/>
    <n v="-17918"/>
  </r>
  <r>
    <n v="2457"/>
    <d v="2023-04-13T08:00:00"/>
    <x v="3"/>
    <n v="15"/>
    <x v="0"/>
    <s v="Bajaj"/>
    <x v="0"/>
    <x v="0"/>
    <n v="49910"/>
    <n v="1"/>
    <n v="73355"/>
    <n v="59067"/>
    <n v="5"/>
    <s v="Yes"/>
    <x v="1"/>
    <n v="14288"/>
  </r>
  <r>
    <n v="2458"/>
    <d v="2023-04-13T09:00:00"/>
    <x v="3"/>
    <n v="15"/>
    <x v="0"/>
    <s v="Honda"/>
    <x v="0"/>
    <x v="0"/>
    <n v="90918"/>
    <n v="2"/>
    <n v="100561"/>
    <n v="130745"/>
    <n v="2"/>
    <s v="Yes"/>
    <x v="0"/>
    <n v="-30184"/>
  </r>
  <r>
    <n v="2459"/>
    <d v="2023-04-13T10:00:00"/>
    <x v="3"/>
    <n v="15"/>
    <x v="0"/>
    <s v="Honda"/>
    <x v="0"/>
    <x v="2"/>
    <n v="83538"/>
    <n v="3"/>
    <n v="143181"/>
    <n v="20207"/>
    <n v="13"/>
    <s v="No"/>
    <x v="0"/>
    <n v="122974"/>
  </r>
  <r>
    <n v="2460"/>
    <d v="2023-04-13T11:00:00"/>
    <x v="3"/>
    <n v="15"/>
    <x v="0"/>
    <s v="Hero"/>
    <x v="0"/>
    <x v="1"/>
    <n v="73667"/>
    <n v="3"/>
    <n v="85482"/>
    <n v="91433"/>
    <n v="3"/>
    <s v="Yes"/>
    <x v="1"/>
    <n v="-5951"/>
  </r>
  <r>
    <n v="2461"/>
    <d v="2023-04-13T12:00:00"/>
    <x v="3"/>
    <n v="15"/>
    <x v="0"/>
    <s v="Bajaj"/>
    <x v="0"/>
    <x v="1"/>
    <n v="3517"/>
    <n v="9"/>
    <n v="104098"/>
    <n v="41639"/>
    <n v="9"/>
    <s v="No"/>
    <x v="0"/>
    <n v="62459"/>
  </r>
  <r>
    <n v="2462"/>
    <d v="2023-04-13T13:00:00"/>
    <x v="3"/>
    <n v="15"/>
    <x v="0"/>
    <s v="Honda"/>
    <x v="0"/>
    <x v="3"/>
    <n v="86761"/>
    <n v="8"/>
    <n v="167376"/>
    <n v="17792"/>
    <n v="6"/>
    <s v="Yes"/>
    <x v="0"/>
    <n v="149584"/>
  </r>
  <r>
    <n v="2463"/>
    <d v="2023-04-13T14:00:00"/>
    <x v="3"/>
    <n v="15"/>
    <x v="0"/>
    <s v="TVS"/>
    <x v="0"/>
    <x v="3"/>
    <n v="60624"/>
    <n v="9"/>
    <n v="147978"/>
    <n v="15420"/>
    <n v="8"/>
    <s v="No"/>
    <x v="0"/>
    <n v="132558"/>
  </r>
  <r>
    <n v="2464"/>
    <d v="2023-04-13T15:00:00"/>
    <x v="3"/>
    <n v="15"/>
    <x v="0"/>
    <s v="Bajaj"/>
    <x v="0"/>
    <x v="3"/>
    <n v="90798"/>
    <n v="5"/>
    <n v="81625"/>
    <n v="109760"/>
    <n v="8"/>
    <s v="No"/>
    <x v="0"/>
    <n v="-28135"/>
  </r>
  <r>
    <n v="2465"/>
    <d v="2023-04-13T16:00:00"/>
    <x v="3"/>
    <n v="15"/>
    <x v="0"/>
    <s v="TVS"/>
    <x v="0"/>
    <x v="2"/>
    <n v="51449"/>
    <n v="8"/>
    <n v="149359"/>
    <n v="34198"/>
    <n v="14"/>
    <s v="No"/>
    <x v="0"/>
    <n v="115161"/>
  </r>
  <r>
    <n v="2466"/>
    <d v="2023-04-13T17:00:00"/>
    <x v="3"/>
    <n v="15"/>
    <x v="0"/>
    <s v="TVS"/>
    <x v="0"/>
    <x v="0"/>
    <n v="58768"/>
    <n v="3"/>
    <n v="96246"/>
    <n v="50608"/>
    <n v="5"/>
    <s v="Yes"/>
    <x v="0"/>
    <n v="45638"/>
  </r>
  <r>
    <n v="2467"/>
    <d v="2023-04-13T18:00:00"/>
    <x v="3"/>
    <n v="15"/>
    <x v="0"/>
    <s v="Honda"/>
    <x v="1"/>
    <x v="3"/>
    <n v="66820"/>
    <n v="8"/>
    <n v="37588"/>
    <n v="61205"/>
    <n v="1"/>
    <s v="Yes"/>
    <x v="0"/>
    <n v="-23617"/>
  </r>
  <r>
    <n v="2468"/>
    <d v="2023-04-13T19:00:00"/>
    <x v="3"/>
    <n v="15"/>
    <x v="0"/>
    <s v="Bajaj"/>
    <x v="1"/>
    <x v="0"/>
    <n v="94056"/>
    <n v="8"/>
    <n v="140910"/>
    <n v="97951"/>
    <n v="6"/>
    <s v="Yes"/>
    <x v="0"/>
    <n v="42959"/>
  </r>
  <r>
    <n v="2469"/>
    <d v="2023-04-13T20:00:00"/>
    <x v="3"/>
    <n v="15"/>
    <x v="0"/>
    <s v="Yamaha"/>
    <x v="0"/>
    <x v="0"/>
    <n v="81801"/>
    <n v="5"/>
    <n v="153658"/>
    <n v="120943"/>
    <n v="7"/>
    <s v="Yes"/>
    <x v="0"/>
    <n v="32715"/>
  </r>
  <r>
    <n v="2470"/>
    <d v="2023-04-13T21:00:00"/>
    <x v="3"/>
    <n v="15"/>
    <x v="0"/>
    <s v="Honda"/>
    <x v="0"/>
    <x v="0"/>
    <n v="31627"/>
    <n v="4"/>
    <n v="45967"/>
    <n v="32875"/>
    <n v="9"/>
    <s v="No"/>
    <x v="0"/>
    <n v="13092"/>
  </r>
  <r>
    <n v="2471"/>
    <d v="2023-04-13T22:00:00"/>
    <x v="3"/>
    <n v="15"/>
    <x v="0"/>
    <s v="Honda"/>
    <x v="0"/>
    <x v="2"/>
    <n v="3696"/>
    <n v="2"/>
    <n v="155153"/>
    <n v="85511"/>
    <n v="2"/>
    <s v="Yes"/>
    <x v="0"/>
    <n v="69642"/>
  </r>
  <r>
    <n v="2472"/>
    <d v="2023-04-13T23:00:00"/>
    <x v="3"/>
    <n v="15"/>
    <x v="0"/>
    <s v="Bajaj"/>
    <x v="0"/>
    <x v="2"/>
    <n v="75588"/>
    <n v="4"/>
    <n v="49256"/>
    <n v="106997"/>
    <n v="12"/>
    <s v="No"/>
    <x v="0"/>
    <n v="-57741"/>
  </r>
  <r>
    <n v="2473"/>
    <d v="2023-04-14T00:00:00"/>
    <x v="3"/>
    <n v="15"/>
    <x v="0"/>
    <s v="Bajaj"/>
    <x v="1"/>
    <x v="2"/>
    <n v="41800"/>
    <n v="2"/>
    <n v="153121"/>
    <n v="36331"/>
    <n v="13"/>
    <s v="No"/>
    <x v="0"/>
    <n v="116790"/>
  </r>
  <r>
    <n v="2474"/>
    <d v="2023-04-14T01:00:00"/>
    <x v="3"/>
    <n v="15"/>
    <x v="0"/>
    <s v="TVS"/>
    <x v="0"/>
    <x v="2"/>
    <n v="50214"/>
    <n v="4"/>
    <n v="105732"/>
    <n v="31893"/>
    <n v="2"/>
    <s v="Yes"/>
    <x v="0"/>
    <n v="73839"/>
  </r>
  <r>
    <n v="2475"/>
    <d v="2023-04-14T02:00:00"/>
    <x v="3"/>
    <n v="15"/>
    <x v="0"/>
    <s v="Bajaj"/>
    <x v="0"/>
    <x v="3"/>
    <n v="32421"/>
    <n v="4"/>
    <n v="155145"/>
    <n v="79913"/>
    <n v="10"/>
    <s v="No"/>
    <x v="0"/>
    <n v="75232"/>
  </r>
  <r>
    <n v="2476"/>
    <d v="2023-04-14T03:00:00"/>
    <x v="3"/>
    <n v="15"/>
    <x v="0"/>
    <s v="TVS"/>
    <x v="0"/>
    <x v="1"/>
    <n v="5246"/>
    <n v="1"/>
    <n v="158578"/>
    <n v="33243"/>
    <n v="1"/>
    <s v="Yes"/>
    <x v="0"/>
    <n v="125335"/>
  </r>
  <r>
    <n v="2477"/>
    <d v="2023-04-14T04:00:00"/>
    <x v="3"/>
    <n v="15"/>
    <x v="0"/>
    <s v="Honda"/>
    <x v="1"/>
    <x v="1"/>
    <n v="69035"/>
    <n v="8"/>
    <n v="123120"/>
    <n v="30535"/>
    <n v="5"/>
    <s v="Yes"/>
    <x v="0"/>
    <n v="92585"/>
  </r>
  <r>
    <n v="2478"/>
    <d v="2023-04-14T05:00:00"/>
    <x v="3"/>
    <n v="15"/>
    <x v="0"/>
    <s v="Hero"/>
    <x v="0"/>
    <x v="1"/>
    <n v="65850"/>
    <n v="6"/>
    <n v="176781"/>
    <n v="78203"/>
    <n v="2"/>
    <s v="Yes"/>
    <x v="0"/>
    <n v="98578"/>
  </r>
  <r>
    <n v="2479"/>
    <d v="2023-04-14T06:00:00"/>
    <x v="3"/>
    <n v="15"/>
    <x v="0"/>
    <s v="Yamaha"/>
    <x v="0"/>
    <x v="3"/>
    <n v="50845"/>
    <n v="5"/>
    <n v="69840"/>
    <n v="85597"/>
    <n v="3"/>
    <s v="Yes"/>
    <x v="0"/>
    <n v="-15757"/>
  </r>
  <r>
    <n v="2480"/>
    <d v="2023-04-14T07:00:00"/>
    <x v="3"/>
    <n v="15"/>
    <x v="0"/>
    <s v="Honda"/>
    <x v="0"/>
    <x v="1"/>
    <n v="49720"/>
    <n v="4"/>
    <n v="137647"/>
    <n v="82394"/>
    <n v="2"/>
    <s v="Yes"/>
    <x v="0"/>
    <n v="55253"/>
  </r>
  <r>
    <n v="2481"/>
    <d v="2023-04-14T08:00:00"/>
    <x v="3"/>
    <n v="15"/>
    <x v="0"/>
    <s v="Bajaj"/>
    <x v="0"/>
    <x v="3"/>
    <n v="81631"/>
    <n v="3"/>
    <n v="84321"/>
    <n v="40489"/>
    <n v="11"/>
    <s v="No"/>
    <x v="0"/>
    <n v="43832"/>
  </r>
  <r>
    <n v="2482"/>
    <d v="2023-04-14T09:00:00"/>
    <x v="3"/>
    <n v="15"/>
    <x v="0"/>
    <s v="Yamaha"/>
    <x v="0"/>
    <x v="3"/>
    <n v="22563"/>
    <n v="7"/>
    <n v="68202"/>
    <n v="94214"/>
    <n v="4"/>
    <s v="Yes"/>
    <x v="0"/>
    <n v="-26012"/>
  </r>
  <r>
    <n v="2483"/>
    <d v="2023-04-14T10:00:00"/>
    <x v="3"/>
    <n v="15"/>
    <x v="0"/>
    <s v="Hero"/>
    <x v="0"/>
    <x v="3"/>
    <n v="72236"/>
    <n v="1"/>
    <n v="159162"/>
    <n v="135295"/>
    <n v="11"/>
    <s v="No"/>
    <x v="0"/>
    <n v="23867"/>
  </r>
  <r>
    <n v="2484"/>
    <d v="2023-04-14T11:00:00"/>
    <x v="3"/>
    <n v="15"/>
    <x v="0"/>
    <s v="Hero"/>
    <x v="1"/>
    <x v="1"/>
    <n v="89413"/>
    <n v="7"/>
    <n v="84231"/>
    <n v="115369"/>
    <n v="3"/>
    <s v="Yes"/>
    <x v="0"/>
    <n v="-31138"/>
  </r>
  <r>
    <n v="2485"/>
    <d v="2023-04-14T12:00:00"/>
    <x v="3"/>
    <n v="15"/>
    <x v="0"/>
    <s v="TVS"/>
    <x v="1"/>
    <x v="0"/>
    <n v="79446"/>
    <n v="0"/>
    <n v="46552"/>
    <n v="127695"/>
    <n v="9"/>
    <s v="No"/>
    <x v="1"/>
    <n v="-81143"/>
  </r>
  <r>
    <n v="2486"/>
    <d v="2023-04-14T13:00:00"/>
    <x v="3"/>
    <n v="15"/>
    <x v="0"/>
    <s v="Yamaha"/>
    <x v="1"/>
    <x v="1"/>
    <n v="46471"/>
    <n v="9"/>
    <n v="46661"/>
    <n v="99886"/>
    <n v="10"/>
    <s v="No"/>
    <x v="1"/>
    <n v="-53225"/>
  </r>
  <r>
    <n v="2487"/>
    <d v="2023-04-14T14:00:00"/>
    <x v="3"/>
    <n v="15"/>
    <x v="0"/>
    <s v="TVS"/>
    <x v="0"/>
    <x v="1"/>
    <n v="4098"/>
    <n v="0"/>
    <n v="162164"/>
    <n v="28346"/>
    <n v="12"/>
    <s v="No"/>
    <x v="0"/>
    <n v="133818"/>
  </r>
  <r>
    <n v="2488"/>
    <d v="2023-04-14T15:00:00"/>
    <x v="3"/>
    <n v="15"/>
    <x v="0"/>
    <s v="Honda"/>
    <x v="0"/>
    <x v="2"/>
    <n v="11064"/>
    <n v="2"/>
    <n v="156642"/>
    <n v="63005"/>
    <n v="2"/>
    <s v="Yes"/>
    <x v="0"/>
    <n v="93637"/>
  </r>
  <r>
    <n v="2489"/>
    <d v="2023-04-14T16:00:00"/>
    <x v="3"/>
    <n v="15"/>
    <x v="0"/>
    <s v="Yamaha"/>
    <x v="0"/>
    <x v="3"/>
    <n v="96934"/>
    <n v="4"/>
    <n v="168156"/>
    <n v="21773"/>
    <n v="7"/>
    <s v="Yes"/>
    <x v="0"/>
    <n v="146383"/>
  </r>
  <r>
    <n v="2490"/>
    <d v="2023-04-14T17:00:00"/>
    <x v="3"/>
    <n v="15"/>
    <x v="0"/>
    <s v="Honda"/>
    <x v="0"/>
    <x v="0"/>
    <n v="50225"/>
    <n v="5"/>
    <n v="90843"/>
    <n v="110001"/>
    <n v="11"/>
    <s v="No"/>
    <x v="0"/>
    <n v="-19158"/>
  </r>
  <r>
    <n v="2491"/>
    <d v="2023-04-14T18:00:00"/>
    <x v="3"/>
    <n v="15"/>
    <x v="0"/>
    <s v="TVS"/>
    <x v="0"/>
    <x v="2"/>
    <n v="86634"/>
    <n v="3"/>
    <n v="94278"/>
    <n v="137580"/>
    <n v="14"/>
    <s v="No"/>
    <x v="0"/>
    <n v="-43302"/>
  </r>
  <r>
    <n v="2492"/>
    <d v="2023-04-14T19:00:00"/>
    <x v="3"/>
    <n v="15"/>
    <x v="0"/>
    <s v="Yamaha"/>
    <x v="0"/>
    <x v="0"/>
    <n v="60440"/>
    <n v="6"/>
    <n v="119328"/>
    <n v="90324"/>
    <n v="3"/>
    <s v="Yes"/>
    <x v="0"/>
    <n v="29004"/>
  </r>
  <r>
    <n v="2493"/>
    <d v="2023-04-14T20:00:00"/>
    <x v="3"/>
    <n v="15"/>
    <x v="0"/>
    <s v="TVS"/>
    <x v="0"/>
    <x v="0"/>
    <n v="62585"/>
    <n v="6"/>
    <n v="156837"/>
    <n v="47343"/>
    <n v="10"/>
    <s v="No"/>
    <x v="0"/>
    <n v="109494"/>
  </r>
  <r>
    <n v="2494"/>
    <d v="2023-04-14T21:00:00"/>
    <x v="3"/>
    <n v="15"/>
    <x v="0"/>
    <s v="Yamaha"/>
    <x v="0"/>
    <x v="3"/>
    <n v="18362"/>
    <n v="1"/>
    <n v="151355"/>
    <n v="127398"/>
    <n v="8"/>
    <s v="No"/>
    <x v="0"/>
    <n v="23957"/>
  </r>
  <r>
    <n v="2495"/>
    <d v="2023-04-14T22:00:00"/>
    <x v="3"/>
    <n v="15"/>
    <x v="0"/>
    <s v="TVS"/>
    <x v="0"/>
    <x v="1"/>
    <n v="10765"/>
    <n v="1"/>
    <n v="49198"/>
    <n v="117746"/>
    <n v="4"/>
    <s v="Yes"/>
    <x v="0"/>
    <n v="-68548"/>
  </r>
  <r>
    <n v="2496"/>
    <d v="2023-04-14T23:00:00"/>
    <x v="3"/>
    <n v="15"/>
    <x v="0"/>
    <s v="Hero"/>
    <x v="0"/>
    <x v="3"/>
    <n v="10205"/>
    <n v="1"/>
    <n v="86201"/>
    <n v="89783"/>
    <n v="14"/>
    <s v="No"/>
    <x v="1"/>
    <n v="-3582"/>
  </r>
  <r>
    <n v="2497"/>
    <d v="2023-04-15T00:00:00"/>
    <x v="3"/>
    <n v="15"/>
    <x v="0"/>
    <s v="TVS"/>
    <x v="0"/>
    <x v="3"/>
    <n v="55779"/>
    <n v="1"/>
    <n v="98271"/>
    <n v="60963"/>
    <n v="4"/>
    <s v="Yes"/>
    <x v="0"/>
    <n v="37308"/>
  </r>
  <r>
    <n v="2498"/>
    <d v="2023-04-15T01:00:00"/>
    <x v="3"/>
    <n v="15"/>
    <x v="0"/>
    <s v="Hero"/>
    <x v="0"/>
    <x v="2"/>
    <n v="62971"/>
    <n v="8"/>
    <n v="167449"/>
    <n v="56983"/>
    <n v="9"/>
    <s v="No"/>
    <x v="0"/>
    <n v="110466"/>
  </r>
  <r>
    <n v="2499"/>
    <d v="2023-04-15T02:00:00"/>
    <x v="3"/>
    <n v="15"/>
    <x v="0"/>
    <s v="TVS"/>
    <x v="0"/>
    <x v="3"/>
    <n v="91580"/>
    <n v="4"/>
    <n v="136578"/>
    <n v="50972"/>
    <n v="11"/>
    <s v="No"/>
    <x v="0"/>
    <n v="85606"/>
  </r>
  <r>
    <n v="2500"/>
    <d v="2023-04-15T03:00:00"/>
    <x v="3"/>
    <n v="15"/>
    <x v="0"/>
    <s v="Yamaha"/>
    <x v="0"/>
    <x v="1"/>
    <n v="80334"/>
    <n v="7"/>
    <n v="164108"/>
    <n v="31959"/>
    <n v="3"/>
    <s v="Yes"/>
    <x v="0"/>
    <n v="132149"/>
  </r>
  <r>
    <n v="2501"/>
    <d v="2023-04-15T04:00:00"/>
    <x v="3"/>
    <n v="15"/>
    <x v="0"/>
    <s v="Yamaha"/>
    <x v="0"/>
    <x v="0"/>
    <n v="63479"/>
    <n v="4"/>
    <n v="65364"/>
    <n v="129886"/>
    <n v="7"/>
    <s v="Yes"/>
    <x v="0"/>
    <n v="-64522"/>
  </r>
  <r>
    <n v="2502"/>
    <d v="2023-04-15T05:00:00"/>
    <x v="3"/>
    <n v="15"/>
    <x v="0"/>
    <s v="Yamaha"/>
    <x v="0"/>
    <x v="3"/>
    <n v="56328"/>
    <n v="4"/>
    <n v="140227"/>
    <n v="104343"/>
    <n v="1"/>
    <s v="Yes"/>
    <x v="0"/>
    <n v="35884"/>
  </r>
  <r>
    <n v="2503"/>
    <d v="2023-04-15T06:00:00"/>
    <x v="3"/>
    <n v="15"/>
    <x v="0"/>
    <s v="Bajaj"/>
    <x v="0"/>
    <x v="0"/>
    <n v="98706"/>
    <n v="0"/>
    <n v="125353"/>
    <n v="49133"/>
    <n v="7"/>
    <s v="Yes"/>
    <x v="0"/>
    <n v="76220"/>
  </r>
  <r>
    <n v="2504"/>
    <d v="2023-04-15T07:00:00"/>
    <x v="3"/>
    <n v="15"/>
    <x v="0"/>
    <s v="Honda"/>
    <x v="0"/>
    <x v="3"/>
    <n v="46604"/>
    <n v="5"/>
    <n v="157735"/>
    <n v="104754"/>
    <n v="10"/>
    <s v="No"/>
    <x v="0"/>
    <n v="52981"/>
  </r>
  <r>
    <n v="2505"/>
    <d v="2023-04-15T08:00:00"/>
    <x v="3"/>
    <n v="15"/>
    <x v="0"/>
    <s v="Yamaha"/>
    <x v="0"/>
    <x v="0"/>
    <n v="41434"/>
    <n v="3"/>
    <n v="102564"/>
    <n v="66150"/>
    <n v="11"/>
    <s v="No"/>
    <x v="0"/>
    <n v="36414"/>
  </r>
  <r>
    <n v="2506"/>
    <d v="2023-04-15T09:00:00"/>
    <x v="3"/>
    <n v="15"/>
    <x v="0"/>
    <s v="Hero"/>
    <x v="0"/>
    <x v="3"/>
    <n v="6550"/>
    <n v="2"/>
    <n v="171149"/>
    <n v="36734"/>
    <n v="2"/>
    <s v="Yes"/>
    <x v="0"/>
    <n v="134415"/>
  </r>
  <r>
    <n v="2507"/>
    <d v="2023-04-15T10:00:00"/>
    <x v="3"/>
    <n v="15"/>
    <x v="0"/>
    <s v="Yamaha"/>
    <x v="0"/>
    <x v="2"/>
    <n v="44452"/>
    <n v="5"/>
    <n v="130447"/>
    <n v="103364"/>
    <n v="12"/>
    <s v="No"/>
    <x v="0"/>
    <n v="27083"/>
  </r>
  <r>
    <n v="2508"/>
    <d v="2023-04-15T11:00:00"/>
    <x v="3"/>
    <n v="15"/>
    <x v="0"/>
    <s v="Bajaj"/>
    <x v="0"/>
    <x v="0"/>
    <n v="87070"/>
    <n v="1"/>
    <n v="44631"/>
    <n v="32400"/>
    <n v="14"/>
    <s v="No"/>
    <x v="0"/>
    <n v="12231"/>
  </r>
  <r>
    <n v="2509"/>
    <d v="2023-04-15T12:00:00"/>
    <x v="3"/>
    <n v="15"/>
    <x v="0"/>
    <s v="Hero"/>
    <x v="0"/>
    <x v="3"/>
    <n v="8984"/>
    <n v="7"/>
    <n v="58500"/>
    <n v="35002"/>
    <n v="14"/>
    <s v="No"/>
    <x v="0"/>
    <n v="23498"/>
  </r>
  <r>
    <n v="2510"/>
    <d v="2023-04-15T13:00:00"/>
    <x v="3"/>
    <n v="15"/>
    <x v="0"/>
    <s v="Bajaj"/>
    <x v="0"/>
    <x v="3"/>
    <n v="63148"/>
    <n v="0"/>
    <n v="175969"/>
    <n v="113329"/>
    <n v="6"/>
    <s v="Yes"/>
    <x v="0"/>
    <n v="62640"/>
  </r>
  <r>
    <n v="2511"/>
    <d v="2023-04-15T14:00:00"/>
    <x v="3"/>
    <n v="15"/>
    <x v="0"/>
    <s v="Hero"/>
    <x v="0"/>
    <x v="2"/>
    <n v="60445"/>
    <n v="8"/>
    <n v="83915"/>
    <n v="139438"/>
    <n v="13"/>
    <s v="No"/>
    <x v="0"/>
    <n v="-55523"/>
  </r>
  <r>
    <n v="2512"/>
    <d v="2023-04-15T15:00:00"/>
    <x v="3"/>
    <n v="15"/>
    <x v="0"/>
    <s v="TVS"/>
    <x v="1"/>
    <x v="2"/>
    <n v="54178"/>
    <n v="7"/>
    <n v="127760"/>
    <n v="51492"/>
    <n v="9"/>
    <s v="No"/>
    <x v="0"/>
    <n v="76268"/>
  </r>
  <r>
    <n v="2513"/>
    <d v="2023-04-15T16:00:00"/>
    <x v="3"/>
    <n v="15"/>
    <x v="0"/>
    <s v="Honda"/>
    <x v="0"/>
    <x v="2"/>
    <n v="31823"/>
    <n v="0"/>
    <n v="51897"/>
    <n v="112753"/>
    <n v="6"/>
    <s v="Yes"/>
    <x v="0"/>
    <n v="-60856"/>
  </r>
  <r>
    <n v="2514"/>
    <d v="2023-04-15T17:00:00"/>
    <x v="3"/>
    <n v="15"/>
    <x v="0"/>
    <s v="Honda"/>
    <x v="0"/>
    <x v="0"/>
    <n v="86832"/>
    <n v="9"/>
    <n v="126639"/>
    <n v="116762"/>
    <n v="3"/>
    <s v="Yes"/>
    <x v="0"/>
    <n v="9877"/>
  </r>
  <r>
    <n v="2515"/>
    <d v="2023-04-15T18:00:00"/>
    <x v="3"/>
    <n v="15"/>
    <x v="0"/>
    <s v="Bajaj"/>
    <x v="0"/>
    <x v="0"/>
    <n v="95105"/>
    <n v="8"/>
    <n v="138849"/>
    <n v="108468"/>
    <n v="1"/>
    <s v="Yes"/>
    <x v="0"/>
    <n v="30381"/>
  </r>
  <r>
    <n v="2516"/>
    <d v="2023-04-15T19:00:00"/>
    <x v="3"/>
    <n v="15"/>
    <x v="0"/>
    <s v="Honda"/>
    <x v="0"/>
    <x v="2"/>
    <n v="87863"/>
    <n v="1"/>
    <n v="136118"/>
    <n v="136281"/>
    <n v="12"/>
    <s v="No"/>
    <x v="0"/>
    <n v="-163"/>
  </r>
  <r>
    <n v="2517"/>
    <d v="2023-04-15T20:00:00"/>
    <x v="3"/>
    <n v="15"/>
    <x v="0"/>
    <s v="Bajaj"/>
    <x v="0"/>
    <x v="1"/>
    <n v="35861"/>
    <n v="2"/>
    <n v="82320"/>
    <n v="123863"/>
    <n v="12"/>
    <s v="No"/>
    <x v="0"/>
    <n v="-41543"/>
  </r>
  <r>
    <n v="2518"/>
    <d v="2023-04-15T21:00:00"/>
    <x v="3"/>
    <n v="15"/>
    <x v="0"/>
    <s v="Bajaj"/>
    <x v="0"/>
    <x v="1"/>
    <n v="10815"/>
    <n v="1"/>
    <n v="93289"/>
    <n v="45875"/>
    <n v="4"/>
    <s v="Yes"/>
    <x v="0"/>
    <n v="47414"/>
  </r>
  <r>
    <n v="2519"/>
    <d v="2023-04-15T22:00:00"/>
    <x v="3"/>
    <n v="15"/>
    <x v="0"/>
    <s v="Bajaj"/>
    <x v="0"/>
    <x v="3"/>
    <n v="48468"/>
    <n v="7"/>
    <n v="56941"/>
    <n v="40046"/>
    <n v="4"/>
    <s v="Yes"/>
    <x v="0"/>
    <n v="16895"/>
  </r>
  <r>
    <n v="2520"/>
    <d v="2023-04-15T23:00:00"/>
    <x v="3"/>
    <n v="15"/>
    <x v="0"/>
    <s v="Honda"/>
    <x v="0"/>
    <x v="1"/>
    <n v="27019"/>
    <n v="1"/>
    <n v="170306"/>
    <n v="38664"/>
    <n v="13"/>
    <s v="No"/>
    <x v="0"/>
    <n v="131642"/>
  </r>
  <r>
    <n v="2521"/>
    <d v="2023-04-16T00:00:00"/>
    <x v="3"/>
    <n v="16"/>
    <x v="0"/>
    <s v="Bajaj"/>
    <x v="0"/>
    <x v="3"/>
    <n v="9607"/>
    <n v="9"/>
    <n v="100172"/>
    <n v="39453"/>
    <n v="8"/>
    <s v="No"/>
    <x v="0"/>
    <n v="60719"/>
  </r>
  <r>
    <n v="2522"/>
    <d v="2023-04-16T01:00:00"/>
    <x v="3"/>
    <n v="16"/>
    <x v="0"/>
    <s v="Honda"/>
    <x v="0"/>
    <x v="0"/>
    <n v="56281"/>
    <n v="1"/>
    <n v="28376"/>
    <n v="19746"/>
    <n v="10"/>
    <s v="No"/>
    <x v="0"/>
    <n v="8630"/>
  </r>
  <r>
    <n v="2523"/>
    <d v="2023-04-16T02:00:00"/>
    <x v="3"/>
    <n v="16"/>
    <x v="0"/>
    <s v="Bajaj"/>
    <x v="0"/>
    <x v="0"/>
    <n v="4369"/>
    <n v="0"/>
    <n v="55783"/>
    <n v="104509"/>
    <n v="10"/>
    <s v="No"/>
    <x v="0"/>
    <n v="-48726"/>
  </r>
  <r>
    <n v="2524"/>
    <d v="2023-04-16T03:00:00"/>
    <x v="3"/>
    <n v="16"/>
    <x v="0"/>
    <s v="Yamaha"/>
    <x v="0"/>
    <x v="1"/>
    <n v="81483"/>
    <n v="6"/>
    <n v="68025"/>
    <n v="138765"/>
    <n v="14"/>
    <s v="No"/>
    <x v="0"/>
    <n v="-70740"/>
  </r>
  <r>
    <n v="2525"/>
    <d v="2023-04-16T04:00:00"/>
    <x v="3"/>
    <n v="16"/>
    <x v="0"/>
    <s v="Bajaj"/>
    <x v="0"/>
    <x v="0"/>
    <n v="27870"/>
    <n v="1"/>
    <n v="41447"/>
    <n v="28217"/>
    <n v="13"/>
    <s v="No"/>
    <x v="0"/>
    <n v="13230"/>
  </r>
  <r>
    <n v="2526"/>
    <d v="2023-04-16T05:00:00"/>
    <x v="3"/>
    <n v="16"/>
    <x v="0"/>
    <s v="Hero"/>
    <x v="1"/>
    <x v="2"/>
    <n v="63195"/>
    <n v="9"/>
    <n v="41713"/>
    <n v="78184"/>
    <n v="7"/>
    <s v="Yes"/>
    <x v="0"/>
    <n v="-36471"/>
  </r>
  <r>
    <n v="2527"/>
    <d v="2023-04-16T06:00:00"/>
    <x v="3"/>
    <n v="16"/>
    <x v="0"/>
    <s v="Bajaj"/>
    <x v="0"/>
    <x v="2"/>
    <n v="60922"/>
    <n v="4"/>
    <n v="153869"/>
    <n v="103898"/>
    <n v="10"/>
    <s v="No"/>
    <x v="0"/>
    <n v="49971"/>
  </r>
  <r>
    <n v="2528"/>
    <d v="2023-04-16T07:00:00"/>
    <x v="3"/>
    <n v="16"/>
    <x v="0"/>
    <s v="TVS"/>
    <x v="0"/>
    <x v="1"/>
    <n v="8471"/>
    <n v="4"/>
    <n v="29858"/>
    <n v="56835"/>
    <n v="7"/>
    <s v="Yes"/>
    <x v="0"/>
    <n v="-26977"/>
  </r>
  <r>
    <n v="2529"/>
    <d v="2023-04-16T08:00:00"/>
    <x v="3"/>
    <n v="16"/>
    <x v="0"/>
    <s v="Bajaj"/>
    <x v="0"/>
    <x v="1"/>
    <n v="97305"/>
    <n v="2"/>
    <n v="84834"/>
    <n v="24133"/>
    <n v="7"/>
    <s v="Yes"/>
    <x v="1"/>
    <n v="60701"/>
  </r>
  <r>
    <n v="2530"/>
    <d v="2023-04-16T09:00:00"/>
    <x v="3"/>
    <n v="16"/>
    <x v="0"/>
    <s v="Hero"/>
    <x v="0"/>
    <x v="3"/>
    <n v="26151"/>
    <n v="2"/>
    <n v="107060"/>
    <n v="116345"/>
    <n v="12"/>
    <s v="No"/>
    <x v="0"/>
    <n v="-9285"/>
  </r>
  <r>
    <n v="2531"/>
    <d v="2023-04-16T10:00:00"/>
    <x v="3"/>
    <n v="16"/>
    <x v="0"/>
    <s v="Hero"/>
    <x v="1"/>
    <x v="0"/>
    <n v="57474"/>
    <n v="2"/>
    <n v="160611"/>
    <n v="55533"/>
    <n v="2"/>
    <s v="Yes"/>
    <x v="0"/>
    <n v="105078"/>
  </r>
  <r>
    <n v="2532"/>
    <d v="2023-04-16T11:00:00"/>
    <x v="3"/>
    <n v="16"/>
    <x v="0"/>
    <s v="Honda"/>
    <x v="0"/>
    <x v="3"/>
    <n v="23946"/>
    <n v="5"/>
    <n v="174929"/>
    <n v="20404"/>
    <n v="9"/>
    <s v="No"/>
    <x v="0"/>
    <n v="154525"/>
  </r>
  <r>
    <n v="2533"/>
    <d v="2023-04-16T12:00:00"/>
    <x v="3"/>
    <n v="16"/>
    <x v="0"/>
    <s v="Yamaha"/>
    <x v="1"/>
    <x v="3"/>
    <n v="38608"/>
    <n v="3"/>
    <n v="128898"/>
    <n v="48339"/>
    <n v="6"/>
    <s v="Yes"/>
    <x v="0"/>
    <n v="80559"/>
  </r>
  <r>
    <n v="2534"/>
    <d v="2023-04-16T13:00:00"/>
    <x v="3"/>
    <n v="16"/>
    <x v="0"/>
    <s v="Bajaj"/>
    <x v="0"/>
    <x v="2"/>
    <n v="75679"/>
    <n v="2"/>
    <n v="127207"/>
    <n v="43725"/>
    <n v="2"/>
    <s v="Yes"/>
    <x v="1"/>
    <n v="83482"/>
  </r>
  <r>
    <n v="2535"/>
    <d v="2023-04-16T14:00:00"/>
    <x v="3"/>
    <n v="16"/>
    <x v="0"/>
    <s v="Honda"/>
    <x v="0"/>
    <x v="2"/>
    <n v="4323"/>
    <n v="1"/>
    <n v="161436"/>
    <n v="89332"/>
    <n v="1"/>
    <s v="Yes"/>
    <x v="0"/>
    <n v="72104"/>
  </r>
  <r>
    <n v="2536"/>
    <d v="2023-04-16T15:00:00"/>
    <x v="3"/>
    <n v="16"/>
    <x v="0"/>
    <s v="Yamaha"/>
    <x v="0"/>
    <x v="2"/>
    <n v="13954"/>
    <n v="2"/>
    <n v="111366"/>
    <n v="60380"/>
    <n v="11"/>
    <s v="No"/>
    <x v="0"/>
    <n v="50986"/>
  </r>
  <r>
    <n v="2537"/>
    <d v="2023-04-16T16:00:00"/>
    <x v="3"/>
    <n v="16"/>
    <x v="0"/>
    <s v="Bajaj"/>
    <x v="1"/>
    <x v="2"/>
    <n v="4432"/>
    <n v="3"/>
    <n v="177150"/>
    <n v="63073"/>
    <n v="1"/>
    <s v="Yes"/>
    <x v="0"/>
    <n v="114077"/>
  </r>
  <r>
    <n v="2538"/>
    <d v="2023-04-16T17:00:00"/>
    <x v="3"/>
    <n v="16"/>
    <x v="0"/>
    <s v="TVS"/>
    <x v="0"/>
    <x v="3"/>
    <n v="10720"/>
    <n v="5"/>
    <n v="25869"/>
    <n v="75873"/>
    <n v="1"/>
    <s v="Yes"/>
    <x v="0"/>
    <n v="-50004"/>
  </r>
  <r>
    <n v="2539"/>
    <d v="2023-04-16T18:00:00"/>
    <x v="3"/>
    <n v="16"/>
    <x v="0"/>
    <s v="Bajaj"/>
    <x v="0"/>
    <x v="2"/>
    <n v="74590"/>
    <n v="3"/>
    <n v="87624"/>
    <n v="101900"/>
    <n v="4"/>
    <s v="Yes"/>
    <x v="0"/>
    <n v="-14276"/>
  </r>
  <r>
    <n v="2540"/>
    <d v="2023-04-16T19:00:00"/>
    <x v="3"/>
    <n v="16"/>
    <x v="0"/>
    <s v="Hero"/>
    <x v="0"/>
    <x v="0"/>
    <n v="68465"/>
    <n v="7"/>
    <n v="118676"/>
    <n v="56341"/>
    <n v="4"/>
    <s v="Yes"/>
    <x v="1"/>
    <n v="62335"/>
  </r>
  <r>
    <n v="2541"/>
    <d v="2023-04-16T20:00:00"/>
    <x v="3"/>
    <n v="16"/>
    <x v="0"/>
    <s v="Hero"/>
    <x v="0"/>
    <x v="2"/>
    <n v="28708"/>
    <n v="2"/>
    <n v="28659"/>
    <n v="16236"/>
    <n v="14"/>
    <s v="No"/>
    <x v="0"/>
    <n v="12423"/>
  </r>
  <r>
    <n v="2542"/>
    <d v="2023-04-16T21:00:00"/>
    <x v="3"/>
    <n v="16"/>
    <x v="0"/>
    <s v="TVS"/>
    <x v="1"/>
    <x v="2"/>
    <n v="73480"/>
    <n v="2"/>
    <n v="131888"/>
    <n v="82916"/>
    <n v="12"/>
    <s v="No"/>
    <x v="0"/>
    <n v="48972"/>
  </r>
  <r>
    <n v="2543"/>
    <d v="2023-04-16T22:00:00"/>
    <x v="3"/>
    <n v="16"/>
    <x v="0"/>
    <s v="Honda"/>
    <x v="0"/>
    <x v="2"/>
    <n v="11010"/>
    <n v="2"/>
    <n v="83185"/>
    <n v="120481"/>
    <n v="9"/>
    <s v="No"/>
    <x v="0"/>
    <n v="-37296"/>
  </r>
  <r>
    <n v="2544"/>
    <d v="2023-04-16T23:00:00"/>
    <x v="3"/>
    <n v="16"/>
    <x v="0"/>
    <s v="Yamaha"/>
    <x v="0"/>
    <x v="1"/>
    <n v="44545"/>
    <n v="7"/>
    <n v="142136"/>
    <n v="29538"/>
    <n v="13"/>
    <s v="No"/>
    <x v="1"/>
    <n v="112598"/>
  </r>
  <r>
    <n v="2545"/>
    <d v="2023-04-17T00:00:00"/>
    <x v="3"/>
    <n v="16"/>
    <x v="0"/>
    <s v="Bajaj"/>
    <x v="0"/>
    <x v="0"/>
    <n v="11037"/>
    <n v="3"/>
    <n v="87758"/>
    <n v="26971"/>
    <n v="12"/>
    <s v="No"/>
    <x v="0"/>
    <n v="60787"/>
  </r>
  <r>
    <n v="2546"/>
    <d v="2023-04-17T01:00:00"/>
    <x v="3"/>
    <n v="16"/>
    <x v="0"/>
    <s v="Hero"/>
    <x v="0"/>
    <x v="0"/>
    <n v="73183"/>
    <n v="0"/>
    <n v="161203"/>
    <n v="123601"/>
    <n v="12"/>
    <s v="No"/>
    <x v="0"/>
    <n v="37602"/>
  </r>
  <r>
    <n v="2547"/>
    <d v="2023-04-17T02:00:00"/>
    <x v="3"/>
    <n v="16"/>
    <x v="0"/>
    <s v="Honda"/>
    <x v="1"/>
    <x v="3"/>
    <n v="69634"/>
    <n v="1"/>
    <n v="157430"/>
    <n v="114821"/>
    <n v="1"/>
    <s v="Yes"/>
    <x v="0"/>
    <n v="42609"/>
  </r>
  <r>
    <n v="2548"/>
    <d v="2023-04-17T03:00:00"/>
    <x v="3"/>
    <n v="16"/>
    <x v="0"/>
    <s v="TVS"/>
    <x v="0"/>
    <x v="3"/>
    <n v="72754"/>
    <n v="9"/>
    <n v="116150"/>
    <n v="98453"/>
    <n v="3"/>
    <s v="Yes"/>
    <x v="0"/>
    <n v="17697"/>
  </r>
  <r>
    <n v="2549"/>
    <d v="2023-04-17T04:00:00"/>
    <x v="3"/>
    <n v="16"/>
    <x v="0"/>
    <s v="Hero"/>
    <x v="0"/>
    <x v="2"/>
    <n v="14282"/>
    <n v="1"/>
    <n v="172318"/>
    <n v="53655"/>
    <n v="3"/>
    <s v="Yes"/>
    <x v="0"/>
    <n v="118663"/>
  </r>
  <r>
    <n v="2550"/>
    <d v="2023-04-17T05:00:00"/>
    <x v="3"/>
    <n v="16"/>
    <x v="0"/>
    <s v="TVS"/>
    <x v="1"/>
    <x v="1"/>
    <n v="66087"/>
    <n v="2"/>
    <n v="42216"/>
    <n v="92022"/>
    <n v="8"/>
    <s v="No"/>
    <x v="0"/>
    <n v="-49806"/>
  </r>
  <r>
    <n v="2551"/>
    <d v="2023-04-17T06:00:00"/>
    <x v="3"/>
    <n v="16"/>
    <x v="0"/>
    <s v="Bajaj"/>
    <x v="0"/>
    <x v="3"/>
    <n v="82738"/>
    <n v="5"/>
    <n v="66209"/>
    <n v="75784"/>
    <n v="2"/>
    <s v="Yes"/>
    <x v="0"/>
    <n v="-9575"/>
  </r>
  <r>
    <n v="2552"/>
    <d v="2023-04-17T07:00:00"/>
    <x v="3"/>
    <n v="16"/>
    <x v="0"/>
    <s v="Yamaha"/>
    <x v="0"/>
    <x v="3"/>
    <n v="76220"/>
    <n v="7"/>
    <n v="67987"/>
    <n v="137547"/>
    <n v="6"/>
    <s v="Yes"/>
    <x v="0"/>
    <n v="-69560"/>
  </r>
  <r>
    <n v="2553"/>
    <d v="2023-04-17T08:00:00"/>
    <x v="3"/>
    <n v="16"/>
    <x v="0"/>
    <s v="Hero"/>
    <x v="0"/>
    <x v="2"/>
    <n v="78504"/>
    <n v="0"/>
    <n v="133024"/>
    <n v="133177"/>
    <n v="11"/>
    <s v="No"/>
    <x v="0"/>
    <n v="-153"/>
  </r>
  <r>
    <n v="2554"/>
    <d v="2023-04-17T09:00:00"/>
    <x v="3"/>
    <n v="16"/>
    <x v="0"/>
    <s v="Hero"/>
    <x v="0"/>
    <x v="2"/>
    <n v="22572"/>
    <n v="8"/>
    <n v="176649"/>
    <n v="76289"/>
    <n v="4"/>
    <s v="Yes"/>
    <x v="0"/>
    <n v="100360"/>
  </r>
  <r>
    <n v="2555"/>
    <d v="2023-04-17T10:00:00"/>
    <x v="3"/>
    <n v="16"/>
    <x v="0"/>
    <s v="Bajaj"/>
    <x v="0"/>
    <x v="3"/>
    <n v="81515"/>
    <n v="0"/>
    <n v="67320"/>
    <n v="52410"/>
    <n v="13"/>
    <s v="No"/>
    <x v="1"/>
    <n v="14910"/>
  </r>
  <r>
    <n v="2556"/>
    <d v="2023-04-17T11:00:00"/>
    <x v="3"/>
    <n v="16"/>
    <x v="0"/>
    <s v="Honda"/>
    <x v="1"/>
    <x v="3"/>
    <n v="94503"/>
    <n v="9"/>
    <n v="36301"/>
    <n v="105982"/>
    <n v="10"/>
    <s v="No"/>
    <x v="0"/>
    <n v="-69681"/>
  </r>
  <r>
    <n v="2557"/>
    <d v="2023-04-17T12:00:00"/>
    <x v="3"/>
    <n v="16"/>
    <x v="0"/>
    <s v="Yamaha"/>
    <x v="0"/>
    <x v="0"/>
    <n v="89438"/>
    <n v="1"/>
    <n v="151560"/>
    <n v="66302"/>
    <n v="6"/>
    <s v="Yes"/>
    <x v="0"/>
    <n v="85258"/>
  </r>
  <r>
    <n v="2558"/>
    <d v="2023-04-17T13:00:00"/>
    <x v="3"/>
    <n v="16"/>
    <x v="0"/>
    <s v="Hero"/>
    <x v="0"/>
    <x v="1"/>
    <n v="73246"/>
    <n v="2"/>
    <n v="25891"/>
    <n v="36703"/>
    <n v="13"/>
    <s v="No"/>
    <x v="0"/>
    <n v="-10812"/>
  </r>
  <r>
    <n v="2559"/>
    <d v="2023-04-17T14:00:00"/>
    <x v="3"/>
    <n v="16"/>
    <x v="0"/>
    <s v="Yamaha"/>
    <x v="1"/>
    <x v="0"/>
    <n v="46202"/>
    <n v="6"/>
    <n v="178044"/>
    <n v="59191"/>
    <n v="5"/>
    <s v="Yes"/>
    <x v="1"/>
    <n v="118853"/>
  </r>
  <r>
    <n v="2560"/>
    <d v="2023-04-17T15:00:00"/>
    <x v="3"/>
    <n v="16"/>
    <x v="0"/>
    <s v="Hero"/>
    <x v="0"/>
    <x v="3"/>
    <n v="6557"/>
    <n v="8"/>
    <n v="75457"/>
    <n v="133454"/>
    <n v="12"/>
    <s v="No"/>
    <x v="0"/>
    <n v="-57997"/>
  </r>
  <r>
    <n v="2561"/>
    <d v="2023-04-17T16:00:00"/>
    <x v="3"/>
    <n v="16"/>
    <x v="0"/>
    <s v="Yamaha"/>
    <x v="0"/>
    <x v="0"/>
    <n v="31416"/>
    <n v="2"/>
    <n v="138389"/>
    <n v="69112"/>
    <n v="9"/>
    <s v="No"/>
    <x v="0"/>
    <n v="69277"/>
  </r>
  <r>
    <n v="2562"/>
    <d v="2023-04-17T17:00:00"/>
    <x v="3"/>
    <n v="16"/>
    <x v="0"/>
    <s v="TVS"/>
    <x v="0"/>
    <x v="0"/>
    <n v="27768"/>
    <n v="7"/>
    <n v="45932"/>
    <n v="26399"/>
    <n v="9"/>
    <s v="No"/>
    <x v="0"/>
    <n v="19533"/>
  </r>
  <r>
    <n v="2563"/>
    <d v="2023-04-17T18:00:00"/>
    <x v="3"/>
    <n v="16"/>
    <x v="0"/>
    <s v="Hero"/>
    <x v="1"/>
    <x v="3"/>
    <n v="44478"/>
    <n v="8"/>
    <n v="29192"/>
    <n v="119365"/>
    <n v="1"/>
    <s v="Yes"/>
    <x v="0"/>
    <n v="-90173"/>
  </r>
  <r>
    <n v="2564"/>
    <d v="2023-04-17T19:00:00"/>
    <x v="3"/>
    <n v="16"/>
    <x v="0"/>
    <s v="Yamaha"/>
    <x v="0"/>
    <x v="2"/>
    <n v="23759"/>
    <n v="9"/>
    <n v="41128"/>
    <n v="27685"/>
    <n v="3"/>
    <s v="Yes"/>
    <x v="0"/>
    <n v="13443"/>
  </r>
  <r>
    <n v="2565"/>
    <d v="2023-04-17T20:00:00"/>
    <x v="3"/>
    <n v="16"/>
    <x v="0"/>
    <s v="Honda"/>
    <x v="0"/>
    <x v="3"/>
    <n v="54083"/>
    <n v="6"/>
    <n v="47836"/>
    <n v="102777"/>
    <n v="1"/>
    <s v="Yes"/>
    <x v="1"/>
    <n v="-54941"/>
  </r>
  <r>
    <n v="2566"/>
    <d v="2023-04-17T21:00:00"/>
    <x v="3"/>
    <n v="16"/>
    <x v="0"/>
    <s v="TVS"/>
    <x v="0"/>
    <x v="2"/>
    <n v="79900"/>
    <n v="3"/>
    <n v="49837"/>
    <n v="19487"/>
    <n v="6"/>
    <s v="Yes"/>
    <x v="0"/>
    <n v="30350"/>
  </r>
  <r>
    <n v="2567"/>
    <d v="2023-04-17T22:00:00"/>
    <x v="3"/>
    <n v="16"/>
    <x v="0"/>
    <s v="TVS"/>
    <x v="0"/>
    <x v="3"/>
    <n v="34793"/>
    <n v="3"/>
    <n v="142028"/>
    <n v="27018"/>
    <n v="12"/>
    <s v="No"/>
    <x v="0"/>
    <n v="115010"/>
  </r>
  <r>
    <n v="2568"/>
    <d v="2023-04-17T23:00:00"/>
    <x v="3"/>
    <n v="16"/>
    <x v="0"/>
    <s v="Honda"/>
    <x v="0"/>
    <x v="3"/>
    <n v="7543"/>
    <n v="3"/>
    <n v="141481"/>
    <n v="45825"/>
    <n v="3"/>
    <s v="Yes"/>
    <x v="0"/>
    <n v="95656"/>
  </r>
  <r>
    <n v="2569"/>
    <d v="2023-04-18T00:00:00"/>
    <x v="3"/>
    <n v="16"/>
    <x v="0"/>
    <s v="Yamaha"/>
    <x v="0"/>
    <x v="3"/>
    <n v="50930"/>
    <n v="5"/>
    <n v="150176"/>
    <n v="22750"/>
    <n v="14"/>
    <s v="No"/>
    <x v="0"/>
    <n v="127426"/>
  </r>
  <r>
    <n v="2570"/>
    <d v="2023-04-18T01:00:00"/>
    <x v="3"/>
    <n v="16"/>
    <x v="0"/>
    <s v="Bajaj"/>
    <x v="0"/>
    <x v="1"/>
    <n v="39393"/>
    <n v="3"/>
    <n v="150172"/>
    <n v="73956"/>
    <n v="1"/>
    <s v="Yes"/>
    <x v="0"/>
    <n v="76216"/>
  </r>
  <r>
    <n v="2571"/>
    <d v="2023-04-18T02:00:00"/>
    <x v="3"/>
    <n v="16"/>
    <x v="0"/>
    <s v="Honda"/>
    <x v="0"/>
    <x v="2"/>
    <n v="41142"/>
    <n v="4"/>
    <n v="47778"/>
    <n v="65229"/>
    <n v="6"/>
    <s v="Yes"/>
    <x v="0"/>
    <n v="-17451"/>
  </r>
  <r>
    <n v="2572"/>
    <d v="2023-04-18T03:00:00"/>
    <x v="3"/>
    <n v="16"/>
    <x v="0"/>
    <s v="Yamaha"/>
    <x v="1"/>
    <x v="1"/>
    <n v="78565"/>
    <n v="8"/>
    <n v="68130"/>
    <n v="98220"/>
    <n v="5"/>
    <s v="Yes"/>
    <x v="0"/>
    <n v="-30090"/>
  </r>
  <r>
    <n v="2573"/>
    <d v="2023-04-18T04:00:00"/>
    <x v="3"/>
    <n v="16"/>
    <x v="0"/>
    <s v="Honda"/>
    <x v="0"/>
    <x v="3"/>
    <n v="31368"/>
    <n v="6"/>
    <n v="41708"/>
    <n v="58118"/>
    <n v="12"/>
    <s v="No"/>
    <x v="1"/>
    <n v="-16410"/>
  </r>
  <r>
    <n v="2574"/>
    <d v="2023-04-18T05:00:00"/>
    <x v="3"/>
    <n v="16"/>
    <x v="0"/>
    <s v="Honda"/>
    <x v="0"/>
    <x v="0"/>
    <n v="26809"/>
    <n v="7"/>
    <n v="132481"/>
    <n v="74615"/>
    <n v="12"/>
    <s v="No"/>
    <x v="0"/>
    <n v="57866"/>
  </r>
  <r>
    <n v="2575"/>
    <d v="2023-04-18T06:00:00"/>
    <x v="3"/>
    <n v="16"/>
    <x v="0"/>
    <s v="Hero"/>
    <x v="0"/>
    <x v="1"/>
    <n v="23784"/>
    <n v="4"/>
    <n v="29782"/>
    <n v="94946"/>
    <n v="8"/>
    <s v="No"/>
    <x v="0"/>
    <n v="-65164"/>
  </r>
  <r>
    <n v="2576"/>
    <d v="2023-04-18T07:00:00"/>
    <x v="3"/>
    <n v="16"/>
    <x v="0"/>
    <s v="Yamaha"/>
    <x v="0"/>
    <x v="2"/>
    <n v="69500"/>
    <n v="4"/>
    <n v="35052"/>
    <n v="136337"/>
    <n v="14"/>
    <s v="No"/>
    <x v="0"/>
    <n v="-101285"/>
  </r>
  <r>
    <n v="2577"/>
    <d v="2023-04-18T08:00:00"/>
    <x v="3"/>
    <n v="16"/>
    <x v="0"/>
    <s v="Bajaj"/>
    <x v="0"/>
    <x v="3"/>
    <n v="84679"/>
    <n v="6"/>
    <n v="44521"/>
    <n v="136869"/>
    <n v="2"/>
    <s v="Yes"/>
    <x v="0"/>
    <n v="-92348"/>
  </r>
  <r>
    <n v="2578"/>
    <d v="2023-04-18T09:00:00"/>
    <x v="3"/>
    <n v="16"/>
    <x v="0"/>
    <s v="Hero"/>
    <x v="0"/>
    <x v="1"/>
    <n v="62607"/>
    <n v="7"/>
    <n v="94690"/>
    <n v="72290"/>
    <n v="8"/>
    <s v="No"/>
    <x v="0"/>
    <n v="22400"/>
  </r>
  <r>
    <n v="2579"/>
    <d v="2023-04-18T10:00:00"/>
    <x v="3"/>
    <n v="16"/>
    <x v="0"/>
    <s v="Honda"/>
    <x v="0"/>
    <x v="0"/>
    <n v="65549"/>
    <n v="8"/>
    <n v="60546"/>
    <n v="30105"/>
    <n v="12"/>
    <s v="No"/>
    <x v="0"/>
    <n v="30441"/>
  </r>
  <r>
    <n v="2580"/>
    <d v="2023-04-18T11:00:00"/>
    <x v="3"/>
    <n v="16"/>
    <x v="0"/>
    <s v="Honda"/>
    <x v="0"/>
    <x v="1"/>
    <n v="29765"/>
    <n v="1"/>
    <n v="129713"/>
    <n v="33913"/>
    <n v="5"/>
    <s v="Yes"/>
    <x v="1"/>
    <n v="95800"/>
  </r>
  <r>
    <n v="2581"/>
    <d v="2023-04-18T12:00:00"/>
    <x v="3"/>
    <n v="16"/>
    <x v="0"/>
    <s v="Honda"/>
    <x v="0"/>
    <x v="2"/>
    <n v="81990"/>
    <n v="2"/>
    <n v="127617"/>
    <n v="116564"/>
    <n v="8"/>
    <s v="No"/>
    <x v="0"/>
    <n v="11053"/>
  </r>
  <r>
    <n v="2582"/>
    <d v="2023-04-18T13:00:00"/>
    <x v="3"/>
    <n v="16"/>
    <x v="0"/>
    <s v="Yamaha"/>
    <x v="0"/>
    <x v="1"/>
    <n v="24380"/>
    <n v="1"/>
    <n v="47030"/>
    <n v="64515"/>
    <n v="12"/>
    <s v="No"/>
    <x v="0"/>
    <n v="-17485"/>
  </r>
  <r>
    <n v="2583"/>
    <d v="2023-04-18T14:00:00"/>
    <x v="3"/>
    <n v="16"/>
    <x v="0"/>
    <s v="Yamaha"/>
    <x v="0"/>
    <x v="0"/>
    <n v="85079"/>
    <n v="9"/>
    <n v="114831"/>
    <n v="62342"/>
    <n v="10"/>
    <s v="No"/>
    <x v="0"/>
    <n v="52489"/>
  </r>
  <r>
    <n v="2584"/>
    <d v="2023-04-18T15:00:00"/>
    <x v="3"/>
    <n v="16"/>
    <x v="0"/>
    <s v="Hero"/>
    <x v="0"/>
    <x v="0"/>
    <n v="755"/>
    <n v="6"/>
    <n v="102400"/>
    <n v="127016"/>
    <n v="4"/>
    <s v="Yes"/>
    <x v="0"/>
    <n v="-24616"/>
  </r>
  <r>
    <n v="2585"/>
    <d v="2023-04-18T16:00:00"/>
    <x v="3"/>
    <n v="16"/>
    <x v="0"/>
    <s v="Bajaj"/>
    <x v="0"/>
    <x v="2"/>
    <n v="2002"/>
    <n v="1"/>
    <n v="43055"/>
    <n v="130533"/>
    <n v="4"/>
    <s v="Yes"/>
    <x v="0"/>
    <n v="-87478"/>
  </r>
  <r>
    <n v="2586"/>
    <d v="2023-04-18T17:00:00"/>
    <x v="3"/>
    <n v="16"/>
    <x v="0"/>
    <s v="Hero"/>
    <x v="0"/>
    <x v="0"/>
    <n v="70692"/>
    <n v="1"/>
    <n v="99861"/>
    <n v="67184"/>
    <n v="10"/>
    <s v="No"/>
    <x v="0"/>
    <n v="32677"/>
  </r>
  <r>
    <n v="2587"/>
    <d v="2023-04-18T18:00:00"/>
    <x v="3"/>
    <n v="16"/>
    <x v="0"/>
    <s v="TVS"/>
    <x v="0"/>
    <x v="3"/>
    <n v="65924"/>
    <n v="1"/>
    <n v="146184"/>
    <n v="98247"/>
    <n v="4"/>
    <s v="Yes"/>
    <x v="0"/>
    <n v="47937"/>
  </r>
  <r>
    <n v="2588"/>
    <d v="2023-04-18T19:00:00"/>
    <x v="3"/>
    <n v="16"/>
    <x v="0"/>
    <s v="Honda"/>
    <x v="0"/>
    <x v="0"/>
    <n v="76338"/>
    <n v="3"/>
    <n v="141524"/>
    <n v="75506"/>
    <n v="14"/>
    <s v="No"/>
    <x v="0"/>
    <n v="66018"/>
  </r>
  <r>
    <n v="2589"/>
    <d v="2023-04-18T20:00:00"/>
    <x v="3"/>
    <n v="16"/>
    <x v="0"/>
    <s v="Honda"/>
    <x v="0"/>
    <x v="3"/>
    <n v="71466"/>
    <n v="0"/>
    <n v="141826"/>
    <n v="39967"/>
    <n v="11"/>
    <s v="No"/>
    <x v="0"/>
    <n v="101859"/>
  </r>
  <r>
    <n v="2590"/>
    <d v="2023-04-18T21:00:00"/>
    <x v="3"/>
    <n v="16"/>
    <x v="0"/>
    <s v="Honda"/>
    <x v="0"/>
    <x v="1"/>
    <n v="41866"/>
    <n v="1"/>
    <n v="61775"/>
    <n v="51023"/>
    <n v="6"/>
    <s v="Yes"/>
    <x v="0"/>
    <n v="10752"/>
  </r>
  <r>
    <n v="2591"/>
    <d v="2023-04-18T22:00:00"/>
    <x v="3"/>
    <n v="16"/>
    <x v="0"/>
    <s v="Hero"/>
    <x v="0"/>
    <x v="3"/>
    <n v="27925"/>
    <n v="2"/>
    <n v="110909"/>
    <n v="69288"/>
    <n v="4"/>
    <s v="Yes"/>
    <x v="0"/>
    <n v="41621"/>
  </r>
  <r>
    <n v="2592"/>
    <d v="2023-04-18T23:00:00"/>
    <x v="3"/>
    <n v="16"/>
    <x v="0"/>
    <s v="Hero"/>
    <x v="0"/>
    <x v="3"/>
    <n v="52828"/>
    <n v="6"/>
    <n v="61253"/>
    <n v="136796"/>
    <n v="9"/>
    <s v="No"/>
    <x v="0"/>
    <n v="-75543"/>
  </r>
  <r>
    <n v="2593"/>
    <d v="2023-04-19T00:00:00"/>
    <x v="3"/>
    <n v="16"/>
    <x v="0"/>
    <s v="Honda"/>
    <x v="1"/>
    <x v="1"/>
    <n v="67896"/>
    <n v="9"/>
    <n v="76884"/>
    <n v="139939"/>
    <n v="9"/>
    <s v="No"/>
    <x v="0"/>
    <n v="-63055"/>
  </r>
  <r>
    <n v="2594"/>
    <d v="2023-04-19T01:00:00"/>
    <x v="3"/>
    <n v="16"/>
    <x v="0"/>
    <s v="Hero"/>
    <x v="0"/>
    <x v="0"/>
    <n v="72194"/>
    <n v="0"/>
    <n v="101497"/>
    <n v="116541"/>
    <n v="3"/>
    <s v="Yes"/>
    <x v="0"/>
    <n v="-15044"/>
  </r>
  <r>
    <n v="2595"/>
    <d v="2023-04-19T02:00:00"/>
    <x v="3"/>
    <n v="16"/>
    <x v="0"/>
    <s v="Yamaha"/>
    <x v="1"/>
    <x v="3"/>
    <n v="6306"/>
    <n v="5"/>
    <n v="42705"/>
    <n v="41622"/>
    <n v="7"/>
    <s v="Yes"/>
    <x v="0"/>
    <n v="1083"/>
  </r>
  <r>
    <n v="2596"/>
    <d v="2023-04-19T03:00:00"/>
    <x v="3"/>
    <n v="16"/>
    <x v="0"/>
    <s v="Yamaha"/>
    <x v="0"/>
    <x v="0"/>
    <n v="86774"/>
    <n v="2"/>
    <n v="116640"/>
    <n v="60201"/>
    <n v="12"/>
    <s v="No"/>
    <x v="0"/>
    <n v="56439"/>
  </r>
  <r>
    <n v="2597"/>
    <d v="2023-04-19T04:00:00"/>
    <x v="3"/>
    <n v="16"/>
    <x v="0"/>
    <s v="Hero"/>
    <x v="0"/>
    <x v="1"/>
    <n v="17606"/>
    <n v="2"/>
    <n v="32101"/>
    <n v="90033"/>
    <n v="5"/>
    <s v="Yes"/>
    <x v="0"/>
    <n v="-57932"/>
  </r>
  <r>
    <n v="2598"/>
    <d v="2023-04-19T05:00:00"/>
    <x v="3"/>
    <n v="16"/>
    <x v="0"/>
    <s v="Honda"/>
    <x v="1"/>
    <x v="2"/>
    <n v="57231"/>
    <n v="3"/>
    <n v="87495"/>
    <n v="31350"/>
    <n v="12"/>
    <s v="No"/>
    <x v="0"/>
    <n v="56145"/>
  </r>
  <r>
    <n v="2599"/>
    <d v="2023-04-19T06:00:00"/>
    <x v="3"/>
    <n v="16"/>
    <x v="0"/>
    <s v="Hero"/>
    <x v="0"/>
    <x v="0"/>
    <n v="75510"/>
    <n v="3"/>
    <n v="160815"/>
    <n v="69820"/>
    <n v="9"/>
    <s v="No"/>
    <x v="0"/>
    <n v="90995"/>
  </r>
  <r>
    <n v="2600"/>
    <d v="2023-04-19T07:00:00"/>
    <x v="3"/>
    <n v="16"/>
    <x v="0"/>
    <s v="Hero"/>
    <x v="0"/>
    <x v="0"/>
    <n v="83033"/>
    <n v="6"/>
    <n v="33951"/>
    <n v="63709"/>
    <n v="2"/>
    <s v="Yes"/>
    <x v="0"/>
    <n v="-29758"/>
  </r>
  <r>
    <n v="2601"/>
    <d v="2023-04-19T08:00:00"/>
    <x v="3"/>
    <n v="16"/>
    <x v="0"/>
    <s v="Hero"/>
    <x v="0"/>
    <x v="2"/>
    <n v="33099"/>
    <n v="2"/>
    <n v="163086"/>
    <n v="103232"/>
    <n v="3"/>
    <s v="Yes"/>
    <x v="0"/>
    <n v="59854"/>
  </r>
  <r>
    <n v="2602"/>
    <d v="2023-04-19T09:00:00"/>
    <x v="3"/>
    <n v="16"/>
    <x v="0"/>
    <s v="TVS"/>
    <x v="0"/>
    <x v="2"/>
    <n v="71826"/>
    <n v="7"/>
    <n v="61180"/>
    <n v="42470"/>
    <n v="10"/>
    <s v="No"/>
    <x v="0"/>
    <n v="18710"/>
  </r>
  <r>
    <n v="2603"/>
    <d v="2023-04-19T10:00:00"/>
    <x v="3"/>
    <n v="16"/>
    <x v="0"/>
    <s v="Yamaha"/>
    <x v="0"/>
    <x v="1"/>
    <n v="76206"/>
    <n v="7"/>
    <n v="81977"/>
    <n v="45889"/>
    <n v="5"/>
    <s v="Yes"/>
    <x v="0"/>
    <n v="36088"/>
  </r>
  <r>
    <n v="2604"/>
    <d v="2023-04-19T11:00:00"/>
    <x v="3"/>
    <n v="16"/>
    <x v="0"/>
    <s v="Bajaj"/>
    <x v="0"/>
    <x v="0"/>
    <n v="9504"/>
    <n v="6"/>
    <n v="88209"/>
    <n v="25224"/>
    <n v="12"/>
    <s v="No"/>
    <x v="0"/>
    <n v="62985"/>
  </r>
  <r>
    <n v="2605"/>
    <d v="2023-04-19T12:00:00"/>
    <x v="3"/>
    <n v="16"/>
    <x v="0"/>
    <s v="Bajaj"/>
    <x v="0"/>
    <x v="0"/>
    <n v="51864"/>
    <n v="1"/>
    <n v="133575"/>
    <n v="122260"/>
    <n v="5"/>
    <s v="Yes"/>
    <x v="0"/>
    <n v="11315"/>
  </r>
  <r>
    <n v="2606"/>
    <d v="2023-04-19T13:00:00"/>
    <x v="3"/>
    <n v="16"/>
    <x v="0"/>
    <s v="TVS"/>
    <x v="0"/>
    <x v="1"/>
    <n v="26292"/>
    <n v="4"/>
    <n v="75918"/>
    <n v="20465"/>
    <n v="10"/>
    <s v="No"/>
    <x v="0"/>
    <n v="55453"/>
  </r>
  <r>
    <n v="2607"/>
    <d v="2023-04-19T14:00:00"/>
    <x v="3"/>
    <n v="16"/>
    <x v="0"/>
    <s v="Hero"/>
    <x v="1"/>
    <x v="0"/>
    <n v="96252"/>
    <n v="5"/>
    <n v="164291"/>
    <n v="97418"/>
    <n v="12"/>
    <s v="No"/>
    <x v="0"/>
    <n v="66873"/>
  </r>
  <r>
    <n v="2608"/>
    <d v="2023-04-19T15:00:00"/>
    <x v="3"/>
    <n v="16"/>
    <x v="0"/>
    <s v="TVS"/>
    <x v="0"/>
    <x v="3"/>
    <n v="65412"/>
    <n v="9"/>
    <n v="163235"/>
    <n v="112739"/>
    <n v="14"/>
    <s v="No"/>
    <x v="0"/>
    <n v="50496"/>
  </r>
  <r>
    <n v="2609"/>
    <d v="2023-04-19T16:00:00"/>
    <x v="3"/>
    <n v="16"/>
    <x v="0"/>
    <s v="TVS"/>
    <x v="0"/>
    <x v="3"/>
    <n v="55145"/>
    <n v="3"/>
    <n v="158542"/>
    <n v="108480"/>
    <n v="14"/>
    <s v="No"/>
    <x v="0"/>
    <n v="50062"/>
  </r>
  <r>
    <n v="2610"/>
    <d v="2023-04-19T17:00:00"/>
    <x v="3"/>
    <n v="16"/>
    <x v="0"/>
    <s v="Honda"/>
    <x v="0"/>
    <x v="3"/>
    <n v="7732"/>
    <n v="9"/>
    <n v="172615"/>
    <n v="70214"/>
    <n v="7"/>
    <s v="Yes"/>
    <x v="0"/>
    <n v="102401"/>
  </r>
  <r>
    <n v="2611"/>
    <d v="2023-04-19T18:00:00"/>
    <x v="3"/>
    <n v="16"/>
    <x v="0"/>
    <s v="Yamaha"/>
    <x v="0"/>
    <x v="0"/>
    <n v="78710"/>
    <n v="4"/>
    <n v="175348"/>
    <n v="110373"/>
    <n v="13"/>
    <s v="No"/>
    <x v="0"/>
    <n v="64975"/>
  </r>
  <r>
    <n v="2612"/>
    <d v="2023-04-19T19:00:00"/>
    <x v="3"/>
    <n v="16"/>
    <x v="0"/>
    <s v="Bajaj"/>
    <x v="0"/>
    <x v="3"/>
    <n v="55266"/>
    <n v="8"/>
    <n v="145014"/>
    <n v="17944"/>
    <n v="14"/>
    <s v="No"/>
    <x v="1"/>
    <n v="127070"/>
  </r>
  <r>
    <n v="2613"/>
    <d v="2023-04-19T20:00:00"/>
    <x v="3"/>
    <n v="16"/>
    <x v="0"/>
    <s v="Hero"/>
    <x v="0"/>
    <x v="3"/>
    <n v="82088"/>
    <n v="6"/>
    <n v="103950"/>
    <n v="39336"/>
    <n v="8"/>
    <s v="No"/>
    <x v="0"/>
    <n v="64614"/>
  </r>
  <r>
    <n v="2614"/>
    <d v="2023-04-19T21:00:00"/>
    <x v="3"/>
    <n v="16"/>
    <x v="0"/>
    <s v="Bajaj"/>
    <x v="0"/>
    <x v="1"/>
    <n v="49042"/>
    <n v="1"/>
    <n v="32749"/>
    <n v="53624"/>
    <n v="8"/>
    <s v="No"/>
    <x v="0"/>
    <n v="-20875"/>
  </r>
  <r>
    <n v="2615"/>
    <d v="2023-04-19T22:00:00"/>
    <x v="3"/>
    <n v="16"/>
    <x v="0"/>
    <s v="Bajaj"/>
    <x v="0"/>
    <x v="1"/>
    <n v="6413"/>
    <n v="0"/>
    <n v="49182"/>
    <n v="80206"/>
    <n v="14"/>
    <s v="No"/>
    <x v="0"/>
    <n v="-31024"/>
  </r>
  <r>
    <n v="2616"/>
    <d v="2023-04-19T23:00:00"/>
    <x v="3"/>
    <n v="16"/>
    <x v="0"/>
    <s v="Yamaha"/>
    <x v="0"/>
    <x v="2"/>
    <n v="93949"/>
    <n v="1"/>
    <n v="102450"/>
    <n v="59764"/>
    <n v="1"/>
    <s v="Yes"/>
    <x v="0"/>
    <n v="42686"/>
  </r>
  <r>
    <n v="2617"/>
    <d v="2023-04-20T00:00:00"/>
    <x v="3"/>
    <n v="16"/>
    <x v="0"/>
    <s v="Bajaj"/>
    <x v="1"/>
    <x v="2"/>
    <n v="11067"/>
    <n v="2"/>
    <n v="105543"/>
    <n v="112332"/>
    <n v="14"/>
    <s v="No"/>
    <x v="1"/>
    <n v="-6789"/>
  </r>
  <r>
    <n v="2618"/>
    <d v="2023-04-20T01:00:00"/>
    <x v="3"/>
    <n v="16"/>
    <x v="0"/>
    <s v="Bajaj"/>
    <x v="0"/>
    <x v="2"/>
    <n v="38879"/>
    <n v="1"/>
    <n v="121487"/>
    <n v="109325"/>
    <n v="1"/>
    <s v="Yes"/>
    <x v="1"/>
    <n v="12162"/>
  </r>
  <r>
    <n v="2619"/>
    <d v="2023-04-20T02:00:00"/>
    <x v="3"/>
    <n v="16"/>
    <x v="0"/>
    <s v="TVS"/>
    <x v="0"/>
    <x v="2"/>
    <n v="75468"/>
    <n v="2"/>
    <n v="135227"/>
    <n v="60420"/>
    <n v="3"/>
    <s v="Yes"/>
    <x v="0"/>
    <n v="74807"/>
  </r>
  <r>
    <n v="2620"/>
    <d v="2023-04-20T03:00:00"/>
    <x v="3"/>
    <n v="16"/>
    <x v="0"/>
    <s v="Yamaha"/>
    <x v="0"/>
    <x v="1"/>
    <n v="819"/>
    <n v="9"/>
    <n v="177455"/>
    <n v="104758"/>
    <n v="1"/>
    <s v="Yes"/>
    <x v="1"/>
    <n v="72697"/>
  </r>
  <r>
    <n v="2621"/>
    <d v="2023-04-20T04:00:00"/>
    <x v="3"/>
    <n v="16"/>
    <x v="0"/>
    <s v="Honda"/>
    <x v="0"/>
    <x v="1"/>
    <n v="90505"/>
    <n v="8"/>
    <n v="103578"/>
    <n v="119381"/>
    <n v="1"/>
    <s v="Yes"/>
    <x v="1"/>
    <n v="-15803"/>
  </r>
  <r>
    <n v="2622"/>
    <d v="2023-04-20T05:00:00"/>
    <x v="3"/>
    <n v="16"/>
    <x v="0"/>
    <s v="Hero"/>
    <x v="1"/>
    <x v="1"/>
    <n v="92526"/>
    <n v="3"/>
    <n v="141258"/>
    <n v="80671"/>
    <n v="10"/>
    <s v="No"/>
    <x v="0"/>
    <n v="60587"/>
  </r>
  <r>
    <n v="2623"/>
    <d v="2023-04-20T06:00:00"/>
    <x v="3"/>
    <n v="16"/>
    <x v="0"/>
    <s v="Bajaj"/>
    <x v="0"/>
    <x v="3"/>
    <n v="86620"/>
    <n v="8"/>
    <n v="38181"/>
    <n v="30773"/>
    <n v="8"/>
    <s v="No"/>
    <x v="1"/>
    <n v="7408"/>
  </r>
  <r>
    <n v="2624"/>
    <d v="2023-04-20T07:00:00"/>
    <x v="3"/>
    <n v="16"/>
    <x v="0"/>
    <s v="Hero"/>
    <x v="0"/>
    <x v="3"/>
    <n v="5291"/>
    <n v="2"/>
    <n v="69898"/>
    <n v="122596"/>
    <n v="1"/>
    <s v="Yes"/>
    <x v="0"/>
    <n v="-52698"/>
  </r>
  <r>
    <n v="2625"/>
    <d v="2023-04-20T08:00:00"/>
    <x v="3"/>
    <n v="16"/>
    <x v="0"/>
    <s v="Honda"/>
    <x v="0"/>
    <x v="2"/>
    <n v="97772"/>
    <n v="0"/>
    <n v="28405"/>
    <n v="41447"/>
    <n v="9"/>
    <s v="No"/>
    <x v="0"/>
    <n v="-13042"/>
  </r>
  <r>
    <n v="2626"/>
    <d v="2023-04-20T09:00:00"/>
    <x v="3"/>
    <n v="16"/>
    <x v="0"/>
    <s v="Hero"/>
    <x v="0"/>
    <x v="3"/>
    <n v="829"/>
    <n v="4"/>
    <n v="35862"/>
    <n v="19033"/>
    <n v="2"/>
    <s v="Yes"/>
    <x v="0"/>
    <n v="16829"/>
  </r>
  <r>
    <n v="2627"/>
    <d v="2023-04-20T10:00:00"/>
    <x v="3"/>
    <n v="16"/>
    <x v="0"/>
    <s v="Honda"/>
    <x v="0"/>
    <x v="0"/>
    <n v="74887"/>
    <n v="9"/>
    <n v="53688"/>
    <n v="70852"/>
    <n v="9"/>
    <s v="No"/>
    <x v="0"/>
    <n v="-17164"/>
  </r>
  <r>
    <n v="2628"/>
    <d v="2023-04-20T11:00:00"/>
    <x v="3"/>
    <n v="16"/>
    <x v="0"/>
    <s v="TVS"/>
    <x v="0"/>
    <x v="1"/>
    <n v="61532"/>
    <n v="9"/>
    <n v="73017"/>
    <n v="35497"/>
    <n v="14"/>
    <s v="No"/>
    <x v="0"/>
    <n v="37520"/>
  </r>
  <r>
    <n v="2629"/>
    <d v="2023-04-20T12:00:00"/>
    <x v="3"/>
    <n v="16"/>
    <x v="0"/>
    <s v="Bajaj"/>
    <x v="1"/>
    <x v="2"/>
    <n v="44578"/>
    <n v="1"/>
    <n v="37939"/>
    <n v="94714"/>
    <n v="7"/>
    <s v="Yes"/>
    <x v="0"/>
    <n v="-56775"/>
  </r>
  <r>
    <n v="2630"/>
    <d v="2023-04-20T13:00:00"/>
    <x v="3"/>
    <n v="16"/>
    <x v="0"/>
    <s v="Honda"/>
    <x v="0"/>
    <x v="2"/>
    <n v="89162"/>
    <n v="3"/>
    <n v="129152"/>
    <n v="87082"/>
    <n v="9"/>
    <s v="No"/>
    <x v="0"/>
    <n v="42070"/>
  </r>
  <r>
    <n v="2631"/>
    <d v="2023-04-20T14:00:00"/>
    <x v="3"/>
    <n v="16"/>
    <x v="0"/>
    <s v="Hero"/>
    <x v="1"/>
    <x v="0"/>
    <n v="21800"/>
    <n v="1"/>
    <n v="64585"/>
    <n v="88932"/>
    <n v="3"/>
    <s v="Yes"/>
    <x v="0"/>
    <n v="-24347"/>
  </r>
  <r>
    <n v="2632"/>
    <d v="2023-04-20T15:00:00"/>
    <x v="3"/>
    <n v="16"/>
    <x v="0"/>
    <s v="Bajaj"/>
    <x v="0"/>
    <x v="3"/>
    <n v="76200"/>
    <n v="1"/>
    <n v="141315"/>
    <n v="35978"/>
    <n v="1"/>
    <s v="Yes"/>
    <x v="0"/>
    <n v="105337"/>
  </r>
  <r>
    <n v="2633"/>
    <d v="2023-04-20T16:00:00"/>
    <x v="3"/>
    <n v="16"/>
    <x v="0"/>
    <s v="TVS"/>
    <x v="0"/>
    <x v="2"/>
    <n v="51445"/>
    <n v="2"/>
    <n v="129447"/>
    <n v="123867"/>
    <n v="1"/>
    <s v="Yes"/>
    <x v="0"/>
    <n v="5580"/>
  </r>
  <r>
    <n v="2634"/>
    <d v="2023-04-20T17:00:00"/>
    <x v="3"/>
    <n v="16"/>
    <x v="0"/>
    <s v="Bajaj"/>
    <x v="0"/>
    <x v="3"/>
    <n v="56109"/>
    <n v="4"/>
    <n v="179014"/>
    <n v="27882"/>
    <n v="11"/>
    <s v="No"/>
    <x v="0"/>
    <n v="151132"/>
  </r>
  <r>
    <n v="2635"/>
    <d v="2023-04-20T18:00:00"/>
    <x v="3"/>
    <n v="16"/>
    <x v="0"/>
    <s v="Honda"/>
    <x v="0"/>
    <x v="3"/>
    <n v="61062"/>
    <n v="3"/>
    <n v="161344"/>
    <n v="31945"/>
    <n v="10"/>
    <s v="No"/>
    <x v="0"/>
    <n v="129399"/>
  </r>
  <r>
    <n v="2636"/>
    <d v="2023-04-20T19:00:00"/>
    <x v="3"/>
    <n v="16"/>
    <x v="0"/>
    <s v="TVS"/>
    <x v="0"/>
    <x v="0"/>
    <n v="90545"/>
    <n v="1"/>
    <n v="106560"/>
    <n v="102320"/>
    <n v="6"/>
    <s v="Yes"/>
    <x v="0"/>
    <n v="4240"/>
  </r>
  <r>
    <n v="2637"/>
    <d v="2023-04-20T20:00:00"/>
    <x v="3"/>
    <n v="16"/>
    <x v="0"/>
    <s v="Hero"/>
    <x v="0"/>
    <x v="2"/>
    <n v="62401"/>
    <n v="9"/>
    <n v="122435"/>
    <n v="71485"/>
    <n v="7"/>
    <s v="Yes"/>
    <x v="0"/>
    <n v="50950"/>
  </r>
  <r>
    <n v="2638"/>
    <d v="2023-04-20T21:00:00"/>
    <x v="3"/>
    <n v="16"/>
    <x v="0"/>
    <s v="TVS"/>
    <x v="0"/>
    <x v="3"/>
    <n v="6203"/>
    <n v="1"/>
    <n v="94283"/>
    <n v="83850"/>
    <n v="9"/>
    <s v="No"/>
    <x v="0"/>
    <n v="10433"/>
  </r>
  <r>
    <n v="2639"/>
    <d v="2023-04-20T22:00:00"/>
    <x v="3"/>
    <n v="16"/>
    <x v="0"/>
    <s v="TVS"/>
    <x v="0"/>
    <x v="3"/>
    <n v="93145"/>
    <n v="5"/>
    <n v="34297"/>
    <n v="133648"/>
    <n v="6"/>
    <s v="Yes"/>
    <x v="0"/>
    <n v="-99351"/>
  </r>
  <r>
    <n v="2640"/>
    <d v="2023-04-20T23:00:00"/>
    <x v="3"/>
    <n v="16"/>
    <x v="0"/>
    <s v="Yamaha"/>
    <x v="0"/>
    <x v="0"/>
    <n v="63615"/>
    <n v="6"/>
    <n v="89005"/>
    <n v="74870"/>
    <n v="5"/>
    <s v="Yes"/>
    <x v="0"/>
    <n v="14135"/>
  </r>
  <r>
    <n v="2641"/>
    <d v="2023-04-21T00:00:00"/>
    <x v="3"/>
    <n v="16"/>
    <x v="0"/>
    <s v="TVS"/>
    <x v="0"/>
    <x v="0"/>
    <n v="88590"/>
    <n v="9"/>
    <n v="153833"/>
    <n v="33595"/>
    <n v="14"/>
    <s v="No"/>
    <x v="1"/>
    <n v="120238"/>
  </r>
  <r>
    <n v="2642"/>
    <d v="2023-04-21T01:00:00"/>
    <x v="3"/>
    <n v="16"/>
    <x v="0"/>
    <s v="TVS"/>
    <x v="0"/>
    <x v="3"/>
    <n v="28176"/>
    <n v="5"/>
    <n v="157679"/>
    <n v="99291"/>
    <n v="2"/>
    <s v="Yes"/>
    <x v="0"/>
    <n v="58388"/>
  </r>
  <r>
    <n v="2643"/>
    <d v="2023-04-21T02:00:00"/>
    <x v="3"/>
    <n v="16"/>
    <x v="0"/>
    <s v="Bajaj"/>
    <x v="0"/>
    <x v="0"/>
    <n v="62210"/>
    <n v="6"/>
    <n v="155654"/>
    <n v="112847"/>
    <n v="2"/>
    <s v="Yes"/>
    <x v="0"/>
    <n v="42807"/>
  </r>
  <r>
    <n v="2644"/>
    <d v="2023-04-21T03:00:00"/>
    <x v="3"/>
    <n v="16"/>
    <x v="0"/>
    <s v="Hero"/>
    <x v="0"/>
    <x v="3"/>
    <n v="60577"/>
    <n v="0"/>
    <n v="111994"/>
    <n v="79038"/>
    <n v="8"/>
    <s v="No"/>
    <x v="0"/>
    <n v="32956"/>
  </r>
  <r>
    <n v="2645"/>
    <d v="2023-04-21T04:00:00"/>
    <x v="3"/>
    <n v="16"/>
    <x v="0"/>
    <s v="Bajaj"/>
    <x v="0"/>
    <x v="2"/>
    <n v="89840"/>
    <n v="5"/>
    <n v="81305"/>
    <n v="71126"/>
    <n v="1"/>
    <s v="Yes"/>
    <x v="0"/>
    <n v="10179"/>
  </r>
  <r>
    <n v="2646"/>
    <d v="2023-04-21T05:00:00"/>
    <x v="3"/>
    <n v="16"/>
    <x v="0"/>
    <s v="Bajaj"/>
    <x v="1"/>
    <x v="1"/>
    <n v="45940"/>
    <n v="2"/>
    <n v="179189"/>
    <n v="126231"/>
    <n v="8"/>
    <s v="No"/>
    <x v="0"/>
    <n v="52958"/>
  </r>
  <r>
    <n v="2647"/>
    <d v="2023-04-21T06:00:00"/>
    <x v="3"/>
    <n v="16"/>
    <x v="0"/>
    <s v="Honda"/>
    <x v="0"/>
    <x v="0"/>
    <n v="37423"/>
    <n v="0"/>
    <n v="147688"/>
    <n v="111134"/>
    <n v="11"/>
    <s v="No"/>
    <x v="0"/>
    <n v="36554"/>
  </r>
  <r>
    <n v="2648"/>
    <d v="2023-04-21T07:00:00"/>
    <x v="3"/>
    <n v="16"/>
    <x v="0"/>
    <s v="Bajaj"/>
    <x v="0"/>
    <x v="1"/>
    <n v="30302"/>
    <n v="7"/>
    <n v="32645"/>
    <n v="50449"/>
    <n v="10"/>
    <s v="No"/>
    <x v="0"/>
    <n v="-17804"/>
  </r>
  <r>
    <n v="2649"/>
    <d v="2023-04-21T08:00:00"/>
    <x v="3"/>
    <n v="16"/>
    <x v="0"/>
    <s v="Yamaha"/>
    <x v="1"/>
    <x v="3"/>
    <n v="90831"/>
    <n v="3"/>
    <n v="67238"/>
    <n v="116110"/>
    <n v="11"/>
    <s v="No"/>
    <x v="0"/>
    <n v="-48872"/>
  </r>
  <r>
    <n v="2650"/>
    <d v="2023-04-21T09:00:00"/>
    <x v="3"/>
    <n v="16"/>
    <x v="0"/>
    <s v="Yamaha"/>
    <x v="0"/>
    <x v="3"/>
    <n v="63404"/>
    <n v="9"/>
    <n v="94694"/>
    <n v="125265"/>
    <n v="7"/>
    <s v="Yes"/>
    <x v="0"/>
    <n v="-30571"/>
  </r>
  <r>
    <n v="2651"/>
    <d v="2023-04-21T10:00:00"/>
    <x v="3"/>
    <n v="16"/>
    <x v="0"/>
    <s v="Honda"/>
    <x v="1"/>
    <x v="3"/>
    <n v="60662"/>
    <n v="7"/>
    <n v="41786"/>
    <n v="33639"/>
    <n v="7"/>
    <s v="Yes"/>
    <x v="0"/>
    <n v="8147"/>
  </r>
  <r>
    <n v="2652"/>
    <d v="2023-04-21T11:00:00"/>
    <x v="3"/>
    <n v="16"/>
    <x v="0"/>
    <s v="Hero"/>
    <x v="0"/>
    <x v="1"/>
    <n v="65669"/>
    <n v="9"/>
    <n v="65693"/>
    <n v="60370"/>
    <n v="5"/>
    <s v="Yes"/>
    <x v="0"/>
    <n v="5323"/>
  </r>
  <r>
    <n v="2653"/>
    <d v="2023-04-21T12:00:00"/>
    <x v="3"/>
    <n v="16"/>
    <x v="0"/>
    <s v="Hero"/>
    <x v="0"/>
    <x v="3"/>
    <n v="68647"/>
    <n v="3"/>
    <n v="121447"/>
    <n v="111559"/>
    <n v="3"/>
    <s v="Yes"/>
    <x v="1"/>
    <n v="9888"/>
  </r>
  <r>
    <n v="2654"/>
    <d v="2023-04-21T13:00:00"/>
    <x v="3"/>
    <n v="16"/>
    <x v="0"/>
    <s v="Bajaj"/>
    <x v="0"/>
    <x v="0"/>
    <n v="22575"/>
    <n v="3"/>
    <n v="94702"/>
    <n v="89628"/>
    <n v="7"/>
    <s v="Yes"/>
    <x v="0"/>
    <n v="5074"/>
  </r>
  <r>
    <n v="2655"/>
    <d v="2023-04-21T14:00:00"/>
    <x v="3"/>
    <n v="16"/>
    <x v="0"/>
    <s v="Bajaj"/>
    <x v="0"/>
    <x v="2"/>
    <n v="82515"/>
    <n v="9"/>
    <n v="109845"/>
    <n v="86918"/>
    <n v="7"/>
    <s v="Yes"/>
    <x v="0"/>
    <n v="22927"/>
  </r>
  <r>
    <n v="2656"/>
    <d v="2023-04-21T15:00:00"/>
    <x v="3"/>
    <n v="16"/>
    <x v="0"/>
    <s v="Bajaj"/>
    <x v="0"/>
    <x v="2"/>
    <n v="75216"/>
    <n v="3"/>
    <n v="40076"/>
    <n v="57710"/>
    <n v="7"/>
    <s v="Yes"/>
    <x v="0"/>
    <n v="-17634"/>
  </r>
  <r>
    <n v="2657"/>
    <d v="2023-04-21T16:00:00"/>
    <x v="3"/>
    <n v="16"/>
    <x v="0"/>
    <s v="Hero"/>
    <x v="0"/>
    <x v="0"/>
    <n v="9804"/>
    <n v="5"/>
    <n v="44377"/>
    <n v="69051"/>
    <n v="12"/>
    <s v="No"/>
    <x v="0"/>
    <n v="-24674"/>
  </r>
  <r>
    <n v="2658"/>
    <d v="2023-04-21T17:00:00"/>
    <x v="3"/>
    <n v="16"/>
    <x v="0"/>
    <s v="TVS"/>
    <x v="0"/>
    <x v="2"/>
    <n v="60122"/>
    <n v="8"/>
    <n v="165350"/>
    <n v="75639"/>
    <n v="11"/>
    <s v="No"/>
    <x v="0"/>
    <n v="89711"/>
  </r>
  <r>
    <n v="2659"/>
    <d v="2023-04-21T18:00:00"/>
    <x v="3"/>
    <n v="16"/>
    <x v="0"/>
    <s v="Yamaha"/>
    <x v="0"/>
    <x v="1"/>
    <n v="54715"/>
    <n v="4"/>
    <n v="152368"/>
    <n v="18159"/>
    <n v="2"/>
    <s v="Yes"/>
    <x v="0"/>
    <n v="134209"/>
  </r>
  <r>
    <n v="2660"/>
    <d v="2023-04-21T19:00:00"/>
    <x v="3"/>
    <n v="16"/>
    <x v="0"/>
    <s v="TVS"/>
    <x v="0"/>
    <x v="3"/>
    <n v="80646"/>
    <n v="9"/>
    <n v="58539"/>
    <n v="86192"/>
    <n v="3"/>
    <s v="Yes"/>
    <x v="0"/>
    <n v="-27653"/>
  </r>
  <r>
    <n v="2661"/>
    <d v="2023-04-21T20:00:00"/>
    <x v="3"/>
    <n v="16"/>
    <x v="0"/>
    <s v="TVS"/>
    <x v="0"/>
    <x v="3"/>
    <n v="74473"/>
    <n v="7"/>
    <n v="151552"/>
    <n v="81988"/>
    <n v="3"/>
    <s v="Yes"/>
    <x v="0"/>
    <n v="69564"/>
  </r>
  <r>
    <n v="2662"/>
    <d v="2023-04-21T21:00:00"/>
    <x v="3"/>
    <n v="16"/>
    <x v="0"/>
    <s v="Hero"/>
    <x v="0"/>
    <x v="3"/>
    <n v="13021"/>
    <n v="7"/>
    <n v="167512"/>
    <n v="122739"/>
    <n v="4"/>
    <s v="Yes"/>
    <x v="0"/>
    <n v="44773"/>
  </r>
  <r>
    <n v="2663"/>
    <d v="2023-04-21T22:00:00"/>
    <x v="3"/>
    <n v="16"/>
    <x v="0"/>
    <s v="TVS"/>
    <x v="0"/>
    <x v="1"/>
    <n v="24528"/>
    <n v="3"/>
    <n v="51245"/>
    <n v="33706"/>
    <n v="12"/>
    <s v="No"/>
    <x v="0"/>
    <n v="17539"/>
  </r>
  <r>
    <n v="2664"/>
    <d v="2023-04-21T23:00:00"/>
    <x v="3"/>
    <n v="16"/>
    <x v="0"/>
    <s v="Honda"/>
    <x v="1"/>
    <x v="1"/>
    <n v="39828"/>
    <n v="9"/>
    <n v="178169"/>
    <n v="24862"/>
    <n v="9"/>
    <s v="No"/>
    <x v="0"/>
    <n v="153307"/>
  </r>
  <r>
    <n v="2665"/>
    <d v="2023-04-22T00:00:00"/>
    <x v="3"/>
    <n v="16"/>
    <x v="0"/>
    <s v="Bajaj"/>
    <x v="0"/>
    <x v="1"/>
    <n v="27801"/>
    <n v="8"/>
    <n v="92092"/>
    <n v="25219"/>
    <n v="10"/>
    <s v="No"/>
    <x v="0"/>
    <n v="66873"/>
  </r>
  <r>
    <n v="2666"/>
    <d v="2023-04-22T01:00:00"/>
    <x v="3"/>
    <n v="16"/>
    <x v="0"/>
    <s v="Honda"/>
    <x v="1"/>
    <x v="0"/>
    <n v="38515"/>
    <n v="8"/>
    <n v="134454"/>
    <n v="104017"/>
    <n v="1"/>
    <s v="Yes"/>
    <x v="0"/>
    <n v="30437"/>
  </r>
  <r>
    <n v="2667"/>
    <d v="2023-04-22T02:00:00"/>
    <x v="3"/>
    <n v="16"/>
    <x v="0"/>
    <s v="Yamaha"/>
    <x v="0"/>
    <x v="1"/>
    <n v="87776"/>
    <n v="4"/>
    <n v="157223"/>
    <n v="49536"/>
    <n v="12"/>
    <s v="No"/>
    <x v="0"/>
    <n v="107687"/>
  </r>
  <r>
    <n v="2668"/>
    <d v="2023-04-22T03:00:00"/>
    <x v="3"/>
    <n v="16"/>
    <x v="0"/>
    <s v="Bajaj"/>
    <x v="0"/>
    <x v="2"/>
    <n v="37345"/>
    <n v="5"/>
    <n v="177770"/>
    <n v="86632"/>
    <n v="7"/>
    <s v="Yes"/>
    <x v="0"/>
    <n v="91138"/>
  </r>
  <r>
    <n v="2669"/>
    <d v="2023-04-22T04:00:00"/>
    <x v="3"/>
    <n v="16"/>
    <x v="0"/>
    <s v="TVS"/>
    <x v="0"/>
    <x v="0"/>
    <n v="87318"/>
    <n v="4"/>
    <n v="173673"/>
    <n v="118489"/>
    <n v="7"/>
    <s v="Yes"/>
    <x v="0"/>
    <n v="55184"/>
  </r>
  <r>
    <n v="2670"/>
    <d v="2023-04-22T05:00:00"/>
    <x v="3"/>
    <n v="16"/>
    <x v="0"/>
    <s v="Yamaha"/>
    <x v="0"/>
    <x v="0"/>
    <n v="76894"/>
    <n v="2"/>
    <n v="164111"/>
    <n v="92391"/>
    <n v="11"/>
    <s v="No"/>
    <x v="0"/>
    <n v="71720"/>
  </r>
  <r>
    <n v="2671"/>
    <d v="2023-04-22T06:00:00"/>
    <x v="3"/>
    <n v="16"/>
    <x v="0"/>
    <s v="Bajaj"/>
    <x v="0"/>
    <x v="0"/>
    <n v="44659"/>
    <n v="7"/>
    <n v="72427"/>
    <n v="77886"/>
    <n v="4"/>
    <s v="Yes"/>
    <x v="0"/>
    <n v="-5459"/>
  </r>
  <r>
    <n v="2672"/>
    <d v="2023-04-22T07:00:00"/>
    <x v="3"/>
    <n v="16"/>
    <x v="0"/>
    <s v="TVS"/>
    <x v="0"/>
    <x v="1"/>
    <n v="44214"/>
    <n v="8"/>
    <n v="96839"/>
    <n v="123798"/>
    <n v="13"/>
    <s v="No"/>
    <x v="0"/>
    <n v="-26959"/>
  </r>
  <r>
    <n v="2673"/>
    <d v="2023-04-22T08:00:00"/>
    <x v="3"/>
    <n v="16"/>
    <x v="0"/>
    <s v="Honda"/>
    <x v="0"/>
    <x v="0"/>
    <n v="81222"/>
    <n v="3"/>
    <n v="175125"/>
    <n v="94996"/>
    <n v="11"/>
    <s v="No"/>
    <x v="0"/>
    <n v="80129"/>
  </r>
  <r>
    <n v="2674"/>
    <d v="2023-04-22T09:00:00"/>
    <x v="3"/>
    <n v="16"/>
    <x v="0"/>
    <s v="Bajaj"/>
    <x v="0"/>
    <x v="1"/>
    <n v="97230"/>
    <n v="8"/>
    <n v="141801"/>
    <n v="48937"/>
    <n v="1"/>
    <s v="Yes"/>
    <x v="0"/>
    <n v="92864"/>
  </r>
  <r>
    <n v="2675"/>
    <d v="2023-04-22T10:00:00"/>
    <x v="3"/>
    <n v="16"/>
    <x v="0"/>
    <s v="TVS"/>
    <x v="0"/>
    <x v="1"/>
    <n v="25730"/>
    <n v="8"/>
    <n v="135845"/>
    <n v="36094"/>
    <n v="3"/>
    <s v="Yes"/>
    <x v="0"/>
    <n v="99751"/>
  </r>
  <r>
    <n v="2676"/>
    <d v="2023-04-22T11:00:00"/>
    <x v="3"/>
    <n v="16"/>
    <x v="0"/>
    <s v="Honda"/>
    <x v="0"/>
    <x v="0"/>
    <n v="93054"/>
    <n v="6"/>
    <n v="111298"/>
    <n v="119894"/>
    <n v="5"/>
    <s v="Yes"/>
    <x v="0"/>
    <n v="-8596"/>
  </r>
  <r>
    <n v="2677"/>
    <d v="2023-04-22T12:00:00"/>
    <x v="3"/>
    <n v="16"/>
    <x v="0"/>
    <s v="Yamaha"/>
    <x v="0"/>
    <x v="3"/>
    <n v="49762"/>
    <n v="7"/>
    <n v="114147"/>
    <n v="130074"/>
    <n v="12"/>
    <s v="No"/>
    <x v="1"/>
    <n v="-15927"/>
  </r>
  <r>
    <n v="2678"/>
    <d v="2023-04-22T13:00:00"/>
    <x v="3"/>
    <n v="16"/>
    <x v="0"/>
    <s v="Yamaha"/>
    <x v="0"/>
    <x v="3"/>
    <n v="90701"/>
    <n v="2"/>
    <n v="80413"/>
    <n v="132118"/>
    <n v="2"/>
    <s v="Yes"/>
    <x v="0"/>
    <n v="-51705"/>
  </r>
  <r>
    <n v="2679"/>
    <d v="2023-04-22T14:00:00"/>
    <x v="3"/>
    <n v="16"/>
    <x v="0"/>
    <s v="Yamaha"/>
    <x v="0"/>
    <x v="0"/>
    <n v="42222"/>
    <n v="4"/>
    <n v="90958"/>
    <n v="42924"/>
    <n v="7"/>
    <s v="Yes"/>
    <x v="0"/>
    <n v="48034"/>
  </r>
  <r>
    <n v="2680"/>
    <d v="2023-04-22T15:00:00"/>
    <x v="3"/>
    <n v="16"/>
    <x v="0"/>
    <s v="Yamaha"/>
    <x v="0"/>
    <x v="3"/>
    <n v="46859"/>
    <n v="2"/>
    <n v="56275"/>
    <n v="98325"/>
    <n v="14"/>
    <s v="No"/>
    <x v="0"/>
    <n v="-42050"/>
  </r>
  <r>
    <n v="2681"/>
    <d v="2023-04-22T16:00:00"/>
    <x v="3"/>
    <n v="16"/>
    <x v="0"/>
    <s v="Hero"/>
    <x v="0"/>
    <x v="2"/>
    <n v="63296"/>
    <n v="6"/>
    <n v="51597"/>
    <n v="15123"/>
    <n v="10"/>
    <s v="No"/>
    <x v="0"/>
    <n v="36474"/>
  </r>
  <r>
    <n v="2682"/>
    <d v="2023-04-22T17:00:00"/>
    <x v="3"/>
    <n v="16"/>
    <x v="0"/>
    <s v="Bajaj"/>
    <x v="0"/>
    <x v="2"/>
    <n v="40659"/>
    <n v="5"/>
    <n v="102521"/>
    <n v="68149"/>
    <n v="10"/>
    <s v="No"/>
    <x v="0"/>
    <n v="34372"/>
  </r>
  <r>
    <n v="2683"/>
    <d v="2023-04-22T18:00:00"/>
    <x v="3"/>
    <n v="16"/>
    <x v="0"/>
    <s v="Bajaj"/>
    <x v="0"/>
    <x v="1"/>
    <n v="87552"/>
    <n v="2"/>
    <n v="119243"/>
    <n v="128930"/>
    <n v="7"/>
    <s v="Yes"/>
    <x v="0"/>
    <n v="-9687"/>
  </r>
  <r>
    <n v="2684"/>
    <d v="2023-04-22T19:00:00"/>
    <x v="3"/>
    <n v="16"/>
    <x v="0"/>
    <s v="Hero"/>
    <x v="0"/>
    <x v="3"/>
    <n v="90709"/>
    <n v="8"/>
    <n v="93908"/>
    <n v="86445"/>
    <n v="12"/>
    <s v="No"/>
    <x v="0"/>
    <n v="7463"/>
  </r>
  <r>
    <n v="2685"/>
    <d v="2023-04-22T20:00:00"/>
    <x v="3"/>
    <n v="16"/>
    <x v="0"/>
    <s v="TVS"/>
    <x v="0"/>
    <x v="2"/>
    <n v="5739"/>
    <n v="0"/>
    <n v="80188"/>
    <n v="46854"/>
    <n v="10"/>
    <s v="No"/>
    <x v="0"/>
    <n v="33334"/>
  </r>
  <r>
    <n v="2686"/>
    <d v="2023-04-22T21:00:00"/>
    <x v="3"/>
    <n v="16"/>
    <x v="0"/>
    <s v="TVS"/>
    <x v="0"/>
    <x v="0"/>
    <n v="92451"/>
    <n v="9"/>
    <n v="59710"/>
    <n v="75796"/>
    <n v="5"/>
    <s v="Yes"/>
    <x v="0"/>
    <n v="-16086"/>
  </r>
  <r>
    <n v="2687"/>
    <d v="2023-04-22T22:00:00"/>
    <x v="3"/>
    <n v="16"/>
    <x v="0"/>
    <s v="Yamaha"/>
    <x v="1"/>
    <x v="3"/>
    <n v="51386"/>
    <n v="2"/>
    <n v="143493"/>
    <n v="84432"/>
    <n v="12"/>
    <s v="No"/>
    <x v="0"/>
    <n v="59061"/>
  </r>
  <r>
    <n v="2688"/>
    <d v="2023-04-22T23:00:00"/>
    <x v="3"/>
    <n v="16"/>
    <x v="0"/>
    <s v="Honda"/>
    <x v="1"/>
    <x v="2"/>
    <n v="27695"/>
    <n v="9"/>
    <n v="74249"/>
    <n v="73968"/>
    <n v="10"/>
    <s v="No"/>
    <x v="0"/>
    <n v="281"/>
  </r>
  <r>
    <n v="2689"/>
    <d v="2023-04-23T00:00:00"/>
    <x v="3"/>
    <n v="17"/>
    <x v="0"/>
    <s v="TVS"/>
    <x v="0"/>
    <x v="2"/>
    <n v="95359"/>
    <n v="6"/>
    <n v="59247"/>
    <n v="55834"/>
    <n v="6"/>
    <s v="Yes"/>
    <x v="0"/>
    <n v="3413"/>
  </r>
  <r>
    <n v="2690"/>
    <d v="2023-04-23T01:00:00"/>
    <x v="3"/>
    <n v="17"/>
    <x v="0"/>
    <s v="Honda"/>
    <x v="0"/>
    <x v="0"/>
    <n v="96799"/>
    <n v="2"/>
    <n v="51408"/>
    <n v="122677"/>
    <n v="1"/>
    <s v="Yes"/>
    <x v="0"/>
    <n v="-71269"/>
  </r>
  <r>
    <n v="2691"/>
    <d v="2023-04-23T02:00:00"/>
    <x v="3"/>
    <n v="17"/>
    <x v="0"/>
    <s v="Bajaj"/>
    <x v="0"/>
    <x v="1"/>
    <n v="35174"/>
    <n v="2"/>
    <n v="101313"/>
    <n v="32111"/>
    <n v="4"/>
    <s v="Yes"/>
    <x v="0"/>
    <n v="69202"/>
  </r>
  <r>
    <n v="2692"/>
    <d v="2023-04-23T03:00:00"/>
    <x v="3"/>
    <n v="17"/>
    <x v="0"/>
    <s v="Honda"/>
    <x v="0"/>
    <x v="0"/>
    <n v="18605"/>
    <n v="1"/>
    <n v="30443"/>
    <n v="87575"/>
    <n v="4"/>
    <s v="Yes"/>
    <x v="0"/>
    <n v="-57132"/>
  </r>
  <r>
    <n v="2693"/>
    <d v="2023-04-23T04:00:00"/>
    <x v="3"/>
    <n v="17"/>
    <x v="0"/>
    <s v="Bajaj"/>
    <x v="0"/>
    <x v="1"/>
    <n v="30239"/>
    <n v="8"/>
    <n v="155270"/>
    <n v="125380"/>
    <n v="11"/>
    <s v="No"/>
    <x v="0"/>
    <n v="29890"/>
  </r>
  <r>
    <n v="2694"/>
    <d v="2023-04-23T05:00:00"/>
    <x v="3"/>
    <n v="17"/>
    <x v="0"/>
    <s v="Hero"/>
    <x v="0"/>
    <x v="2"/>
    <n v="32469"/>
    <n v="3"/>
    <n v="156151"/>
    <n v="39099"/>
    <n v="8"/>
    <s v="No"/>
    <x v="0"/>
    <n v="117052"/>
  </r>
  <r>
    <n v="2695"/>
    <d v="2023-04-23T06:00:00"/>
    <x v="3"/>
    <n v="17"/>
    <x v="0"/>
    <s v="Hero"/>
    <x v="1"/>
    <x v="1"/>
    <n v="14997"/>
    <n v="9"/>
    <n v="121818"/>
    <n v="84206"/>
    <n v="2"/>
    <s v="Yes"/>
    <x v="0"/>
    <n v="37612"/>
  </r>
  <r>
    <n v="2696"/>
    <d v="2023-04-23T07:00:00"/>
    <x v="3"/>
    <n v="17"/>
    <x v="0"/>
    <s v="Yamaha"/>
    <x v="0"/>
    <x v="2"/>
    <n v="2316"/>
    <n v="5"/>
    <n v="168973"/>
    <n v="65293"/>
    <n v="1"/>
    <s v="Yes"/>
    <x v="0"/>
    <n v="103680"/>
  </r>
  <r>
    <n v="2697"/>
    <d v="2023-04-23T08:00:00"/>
    <x v="3"/>
    <n v="17"/>
    <x v="0"/>
    <s v="TVS"/>
    <x v="0"/>
    <x v="2"/>
    <n v="92519"/>
    <n v="1"/>
    <n v="173579"/>
    <n v="123871"/>
    <n v="7"/>
    <s v="Yes"/>
    <x v="1"/>
    <n v="49708"/>
  </r>
  <r>
    <n v="2698"/>
    <d v="2023-04-23T09:00:00"/>
    <x v="3"/>
    <n v="17"/>
    <x v="0"/>
    <s v="Yamaha"/>
    <x v="0"/>
    <x v="3"/>
    <n v="59754"/>
    <n v="8"/>
    <n v="106785"/>
    <n v="133719"/>
    <n v="6"/>
    <s v="Yes"/>
    <x v="0"/>
    <n v="-26934"/>
  </r>
  <r>
    <n v="2699"/>
    <d v="2023-04-23T10:00:00"/>
    <x v="3"/>
    <n v="17"/>
    <x v="0"/>
    <s v="Bajaj"/>
    <x v="0"/>
    <x v="1"/>
    <n v="88195"/>
    <n v="6"/>
    <n v="151691"/>
    <n v="30029"/>
    <n v="5"/>
    <s v="Yes"/>
    <x v="0"/>
    <n v="121662"/>
  </r>
  <r>
    <n v="2700"/>
    <d v="2023-04-23T11:00:00"/>
    <x v="3"/>
    <n v="17"/>
    <x v="0"/>
    <s v="Yamaha"/>
    <x v="0"/>
    <x v="1"/>
    <n v="69885"/>
    <n v="9"/>
    <n v="60391"/>
    <n v="46811"/>
    <n v="12"/>
    <s v="No"/>
    <x v="0"/>
    <n v="13580"/>
  </r>
  <r>
    <n v="2701"/>
    <d v="2023-04-23T12:00:00"/>
    <x v="3"/>
    <n v="17"/>
    <x v="0"/>
    <s v="Honda"/>
    <x v="1"/>
    <x v="1"/>
    <n v="87648"/>
    <n v="4"/>
    <n v="59171"/>
    <n v="30793"/>
    <n v="13"/>
    <s v="No"/>
    <x v="0"/>
    <n v="28378"/>
  </r>
  <r>
    <n v="2702"/>
    <d v="2023-04-23T13:00:00"/>
    <x v="3"/>
    <n v="17"/>
    <x v="0"/>
    <s v="Bajaj"/>
    <x v="0"/>
    <x v="0"/>
    <n v="34326"/>
    <n v="6"/>
    <n v="140019"/>
    <n v="121854"/>
    <n v="13"/>
    <s v="No"/>
    <x v="0"/>
    <n v="18165"/>
  </r>
  <r>
    <n v="2703"/>
    <d v="2023-04-23T14:00:00"/>
    <x v="3"/>
    <n v="17"/>
    <x v="0"/>
    <s v="Hero"/>
    <x v="0"/>
    <x v="3"/>
    <n v="63865"/>
    <n v="3"/>
    <n v="32485"/>
    <n v="63106"/>
    <n v="13"/>
    <s v="No"/>
    <x v="0"/>
    <n v="-30621"/>
  </r>
  <r>
    <n v="2704"/>
    <d v="2023-04-23T15:00:00"/>
    <x v="3"/>
    <n v="17"/>
    <x v="0"/>
    <s v="TVS"/>
    <x v="0"/>
    <x v="3"/>
    <n v="84742"/>
    <n v="9"/>
    <n v="152628"/>
    <n v="100662"/>
    <n v="8"/>
    <s v="No"/>
    <x v="0"/>
    <n v="51966"/>
  </r>
  <r>
    <n v="2705"/>
    <d v="2023-04-23T16:00:00"/>
    <x v="3"/>
    <n v="17"/>
    <x v="0"/>
    <s v="Bajaj"/>
    <x v="0"/>
    <x v="3"/>
    <n v="50600"/>
    <n v="6"/>
    <n v="135104"/>
    <n v="99764"/>
    <n v="11"/>
    <s v="No"/>
    <x v="0"/>
    <n v="35340"/>
  </r>
  <r>
    <n v="2706"/>
    <d v="2023-04-23T17:00:00"/>
    <x v="3"/>
    <n v="17"/>
    <x v="0"/>
    <s v="Bajaj"/>
    <x v="0"/>
    <x v="0"/>
    <n v="90599"/>
    <n v="1"/>
    <n v="140427"/>
    <n v="99131"/>
    <n v="13"/>
    <s v="No"/>
    <x v="1"/>
    <n v="41296"/>
  </r>
  <r>
    <n v="2707"/>
    <d v="2023-04-23T18:00:00"/>
    <x v="3"/>
    <n v="17"/>
    <x v="0"/>
    <s v="Honda"/>
    <x v="0"/>
    <x v="1"/>
    <n v="4859"/>
    <n v="6"/>
    <n v="115153"/>
    <n v="15972"/>
    <n v="2"/>
    <s v="Yes"/>
    <x v="0"/>
    <n v="99181"/>
  </r>
  <r>
    <n v="2708"/>
    <d v="2023-04-23T19:00:00"/>
    <x v="3"/>
    <n v="17"/>
    <x v="0"/>
    <s v="TVS"/>
    <x v="0"/>
    <x v="1"/>
    <n v="96705"/>
    <n v="3"/>
    <n v="62748"/>
    <n v="15360"/>
    <n v="2"/>
    <s v="Yes"/>
    <x v="0"/>
    <n v="47388"/>
  </r>
  <r>
    <n v="2709"/>
    <d v="2023-04-23T20:00:00"/>
    <x v="3"/>
    <n v="17"/>
    <x v="0"/>
    <s v="Hero"/>
    <x v="0"/>
    <x v="1"/>
    <n v="13309"/>
    <n v="3"/>
    <n v="159950"/>
    <n v="17632"/>
    <n v="9"/>
    <s v="No"/>
    <x v="0"/>
    <n v="142318"/>
  </r>
  <r>
    <n v="2710"/>
    <d v="2023-04-23T21:00:00"/>
    <x v="3"/>
    <n v="17"/>
    <x v="0"/>
    <s v="Bajaj"/>
    <x v="0"/>
    <x v="3"/>
    <n v="64950"/>
    <n v="0"/>
    <n v="158021"/>
    <n v="50958"/>
    <n v="1"/>
    <s v="Yes"/>
    <x v="0"/>
    <n v="107063"/>
  </r>
  <r>
    <n v="2711"/>
    <d v="2023-04-23T22:00:00"/>
    <x v="3"/>
    <n v="17"/>
    <x v="0"/>
    <s v="Bajaj"/>
    <x v="0"/>
    <x v="3"/>
    <n v="38928"/>
    <n v="2"/>
    <n v="176953"/>
    <n v="118252"/>
    <n v="6"/>
    <s v="Yes"/>
    <x v="0"/>
    <n v="58701"/>
  </r>
  <r>
    <n v="2712"/>
    <d v="2023-04-23T23:00:00"/>
    <x v="3"/>
    <n v="17"/>
    <x v="0"/>
    <s v="Honda"/>
    <x v="0"/>
    <x v="2"/>
    <n v="95490"/>
    <n v="4"/>
    <n v="112150"/>
    <n v="95882"/>
    <n v="13"/>
    <s v="No"/>
    <x v="0"/>
    <n v="16268"/>
  </r>
  <r>
    <n v="2713"/>
    <d v="2023-04-24T00:00:00"/>
    <x v="3"/>
    <n v="17"/>
    <x v="0"/>
    <s v="Yamaha"/>
    <x v="0"/>
    <x v="0"/>
    <n v="73290"/>
    <n v="4"/>
    <n v="114364"/>
    <n v="128858"/>
    <n v="13"/>
    <s v="No"/>
    <x v="0"/>
    <n v="-14494"/>
  </r>
  <r>
    <n v="2714"/>
    <d v="2023-04-24T01:00:00"/>
    <x v="3"/>
    <n v="17"/>
    <x v="0"/>
    <s v="Hero"/>
    <x v="0"/>
    <x v="0"/>
    <n v="90821"/>
    <n v="1"/>
    <n v="140925"/>
    <n v="33008"/>
    <n v="3"/>
    <s v="Yes"/>
    <x v="0"/>
    <n v="107917"/>
  </r>
  <r>
    <n v="2715"/>
    <d v="2023-04-24T02:00:00"/>
    <x v="3"/>
    <n v="17"/>
    <x v="0"/>
    <s v="TVS"/>
    <x v="0"/>
    <x v="3"/>
    <n v="2593"/>
    <n v="3"/>
    <n v="34958"/>
    <n v="92656"/>
    <n v="13"/>
    <s v="No"/>
    <x v="0"/>
    <n v="-57698"/>
  </r>
  <r>
    <n v="2716"/>
    <d v="2023-04-24T03:00:00"/>
    <x v="3"/>
    <n v="17"/>
    <x v="0"/>
    <s v="Bajaj"/>
    <x v="0"/>
    <x v="2"/>
    <n v="44998"/>
    <n v="0"/>
    <n v="164769"/>
    <n v="45283"/>
    <n v="5"/>
    <s v="Yes"/>
    <x v="0"/>
    <n v="119486"/>
  </r>
  <r>
    <n v="2717"/>
    <d v="2023-04-24T04:00:00"/>
    <x v="3"/>
    <n v="17"/>
    <x v="0"/>
    <s v="Bajaj"/>
    <x v="0"/>
    <x v="1"/>
    <n v="41485"/>
    <n v="8"/>
    <n v="112160"/>
    <n v="65908"/>
    <n v="8"/>
    <s v="No"/>
    <x v="0"/>
    <n v="46252"/>
  </r>
  <r>
    <n v="2718"/>
    <d v="2023-04-24T05:00:00"/>
    <x v="3"/>
    <n v="17"/>
    <x v="0"/>
    <s v="Hero"/>
    <x v="0"/>
    <x v="3"/>
    <n v="32509"/>
    <n v="0"/>
    <n v="40493"/>
    <n v="22818"/>
    <n v="7"/>
    <s v="Yes"/>
    <x v="0"/>
    <n v="17675"/>
  </r>
  <r>
    <n v="2719"/>
    <d v="2023-04-24T06:00:00"/>
    <x v="3"/>
    <n v="17"/>
    <x v="0"/>
    <s v="Yamaha"/>
    <x v="0"/>
    <x v="0"/>
    <n v="82594"/>
    <n v="5"/>
    <n v="46199"/>
    <n v="85655"/>
    <n v="13"/>
    <s v="No"/>
    <x v="0"/>
    <n v="-39456"/>
  </r>
  <r>
    <n v="2720"/>
    <d v="2023-04-24T07:00:00"/>
    <x v="3"/>
    <n v="17"/>
    <x v="0"/>
    <s v="Bajaj"/>
    <x v="0"/>
    <x v="0"/>
    <n v="18218"/>
    <n v="6"/>
    <n v="55493"/>
    <n v="45579"/>
    <n v="12"/>
    <s v="No"/>
    <x v="0"/>
    <n v="9914"/>
  </r>
  <r>
    <n v="2721"/>
    <d v="2023-04-24T08:00:00"/>
    <x v="3"/>
    <n v="17"/>
    <x v="0"/>
    <s v="Hero"/>
    <x v="0"/>
    <x v="0"/>
    <n v="17205"/>
    <n v="2"/>
    <n v="136545"/>
    <n v="70178"/>
    <n v="4"/>
    <s v="Yes"/>
    <x v="0"/>
    <n v="66367"/>
  </r>
  <r>
    <n v="2722"/>
    <d v="2023-04-24T09:00:00"/>
    <x v="3"/>
    <n v="17"/>
    <x v="0"/>
    <s v="Honda"/>
    <x v="0"/>
    <x v="1"/>
    <n v="88118"/>
    <n v="0"/>
    <n v="74002"/>
    <n v="72584"/>
    <n v="8"/>
    <s v="No"/>
    <x v="0"/>
    <n v="1418"/>
  </r>
  <r>
    <n v="2723"/>
    <d v="2023-04-24T10:00:00"/>
    <x v="3"/>
    <n v="17"/>
    <x v="0"/>
    <s v="Yamaha"/>
    <x v="0"/>
    <x v="0"/>
    <n v="63098"/>
    <n v="6"/>
    <n v="48731"/>
    <n v="80020"/>
    <n v="11"/>
    <s v="No"/>
    <x v="0"/>
    <n v="-31289"/>
  </r>
  <r>
    <n v="2724"/>
    <d v="2023-04-24T11:00:00"/>
    <x v="3"/>
    <n v="17"/>
    <x v="0"/>
    <s v="TVS"/>
    <x v="0"/>
    <x v="1"/>
    <n v="78378"/>
    <n v="2"/>
    <n v="163148"/>
    <n v="126257"/>
    <n v="11"/>
    <s v="No"/>
    <x v="0"/>
    <n v="36891"/>
  </r>
  <r>
    <n v="2725"/>
    <d v="2023-04-24T12:00:00"/>
    <x v="3"/>
    <n v="17"/>
    <x v="0"/>
    <s v="Bajaj"/>
    <x v="0"/>
    <x v="1"/>
    <n v="12739"/>
    <n v="9"/>
    <n v="26071"/>
    <n v="128204"/>
    <n v="10"/>
    <s v="No"/>
    <x v="0"/>
    <n v="-102133"/>
  </r>
  <r>
    <n v="2726"/>
    <d v="2023-04-24T13:00:00"/>
    <x v="3"/>
    <n v="17"/>
    <x v="0"/>
    <s v="Hero"/>
    <x v="0"/>
    <x v="1"/>
    <n v="47122"/>
    <n v="5"/>
    <n v="124926"/>
    <n v="110373"/>
    <n v="11"/>
    <s v="No"/>
    <x v="0"/>
    <n v="14553"/>
  </r>
  <r>
    <n v="2727"/>
    <d v="2023-04-24T14:00:00"/>
    <x v="3"/>
    <n v="17"/>
    <x v="0"/>
    <s v="Honda"/>
    <x v="0"/>
    <x v="3"/>
    <n v="47165"/>
    <n v="5"/>
    <n v="152872"/>
    <n v="136663"/>
    <n v="14"/>
    <s v="No"/>
    <x v="0"/>
    <n v="16209"/>
  </r>
  <r>
    <n v="2728"/>
    <d v="2023-04-24T15:00:00"/>
    <x v="3"/>
    <n v="17"/>
    <x v="0"/>
    <s v="TVS"/>
    <x v="0"/>
    <x v="1"/>
    <n v="32774"/>
    <n v="3"/>
    <n v="66410"/>
    <n v="15975"/>
    <n v="2"/>
    <s v="Yes"/>
    <x v="0"/>
    <n v="50435"/>
  </r>
  <r>
    <n v="2729"/>
    <d v="2023-04-24T16:00:00"/>
    <x v="3"/>
    <n v="17"/>
    <x v="0"/>
    <s v="Hero"/>
    <x v="0"/>
    <x v="2"/>
    <n v="11919"/>
    <n v="5"/>
    <n v="119948"/>
    <n v="78479"/>
    <n v="7"/>
    <s v="Yes"/>
    <x v="0"/>
    <n v="41469"/>
  </r>
  <r>
    <n v="2730"/>
    <d v="2023-04-24T17:00:00"/>
    <x v="3"/>
    <n v="17"/>
    <x v="0"/>
    <s v="Hero"/>
    <x v="0"/>
    <x v="0"/>
    <n v="15503"/>
    <n v="9"/>
    <n v="66041"/>
    <n v="31265"/>
    <n v="5"/>
    <s v="Yes"/>
    <x v="0"/>
    <n v="34776"/>
  </r>
  <r>
    <n v="2731"/>
    <d v="2023-04-24T18:00:00"/>
    <x v="3"/>
    <n v="17"/>
    <x v="0"/>
    <s v="TVS"/>
    <x v="0"/>
    <x v="3"/>
    <n v="31366"/>
    <n v="3"/>
    <n v="148616"/>
    <n v="78518"/>
    <n v="11"/>
    <s v="No"/>
    <x v="0"/>
    <n v="70098"/>
  </r>
  <r>
    <n v="2732"/>
    <d v="2023-04-24T19:00:00"/>
    <x v="3"/>
    <n v="17"/>
    <x v="0"/>
    <s v="Honda"/>
    <x v="0"/>
    <x v="0"/>
    <n v="22488"/>
    <n v="7"/>
    <n v="78326"/>
    <n v="19318"/>
    <n v="6"/>
    <s v="Yes"/>
    <x v="0"/>
    <n v="59008"/>
  </r>
  <r>
    <n v="2733"/>
    <d v="2023-04-24T20:00:00"/>
    <x v="3"/>
    <n v="17"/>
    <x v="0"/>
    <s v="Honda"/>
    <x v="0"/>
    <x v="1"/>
    <n v="56394"/>
    <n v="8"/>
    <n v="78096"/>
    <n v="135611"/>
    <n v="3"/>
    <s v="Yes"/>
    <x v="0"/>
    <n v="-57515"/>
  </r>
  <r>
    <n v="2734"/>
    <d v="2023-04-24T21:00:00"/>
    <x v="3"/>
    <n v="17"/>
    <x v="0"/>
    <s v="Yamaha"/>
    <x v="0"/>
    <x v="3"/>
    <n v="90944"/>
    <n v="1"/>
    <n v="68167"/>
    <n v="50081"/>
    <n v="11"/>
    <s v="No"/>
    <x v="0"/>
    <n v="18086"/>
  </r>
  <r>
    <n v="2735"/>
    <d v="2023-04-24T22:00:00"/>
    <x v="3"/>
    <n v="17"/>
    <x v="0"/>
    <s v="Bajaj"/>
    <x v="0"/>
    <x v="2"/>
    <n v="6174"/>
    <n v="6"/>
    <n v="86292"/>
    <n v="73649"/>
    <n v="10"/>
    <s v="No"/>
    <x v="0"/>
    <n v="12643"/>
  </r>
  <r>
    <n v="2736"/>
    <d v="2023-04-24T23:00:00"/>
    <x v="3"/>
    <n v="17"/>
    <x v="0"/>
    <s v="TVS"/>
    <x v="1"/>
    <x v="1"/>
    <n v="71038"/>
    <n v="8"/>
    <n v="100419"/>
    <n v="130475"/>
    <n v="7"/>
    <s v="Yes"/>
    <x v="0"/>
    <n v="-30056"/>
  </r>
  <r>
    <n v="2737"/>
    <d v="2023-04-25T00:00:00"/>
    <x v="3"/>
    <n v="17"/>
    <x v="0"/>
    <s v="TVS"/>
    <x v="1"/>
    <x v="0"/>
    <n v="93603"/>
    <n v="8"/>
    <n v="112753"/>
    <n v="132116"/>
    <n v="7"/>
    <s v="Yes"/>
    <x v="1"/>
    <n v="-19363"/>
  </r>
  <r>
    <n v="2738"/>
    <d v="2023-04-25T01:00:00"/>
    <x v="3"/>
    <n v="17"/>
    <x v="0"/>
    <s v="TVS"/>
    <x v="1"/>
    <x v="2"/>
    <n v="66946"/>
    <n v="4"/>
    <n v="166779"/>
    <n v="122051"/>
    <n v="2"/>
    <s v="Yes"/>
    <x v="0"/>
    <n v="44728"/>
  </r>
  <r>
    <n v="2739"/>
    <d v="2023-04-25T02:00:00"/>
    <x v="3"/>
    <n v="17"/>
    <x v="0"/>
    <s v="Honda"/>
    <x v="0"/>
    <x v="1"/>
    <n v="29572"/>
    <n v="0"/>
    <n v="169212"/>
    <n v="58069"/>
    <n v="1"/>
    <s v="Yes"/>
    <x v="0"/>
    <n v="111143"/>
  </r>
  <r>
    <n v="2740"/>
    <d v="2023-04-25T03:00:00"/>
    <x v="3"/>
    <n v="17"/>
    <x v="0"/>
    <s v="Bajaj"/>
    <x v="0"/>
    <x v="2"/>
    <n v="34217"/>
    <n v="5"/>
    <n v="36093"/>
    <n v="128352"/>
    <n v="10"/>
    <s v="No"/>
    <x v="0"/>
    <n v="-92259"/>
  </r>
  <r>
    <n v="2741"/>
    <d v="2023-04-25T04:00:00"/>
    <x v="3"/>
    <n v="17"/>
    <x v="0"/>
    <s v="Yamaha"/>
    <x v="0"/>
    <x v="1"/>
    <n v="87845"/>
    <n v="7"/>
    <n v="129089"/>
    <n v="93670"/>
    <n v="2"/>
    <s v="Yes"/>
    <x v="0"/>
    <n v="35419"/>
  </r>
  <r>
    <n v="2742"/>
    <d v="2023-04-25T05:00:00"/>
    <x v="3"/>
    <n v="17"/>
    <x v="0"/>
    <s v="Hero"/>
    <x v="0"/>
    <x v="3"/>
    <n v="27151"/>
    <n v="0"/>
    <n v="97043"/>
    <n v="119968"/>
    <n v="12"/>
    <s v="No"/>
    <x v="0"/>
    <n v="-22925"/>
  </r>
  <r>
    <n v="2743"/>
    <d v="2023-04-25T06:00:00"/>
    <x v="3"/>
    <n v="17"/>
    <x v="0"/>
    <s v="Hero"/>
    <x v="0"/>
    <x v="1"/>
    <n v="44791"/>
    <n v="1"/>
    <n v="149534"/>
    <n v="126686"/>
    <n v="8"/>
    <s v="No"/>
    <x v="0"/>
    <n v="22848"/>
  </r>
  <r>
    <n v="2744"/>
    <d v="2023-04-25T07:00:00"/>
    <x v="3"/>
    <n v="17"/>
    <x v="0"/>
    <s v="TVS"/>
    <x v="0"/>
    <x v="3"/>
    <n v="63850"/>
    <n v="0"/>
    <n v="161902"/>
    <n v="91377"/>
    <n v="11"/>
    <s v="No"/>
    <x v="0"/>
    <n v="70525"/>
  </r>
  <r>
    <n v="2745"/>
    <d v="2023-04-25T08:00:00"/>
    <x v="3"/>
    <n v="17"/>
    <x v="0"/>
    <s v="Bajaj"/>
    <x v="0"/>
    <x v="1"/>
    <n v="82520"/>
    <n v="4"/>
    <n v="127865"/>
    <n v="106671"/>
    <n v="10"/>
    <s v="No"/>
    <x v="0"/>
    <n v="21194"/>
  </r>
  <r>
    <n v="2746"/>
    <d v="2023-04-25T09:00:00"/>
    <x v="3"/>
    <n v="17"/>
    <x v="0"/>
    <s v="Honda"/>
    <x v="0"/>
    <x v="1"/>
    <n v="5146"/>
    <n v="1"/>
    <n v="149678"/>
    <n v="27427"/>
    <n v="3"/>
    <s v="Yes"/>
    <x v="0"/>
    <n v="122251"/>
  </r>
  <r>
    <n v="2747"/>
    <d v="2023-04-25T10:00:00"/>
    <x v="3"/>
    <n v="17"/>
    <x v="0"/>
    <s v="Bajaj"/>
    <x v="0"/>
    <x v="0"/>
    <n v="40213"/>
    <n v="9"/>
    <n v="72287"/>
    <n v="55251"/>
    <n v="11"/>
    <s v="No"/>
    <x v="0"/>
    <n v="17036"/>
  </r>
  <r>
    <n v="2748"/>
    <d v="2023-04-25T11:00:00"/>
    <x v="3"/>
    <n v="17"/>
    <x v="0"/>
    <s v="Bajaj"/>
    <x v="1"/>
    <x v="2"/>
    <n v="68436"/>
    <n v="9"/>
    <n v="58427"/>
    <n v="114667"/>
    <n v="4"/>
    <s v="Yes"/>
    <x v="0"/>
    <n v="-56240"/>
  </r>
  <r>
    <n v="2749"/>
    <d v="2023-04-25T12:00:00"/>
    <x v="3"/>
    <n v="17"/>
    <x v="0"/>
    <s v="Honda"/>
    <x v="0"/>
    <x v="2"/>
    <n v="44831"/>
    <n v="3"/>
    <n v="154849"/>
    <n v="117263"/>
    <n v="8"/>
    <s v="No"/>
    <x v="0"/>
    <n v="37586"/>
  </r>
  <r>
    <n v="2750"/>
    <d v="2023-04-25T13:00:00"/>
    <x v="3"/>
    <n v="17"/>
    <x v="0"/>
    <s v="TVS"/>
    <x v="0"/>
    <x v="2"/>
    <n v="22685"/>
    <n v="0"/>
    <n v="134839"/>
    <n v="40165"/>
    <n v="3"/>
    <s v="Yes"/>
    <x v="0"/>
    <n v="94674"/>
  </r>
  <r>
    <n v="2751"/>
    <d v="2023-04-25T14:00:00"/>
    <x v="3"/>
    <n v="17"/>
    <x v="0"/>
    <s v="Bajaj"/>
    <x v="1"/>
    <x v="1"/>
    <n v="84763"/>
    <n v="6"/>
    <n v="117662"/>
    <n v="82285"/>
    <n v="6"/>
    <s v="Yes"/>
    <x v="0"/>
    <n v="35377"/>
  </r>
  <r>
    <n v="2752"/>
    <d v="2023-04-25T15:00:00"/>
    <x v="3"/>
    <n v="17"/>
    <x v="0"/>
    <s v="Hero"/>
    <x v="0"/>
    <x v="1"/>
    <n v="99156"/>
    <n v="7"/>
    <n v="42970"/>
    <n v="136359"/>
    <n v="2"/>
    <s v="Yes"/>
    <x v="0"/>
    <n v="-93389"/>
  </r>
  <r>
    <n v="2753"/>
    <d v="2023-04-25T16:00:00"/>
    <x v="3"/>
    <n v="17"/>
    <x v="0"/>
    <s v="Honda"/>
    <x v="0"/>
    <x v="1"/>
    <n v="52607"/>
    <n v="4"/>
    <n v="95218"/>
    <n v="113844"/>
    <n v="3"/>
    <s v="Yes"/>
    <x v="0"/>
    <n v="-18626"/>
  </r>
  <r>
    <n v="2754"/>
    <d v="2023-04-25T17:00:00"/>
    <x v="3"/>
    <n v="17"/>
    <x v="0"/>
    <s v="Yamaha"/>
    <x v="0"/>
    <x v="3"/>
    <n v="67054"/>
    <n v="1"/>
    <n v="99362"/>
    <n v="79927"/>
    <n v="1"/>
    <s v="Yes"/>
    <x v="1"/>
    <n v="19435"/>
  </r>
  <r>
    <n v="2755"/>
    <d v="2023-04-25T18:00:00"/>
    <x v="3"/>
    <n v="17"/>
    <x v="0"/>
    <s v="TVS"/>
    <x v="0"/>
    <x v="3"/>
    <n v="18063"/>
    <n v="7"/>
    <n v="179443"/>
    <n v="88170"/>
    <n v="9"/>
    <s v="No"/>
    <x v="0"/>
    <n v="91273"/>
  </r>
  <r>
    <n v="2756"/>
    <d v="2023-04-25T19:00:00"/>
    <x v="3"/>
    <n v="17"/>
    <x v="0"/>
    <s v="Honda"/>
    <x v="1"/>
    <x v="0"/>
    <n v="71229"/>
    <n v="0"/>
    <n v="175338"/>
    <n v="91150"/>
    <n v="4"/>
    <s v="Yes"/>
    <x v="0"/>
    <n v="84188"/>
  </r>
  <r>
    <n v="2757"/>
    <d v="2023-04-25T20:00:00"/>
    <x v="3"/>
    <n v="17"/>
    <x v="0"/>
    <s v="Yamaha"/>
    <x v="0"/>
    <x v="1"/>
    <n v="16201"/>
    <n v="6"/>
    <n v="175267"/>
    <n v="39866"/>
    <n v="6"/>
    <s v="Yes"/>
    <x v="0"/>
    <n v="135401"/>
  </r>
  <r>
    <n v="2758"/>
    <d v="2023-04-25T21:00:00"/>
    <x v="3"/>
    <n v="17"/>
    <x v="0"/>
    <s v="Yamaha"/>
    <x v="0"/>
    <x v="2"/>
    <n v="69572"/>
    <n v="0"/>
    <n v="135949"/>
    <n v="25282"/>
    <n v="7"/>
    <s v="Yes"/>
    <x v="0"/>
    <n v="110667"/>
  </r>
  <r>
    <n v="2759"/>
    <d v="2023-04-25T22:00:00"/>
    <x v="3"/>
    <n v="17"/>
    <x v="0"/>
    <s v="Bajaj"/>
    <x v="0"/>
    <x v="2"/>
    <n v="48717"/>
    <n v="5"/>
    <n v="151895"/>
    <n v="35319"/>
    <n v="2"/>
    <s v="Yes"/>
    <x v="0"/>
    <n v="116576"/>
  </r>
  <r>
    <n v="2760"/>
    <d v="2023-04-25T23:00:00"/>
    <x v="3"/>
    <n v="17"/>
    <x v="0"/>
    <s v="Bajaj"/>
    <x v="0"/>
    <x v="0"/>
    <n v="45110"/>
    <n v="5"/>
    <n v="52315"/>
    <n v="51726"/>
    <n v="8"/>
    <s v="No"/>
    <x v="0"/>
    <n v="589"/>
  </r>
  <r>
    <n v="2761"/>
    <d v="2023-04-26T00:00:00"/>
    <x v="3"/>
    <n v="17"/>
    <x v="0"/>
    <s v="Bajaj"/>
    <x v="1"/>
    <x v="2"/>
    <n v="84922"/>
    <n v="4"/>
    <n v="108804"/>
    <n v="30412"/>
    <n v="12"/>
    <s v="No"/>
    <x v="1"/>
    <n v="78392"/>
  </r>
  <r>
    <n v="2762"/>
    <d v="2023-04-26T01:00:00"/>
    <x v="3"/>
    <n v="17"/>
    <x v="0"/>
    <s v="Honda"/>
    <x v="0"/>
    <x v="0"/>
    <n v="50631"/>
    <n v="1"/>
    <n v="66581"/>
    <n v="117163"/>
    <n v="9"/>
    <s v="No"/>
    <x v="0"/>
    <n v="-50582"/>
  </r>
  <r>
    <n v="2763"/>
    <d v="2023-04-26T02:00:00"/>
    <x v="3"/>
    <n v="17"/>
    <x v="0"/>
    <s v="Honda"/>
    <x v="0"/>
    <x v="1"/>
    <n v="29910"/>
    <n v="1"/>
    <n v="122357"/>
    <n v="88586"/>
    <n v="14"/>
    <s v="No"/>
    <x v="0"/>
    <n v="33771"/>
  </r>
  <r>
    <n v="2764"/>
    <d v="2023-04-26T03:00:00"/>
    <x v="3"/>
    <n v="17"/>
    <x v="0"/>
    <s v="TVS"/>
    <x v="0"/>
    <x v="2"/>
    <n v="99780"/>
    <n v="8"/>
    <n v="144761"/>
    <n v="139135"/>
    <n v="10"/>
    <s v="No"/>
    <x v="0"/>
    <n v="5626"/>
  </r>
  <r>
    <n v="2765"/>
    <d v="2023-04-26T04:00:00"/>
    <x v="3"/>
    <n v="17"/>
    <x v="0"/>
    <s v="Bajaj"/>
    <x v="0"/>
    <x v="1"/>
    <n v="59215"/>
    <n v="4"/>
    <n v="138984"/>
    <n v="135019"/>
    <n v="11"/>
    <s v="No"/>
    <x v="0"/>
    <n v="3965"/>
  </r>
  <r>
    <n v="2766"/>
    <d v="2023-04-26T05:00:00"/>
    <x v="3"/>
    <n v="17"/>
    <x v="0"/>
    <s v="Yamaha"/>
    <x v="1"/>
    <x v="3"/>
    <n v="39165"/>
    <n v="4"/>
    <n v="117449"/>
    <n v="39583"/>
    <n v="2"/>
    <s v="Yes"/>
    <x v="0"/>
    <n v="77866"/>
  </r>
  <r>
    <n v="2767"/>
    <d v="2023-04-26T06:00:00"/>
    <x v="3"/>
    <n v="17"/>
    <x v="0"/>
    <s v="Hero"/>
    <x v="0"/>
    <x v="2"/>
    <n v="16457"/>
    <n v="6"/>
    <n v="178256"/>
    <n v="98577"/>
    <n v="5"/>
    <s v="Yes"/>
    <x v="0"/>
    <n v="79679"/>
  </r>
  <r>
    <n v="2768"/>
    <d v="2023-04-26T07:00:00"/>
    <x v="3"/>
    <n v="17"/>
    <x v="0"/>
    <s v="TVS"/>
    <x v="0"/>
    <x v="3"/>
    <n v="48627"/>
    <n v="5"/>
    <n v="179351"/>
    <n v="76922"/>
    <n v="2"/>
    <s v="Yes"/>
    <x v="0"/>
    <n v="102429"/>
  </r>
  <r>
    <n v="2769"/>
    <d v="2023-04-26T08:00:00"/>
    <x v="3"/>
    <n v="17"/>
    <x v="0"/>
    <s v="Honda"/>
    <x v="0"/>
    <x v="2"/>
    <n v="64089"/>
    <n v="1"/>
    <n v="155522"/>
    <n v="21185"/>
    <n v="11"/>
    <s v="No"/>
    <x v="0"/>
    <n v="134337"/>
  </r>
  <r>
    <n v="2770"/>
    <d v="2023-04-26T09:00:00"/>
    <x v="3"/>
    <n v="17"/>
    <x v="0"/>
    <s v="TVS"/>
    <x v="0"/>
    <x v="1"/>
    <n v="46508"/>
    <n v="0"/>
    <n v="68030"/>
    <n v="101348"/>
    <n v="5"/>
    <s v="Yes"/>
    <x v="0"/>
    <n v="-33318"/>
  </r>
  <r>
    <n v="2771"/>
    <d v="2023-04-26T10:00:00"/>
    <x v="3"/>
    <n v="17"/>
    <x v="0"/>
    <s v="TVS"/>
    <x v="0"/>
    <x v="0"/>
    <n v="62420"/>
    <n v="4"/>
    <n v="87245"/>
    <n v="106368"/>
    <n v="7"/>
    <s v="Yes"/>
    <x v="0"/>
    <n v="-19123"/>
  </r>
  <r>
    <n v="2772"/>
    <d v="2023-04-26T11:00:00"/>
    <x v="3"/>
    <n v="17"/>
    <x v="0"/>
    <s v="TVS"/>
    <x v="1"/>
    <x v="1"/>
    <n v="33375"/>
    <n v="3"/>
    <n v="60133"/>
    <n v="71389"/>
    <n v="6"/>
    <s v="Yes"/>
    <x v="0"/>
    <n v="-11256"/>
  </r>
  <r>
    <n v="2773"/>
    <d v="2023-04-26T12:00:00"/>
    <x v="3"/>
    <n v="17"/>
    <x v="0"/>
    <s v="TVS"/>
    <x v="0"/>
    <x v="1"/>
    <n v="2126"/>
    <n v="2"/>
    <n v="68998"/>
    <n v="32423"/>
    <n v="4"/>
    <s v="Yes"/>
    <x v="0"/>
    <n v="36575"/>
  </r>
  <r>
    <n v="2774"/>
    <d v="2023-04-26T13:00:00"/>
    <x v="3"/>
    <n v="17"/>
    <x v="0"/>
    <s v="Hero"/>
    <x v="1"/>
    <x v="1"/>
    <n v="91315"/>
    <n v="1"/>
    <n v="173310"/>
    <n v="66268"/>
    <n v="14"/>
    <s v="No"/>
    <x v="0"/>
    <n v="107042"/>
  </r>
  <r>
    <n v="2775"/>
    <d v="2023-04-26T14:00:00"/>
    <x v="3"/>
    <n v="17"/>
    <x v="0"/>
    <s v="Bajaj"/>
    <x v="0"/>
    <x v="2"/>
    <n v="64322"/>
    <n v="9"/>
    <n v="140603"/>
    <n v="127692"/>
    <n v="2"/>
    <s v="Yes"/>
    <x v="1"/>
    <n v="12911"/>
  </r>
  <r>
    <n v="2776"/>
    <d v="2023-04-26T15:00:00"/>
    <x v="3"/>
    <n v="17"/>
    <x v="0"/>
    <s v="Yamaha"/>
    <x v="0"/>
    <x v="0"/>
    <n v="72265"/>
    <n v="1"/>
    <n v="73245"/>
    <n v="56644"/>
    <n v="7"/>
    <s v="Yes"/>
    <x v="0"/>
    <n v="16601"/>
  </r>
  <r>
    <n v="2777"/>
    <d v="2023-04-26T16:00:00"/>
    <x v="3"/>
    <n v="17"/>
    <x v="0"/>
    <s v="TVS"/>
    <x v="0"/>
    <x v="3"/>
    <n v="72913"/>
    <n v="3"/>
    <n v="48557"/>
    <n v="51786"/>
    <n v="12"/>
    <s v="No"/>
    <x v="0"/>
    <n v="-3229"/>
  </r>
  <r>
    <n v="2778"/>
    <d v="2023-04-26T17:00:00"/>
    <x v="3"/>
    <n v="17"/>
    <x v="0"/>
    <s v="TVS"/>
    <x v="0"/>
    <x v="1"/>
    <n v="34142"/>
    <n v="1"/>
    <n v="95474"/>
    <n v="110201"/>
    <n v="10"/>
    <s v="No"/>
    <x v="0"/>
    <n v="-14727"/>
  </r>
  <r>
    <n v="2779"/>
    <d v="2023-04-26T18:00:00"/>
    <x v="3"/>
    <n v="17"/>
    <x v="0"/>
    <s v="TVS"/>
    <x v="1"/>
    <x v="2"/>
    <n v="38811"/>
    <n v="3"/>
    <n v="116228"/>
    <n v="90525"/>
    <n v="9"/>
    <s v="No"/>
    <x v="0"/>
    <n v="25703"/>
  </r>
  <r>
    <n v="2780"/>
    <d v="2023-04-26T19:00:00"/>
    <x v="3"/>
    <n v="17"/>
    <x v="0"/>
    <s v="Bajaj"/>
    <x v="0"/>
    <x v="3"/>
    <n v="32856"/>
    <n v="2"/>
    <n v="90074"/>
    <n v="137234"/>
    <n v="1"/>
    <s v="Yes"/>
    <x v="0"/>
    <n v="-47160"/>
  </r>
  <r>
    <n v="2781"/>
    <d v="2023-04-26T20:00:00"/>
    <x v="3"/>
    <n v="17"/>
    <x v="0"/>
    <s v="Honda"/>
    <x v="0"/>
    <x v="1"/>
    <n v="4309"/>
    <n v="8"/>
    <n v="83204"/>
    <n v="98744"/>
    <n v="3"/>
    <s v="Yes"/>
    <x v="0"/>
    <n v="-15540"/>
  </r>
  <r>
    <n v="2782"/>
    <d v="2023-04-26T21:00:00"/>
    <x v="3"/>
    <n v="17"/>
    <x v="0"/>
    <s v="Honda"/>
    <x v="0"/>
    <x v="3"/>
    <n v="43871"/>
    <n v="6"/>
    <n v="176141"/>
    <n v="133222"/>
    <n v="7"/>
    <s v="Yes"/>
    <x v="0"/>
    <n v="42919"/>
  </r>
  <r>
    <n v="2783"/>
    <d v="2023-04-26T22:00:00"/>
    <x v="3"/>
    <n v="17"/>
    <x v="0"/>
    <s v="Hero"/>
    <x v="0"/>
    <x v="1"/>
    <n v="35375"/>
    <n v="2"/>
    <n v="31846"/>
    <n v="103590"/>
    <n v="14"/>
    <s v="No"/>
    <x v="0"/>
    <n v="-71744"/>
  </r>
  <r>
    <n v="2784"/>
    <d v="2023-04-26T23:00:00"/>
    <x v="3"/>
    <n v="17"/>
    <x v="0"/>
    <s v="Honda"/>
    <x v="0"/>
    <x v="3"/>
    <n v="9965"/>
    <n v="7"/>
    <n v="48694"/>
    <n v="45477"/>
    <n v="9"/>
    <s v="No"/>
    <x v="0"/>
    <n v="3217"/>
  </r>
  <r>
    <n v="2785"/>
    <d v="2023-04-27T00:00:00"/>
    <x v="3"/>
    <n v="17"/>
    <x v="0"/>
    <s v="TVS"/>
    <x v="0"/>
    <x v="3"/>
    <n v="66595"/>
    <n v="8"/>
    <n v="46740"/>
    <n v="110910"/>
    <n v="13"/>
    <s v="No"/>
    <x v="0"/>
    <n v="-64170"/>
  </r>
  <r>
    <n v="2786"/>
    <d v="2023-04-27T01:00:00"/>
    <x v="3"/>
    <n v="17"/>
    <x v="0"/>
    <s v="TVS"/>
    <x v="0"/>
    <x v="0"/>
    <n v="74344"/>
    <n v="6"/>
    <n v="55996"/>
    <n v="137942"/>
    <n v="5"/>
    <s v="Yes"/>
    <x v="0"/>
    <n v="-81946"/>
  </r>
  <r>
    <n v="2787"/>
    <d v="2023-04-27T02:00:00"/>
    <x v="3"/>
    <n v="17"/>
    <x v="0"/>
    <s v="TVS"/>
    <x v="0"/>
    <x v="0"/>
    <n v="65750"/>
    <n v="5"/>
    <n v="88874"/>
    <n v="121756"/>
    <n v="7"/>
    <s v="Yes"/>
    <x v="0"/>
    <n v="-32882"/>
  </r>
  <r>
    <n v="2788"/>
    <d v="2023-04-27T03:00:00"/>
    <x v="3"/>
    <n v="17"/>
    <x v="0"/>
    <s v="Hero"/>
    <x v="0"/>
    <x v="1"/>
    <n v="87389"/>
    <n v="3"/>
    <n v="122661"/>
    <n v="18571"/>
    <n v="10"/>
    <s v="No"/>
    <x v="0"/>
    <n v="104090"/>
  </r>
  <r>
    <n v="2789"/>
    <d v="2023-04-27T04:00:00"/>
    <x v="3"/>
    <n v="17"/>
    <x v="0"/>
    <s v="TVS"/>
    <x v="0"/>
    <x v="2"/>
    <n v="15750"/>
    <n v="4"/>
    <n v="131945"/>
    <n v="34576"/>
    <n v="7"/>
    <s v="Yes"/>
    <x v="0"/>
    <n v="97369"/>
  </r>
  <r>
    <n v="2790"/>
    <d v="2023-04-27T05:00:00"/>
    <x v="3"/>
    <n v="17"/>
    <x v="0"/>
    <s v="Honda"/>
    <x v="0"/>
    <x v="0"/>
    <n v="46523"/>
    <n v="7"/>
    <n v="47970"/>
    <n v="134641"/>
    <n v="4"/>
    <s v="Yes"/>
    <x v="1"/>
    <n v="-86671"/>
  </r>
  <r>
    <n v="2791"/>
    <d v="2023-04-27T06:00:00"/>
    <x v="3"/>
    <n v="17"/>
    <x v="0"/>
    <s v="Bajaj"/>
    <x v="0"/>
    <x v="3"/>
    <n v="47124"/>
    <n v="2"/>
    <n v="166967"/>
    <n v="77703"/>
    <n v="5"/>
    <s v="Yes"/>
    <x v="1"/>
    <n v="89264"/>
  </r>
  <r>
    <n v="2792"/>
    <d v="2023-04-27T07:00:00"/>
    <x v="3"/>
    <n v="17"/>
    <x v="0"/>
    <s v="Bajaj"/>
    <x v="1"/>
    <x v="0"/>
    <n v="16927"/>
    <n v="1"/>
    <n v="178330"/>
    <n v="24680"/>
    <n v="2"/>
    <s v="Yes"/>
    <x v="0"/>
    <n v="153650"/>
  </r>
  <r>
    <n v="2793"/>
    <d v="2023-04-27T08:00:00"/>
    <x v="3"/>
    <n v="17"/>
    <x v="0"/>
    <s v="Yamaha"/>
    <x v="0"/>
    <x v="0"/>
    <n v="33776"/>
    <n v="2"/>
    <n v="113890"/>
    <n v="40706"/>
    <n v="8"/>
    <s v="No"/>
    <x v="0"/>
    <n v="73184"/>
  </r>
  <r>
    <n v="2794"/>
    <d v="2023-04-27T09:00:00"/>
    <x v="3"/>
    <n v="17"/>
    <x v="0"/>
    <s v="Honda"/>
    <x v="0"/>
    <x v="1"/>
    <n v="72143"/>
    <n v="6"/>
    <n v="82300"/>
    <n v="94854"/>
    <n v="12"/>
    <s v="No"/>
    <x v="0"/>
    <n v="-12554"/>
  </r>
  <r>
    <n v="2795"/>
    <d v="2023-04-27T10:00:00"/>
    <x v="3"/>
    <n v="17"/>
    <x v="0"/>
    <s v="TVS"/>
    <x v="0"/>
    <x v="0"/>
    <n v="79512"/>
    <n v="7"/>
    <n v="86915"/>
    <n v="101195"/>
    <n v="1"/>
    <s v="Yes"/>
    <x v="0"/>
    <n v="-14280"/>
  </r>
  <r>
    <n v="2796"/>
    <d v="2023-04-27T11:00:00"/>
    <x v="3"/>
    <n v="17"/>
    <x v="0"/>
    <s v="Bajaj"/>
    <x v="0"/>
    <x v="0"/>
    <n v="3939"/>
    <n v="0"/>
    <n v="164516"/>
    <n v="79527"/>
    <n v="2"/>
    <s v="Yes"/>
    <x v="0"/>
    <n v="84989"/>
  </r>
  <r>
    <n v="2797"/>
    <d v="2023-04-27T12:00:00"/>
    <x v="3"/>
    <n v="17"/>
    <x v="0"/>
    <s v="Honda"/>
    <x v="0"/>
    <x v="3"/>
    <n v="86348"/>
    <n v="6"/>
    <n v="100147"/>
    <n v="130042"/>
    <n v="12"/>
    <s v="No"/>
    <x v="0"/>
    <n v="-29895"/>
  </r>
  <r>
    <n v="2798"/>
    <d v="2023-04-27T13:00:00"/>
    <x v="3"/>
    <n v="17"/>
    <x v="0"/>
    <s v="Bajaj"/>
    <x v="0"/>
    <x v="0"/>
    <n v="87831"/>
    <n v="8"/>
    <n v="101064"/>
    <n v="85565"/>
    <n v="3"/>
    <s v="Yes"/>
    <x v="0"/>
    <n v="15499"/>
  </r>
  <r>
    <n v="2799"/>
    <d v="2023-04-27T14:00:00"/>
    <x v="3"/>
    <n v="17"/>
    <x v="0"/>
    <s v="TVS"/>
    <x v="0"/>
    <x v="3"/>
    <n v="79172"/>
    <n v="2"/>
    <n v="91535"/>
    <n v="63436"/>
    <n v="7"/>
    <s v="Yes"/>
    <x v="0"/>
    <n v="28099"/>
  </r>
  <r>
    <n v="2800"/>
    <d v="2023-04-27T15:00:00"/>
    <x v="3"/>
    <n v="17"/>
    <x v="0"/>
    <s v="Bajaj"/>
    <x v="0"/>
    <x v="0"/>
    <n v="80203"/>
    <n v="2"/>
    <n v="28760"/>
    <n v="17774"/>
    <n v="6"/>
    <s v="Yes"/>
    <x v="0"/>
    <n v="10986"/>
  </r>
  <r>
    <n v="2801"/>
    <d v="2023-04-27T16:00:00"/>
    <x v="3"/>
    <n v="17"/>
    <x v="0"/>
    <s v="Yamaha"/>
    <x v="0"/>
    <x v="0"/>
    <n v="17800"/>
    <n v="7"/>
    <n v="127715"/>
    <n v="31972"/>
    <n v="14"/>
    <s v="No"/>
    <x v="0"/>
    <n v="95743"/>
  </r>
  <r>
    <n v="2802"/>
    <d v="2023-04-27T17:00:00"/>
    <x v="3"/>
    <n v="17"/>
    <x v="0"/>
    <s v="Yamaha"/>
    <x v="0"/>
    <x v="2"/>
    <n v="60789"/>
    <n v="3"/>
    <n v="150491"/>
    <n v="29048"/>
    <n v="7"/>
    <s v="Yes"/>
    <x v="0"/>
    <n v="121443"/>
  </r>
  <r>
    <n v="2803"/>
    <d v="2023-04-27T18:00:00"/>
    <x v="3"/>
    <n v="17"/>
    <x v="0"/>
    <s v="Bajaj"/>
    <x v="1"/>
    <x v="0"/>
    <n v="17682"/>
    <n v="7"/>
    <n v="155992"/>
    <n v="113908"/>
    <n v="11"/>
    <s v="No"/>
    <x v="0"/>
    <n v="42084"/>
  </r>
  <r>
    <n v="2804"/>
    <d v="2023-04-27T19:00:00"/>
    <x v="3"/>
    <n v="17"/>
    <x v="0"/>
    <s v="Honda"/>
    <x v="0"/>
    <x v="3"/>
    <n v="71007"/>
    <n v="4"/>
    <n v="87399"/>
    <n v="123724"/>
    <n v="5"/>
    <s v="Yes"/>
    <x v="0"/>
    <n v="-36325"/>
  </r>
  <r>
    <n v="2805"/>
    <d v="2023-04-27T20:00:00"/>
    <x v="3"/>
    <n v="17"/>
    <x v="0"/>
    <s v="Honda"/>
    <x v="0"/>
    <x v="3"/>
    <n v="51412"/>
    <n v="2"/>
    <n v="87278"/>
    <n v="121669"/>
    <n v="14"/>
    <s v="No"/>
    <x v="0"/>
    <n v="-34391"/>
  </r>
  <r>
    <n v="2806"/>
    <d v="2023-04-27T21:00:00"/>
    <x v="3"/>
    <n v="17"/>
    <x v="0"/>
    <s v="Honda"/>
    <x v="1"/>
    <x v="1"/>
    <n v="27409"/>
    <n v="3"/>
    <n v="138286"/>
    <n v="95225"/>
    <n v="4"/>
    <s v="Yes"/>
    <x v="1"/>
    <n v="43061"/>
  </r>
  <r>
    <n v="2807"/>
    <d v="2023-04-27T22:00:00"/>
    <x v="3"/>
    <n v="17"/>
    <x v="0"/>
    <s v="Bajaj"/>
    <x v="0"/>
    <x v="1"/>
    <n v="20159"/>
    <n v="3"/>
    <n v="169151"/>
    <n v="97273"/>
    <n v="7"/>
    <s v="Yes"/>
    <x v="0"/>
    <n v="71878"/>
  </r>
  <r>
    <n v="2808"/>
    <d v="2023-04-27T23:00:00"/>
    <x v="3"/>
    <n v="17"/>
    <x v="0"/>
    <s v="Honda"/>
    <x v="0"/>
    <x v="2"/>
    <n v="31903"/>
    <n v="7"/>
    <n v="162967"/>
    <n v="96550"/>
    <n v="3"/>
    <s v="Yes"/>
    <x v="0"/>
    <n v="66417"/>
  </r>
  <r>
    <n v="2809"/>
    <d v="2023-04-28T00:00:00"/>
    <x v="3"/>
    <n v="17"/>
    <x v="0"/>
    <s v="TVS"/>
    <x v="0"/>
    <x v="3"/>
    <n v="34086"/>
    <n v="5"/>
    <n v="118515"/>
    <n v="102354"/>
    <n v="13"/>
    <s v="No"/>
    <x v="0"/>
    <n v="16161"/>
  </r>
  <r>
    <n v="2810"/>
    <d v="2023-04-28T01:00:00"/>
    <x v="3"/>
    <n v="17"/>
    <x v="0"/>
    <s v="Yamaha"/>
    <x v="1"/>
    <x v="3"/>
    <n v="10860"/>
    <n v="6"/>
    <n v="77142"/>
    <n v="113737"/>
    <n v="10"/>
    <s v="No"/>
    <x v="0"/>
    <n v="-36595"/>
  </r>
  <r>
    <n v="2811"/>
    <d v="2023-04-28T02:00:00"/>
    <x v="3"/>
    <n v="17"/>
    <x v="0"/>
    <s v="TVS"/>
    <x v="0"/>
    <x v="3"/>
    <n v="21924"/>
    <n v="8"/>
    <n v="152157"/>
    <n v="91680"/>
    <n v="7"/>
    <s v="Yes"/>
    <x v="1"/>
    <n v="60477"/>
  </r>
  <r>
    <n v="2812"/>
    <d v="2023-04-28T03:00:00"/>
    <x v="3"/>
    <n v="17"/>
    <x v="0"/>
    <s v="Honda"/>
    <x v="1"/>
    <x v="2"/>
    <n v="98535"/>
    <n v="5"/>
    <n v="168624"/>
    <n v="111537"/>
    <n v="2"/>
    <s v="Yes"/>
    <x v="0"/>
    <n v="57087"/>
  </r>
  <r>
    <n v="2813"/>
    <d v="2023-04-28T04:00:00"/>
    <x v="3"/>
    <n v="17"/>
    <x v="0"/>
    <s v="TVS"/>
    <x v="0"/>
    <x v="3"/>
    <n v="49291"/>
    <n v="2"/>
    <n v="117930"/>
    <n v="72602"/>
    <n v="12"/>
    <s v="No"/>
    <x v="0"/>
    <n v="45328"/>
  </r>
  <r>
    <n v="2814"/>
    <d v="2023-04-28T05:00:00"/>
    <x v="3"/>
    <n v="17"/>
    <x v="0"/>
    <s v="Honda"/>
    <x v="0"/>
    <x v="1"/>
    <n v="3565"/>
    <n v="2"/>
    <n v="122812"/>
    <n v="81403"/>
    <n v="12"/>
    <s v="No"/>
    <x v="0"/>
    <n v="41409"/>
  </r>
  <r>
    <n v="2815"/>
    <d v="2023-04-28T06:00:00"/>
    <x v="3"/>
    <n v="17"/>
    <x v="0"/>
    <s v="Bajaj"/>
    <x v="1"/>
    <x v="2"/>
    <n v="69295"/>
    <n v="2"/>
    <n v="95063"/>
    <n v="42182"/>
    <n v="8"/>
    <s v="No"/>
    <x v="0"/>
    <n v="52881"/>
  </r>
  <r>
    <n v="2816"/>
    <d v="2023-04-28T07:00:00"/>
    <x v="3"/>
    <n v="17"/>
    <x v="0"/>
    <s v="TVS"/>
    <x v="0"/>
    <x v="1"/>
    <n v="12800"/>
    <n v="9"/>
    <n v="155990"/>
    <n v="94876"/>
    <n v="12"/>
    <s v="No"/>
    <x v="1"/>
    <n v="61114"/>
  </r>
  <r>
    <n v="2817"/>
    <d v="2023-04-28T08:00:00"/>
    <x v="3"/>
    <n v="17"/>
    <x v="0"/>
    <s v="Bajaj"/>
    <x v="0"/>
    <x v="1"/>
    <n v="33870"/>
    <n v="1"/>
    <n v="37247"/>
    <n v="92373"/>
    <n v="6"/>
    <s v="Yes"/>
    <x v="0"/>
    <n v="-55126"/>
  </r>
  <r>
    <n v="2818"/>
    <d v="2023-04-28T09:00:00"/>
    <x v="3"/>
    <n v="17"/>
    <x v="0"/>
    <s v="Bajaj"/>
    <x v="0"/>
    <x v="2"/>
    <n v="70331"/>
    <n v="0"/>
    <n v="42603"/>
    <n v="62059"/>
    <n v="12"/>
    <s v="No"/>
    <x v="0"/>
    <n v="-19456"/>
  </r>
  <r>
    <n v="2819"/>
    <d v="2023-04-28T10:00:00"/>
    <x v="3"/>
    <n v="17"/>
    <x v="0"/>
    <s v="Hero"/>
    <x v="0"/>
    <x v="0"/>
    <n v="27709"/>
    <n v="9"/>
    <n v="127099"/>
    <n v="23787"/>
    <n v="3"/>
    <s v="Yes"/>
    <x v="0"/>
    <n v="103312"/>
  </r>
  <r>
    <n v="2820"/>
    <d v="2023-04-28T11:00:00"/>
    <x v="3"/>
    <n v="17"/>
    <x v="0"/>
    <s v="Honda"/>
    <x v="1"/>
    <x v="0"/>
    <n v="21427"/>
    <n v="0"/>
    <n v="25527"/>
    <n v="135452"/>
    <n v="3"/>
    <s v="Yes"/>
    <x v="0"/>
    <n v="-109925"/>
  </r>
  <r>
    <n v="2821"/>
    <d v="2023-04-28T12:00:00"/>
    <x v="3"/>
    <n v="17"/>
    <x v="0"/>
    <s v="Yamaha"/>
    <x v="0"/>
    <x v="1"/>
    <n v="35079"/>
    <n v="3"/>
    <n v="30849"/>
    <n v="15393"/>
    <n v="5"/>
    <s v="Yes"/>
    <x v="0"/>
    <n v="15456"/>
  </r>
  <r>
    <n v="2822"/>
    <d v="2023-04-28T13:00:00"/>
    <x v="3"/>
    <n v="17"/>
    <x v="0"/>
    <s v="Honda"/>
    <x v="0"/>
    <x v="0"/>
    <n v="9532"/>
    <n v="2"/>
    <n v="75314"/>
    <n v="76775"/>
    <n v="3"/>
    <s v="Yes"/>
    <x v="0"/>
    <n v="-1461"/>
  </r>
  <r>
    <n v="2823"/>
    <d v="2023-04-28T14:00:00"/>
    <x v="3"/>
    <n v="17"/>
    <x v="0"/>
    <s v="Yamaha"/>
    <x v="0"/>
    <x v="3"/>
    <n v="93754"/>
    <n v="4"/>
    <n v="42230"/>
    <n v="74454"/>
    <n v="6"/>
    <s v="Yes"/>
    <x v="0"/>
    <n v="-32224"/>
  </r>
  <r>
    <n v="2824"/>
    <d v="2023-04-28T15:00:00"/>
    <x v="3"/>
    <n v="17"/>
    <x v="0"/>
    <s v="Honda"/>
    <x v="0"/>
    <x v="2"/>
    <n v="78913"/>
    <n v="8"/>
    <n v="117229"/>
    <n v="27056"/>
    <n v="2"/>
    <s v="Yes"/>
    <x v="0"/>
    <n v="90173"/>
  </r>
  <r>
    <n v="2825"/>
    <d v="2023-04-28T16:00:00"/>
    <x v="3"/>
    <n v="17"/>
    <x v="0"/>
    <s v="Bajaj"/>
    <x v="0"/>
    <x v="1"/>
    <n v="41231"/>
    <n v="7"/>
    <n v="97495"/>
    <n v="76483"/>
    <n v="8"/>
    <s v="No"/>
    <x v="0"/>
    <n v="21012"/>
  </r>
  <r>
    <n v="2826"/>
    <d v="2023-04-28T17:00:00"/>
    <x v="3"/>
    <n v="17"/>
    <x v="0"/>
    <s v="TVS"/>
    <x v="0"/>
    <x v="3"/>
    <n v="92702"/>
    <n v="8"/>
    <n v="126390"/>
    <n v="123696"/>
    <n v="13"/>
    <s v="No"/>
    <x v="0"/>
    <n v="2694"/>
  </r>
  <r>
    <n v="2827"/>
    <d v="2023-04-28T18:00:00"/>
    <x v="3"/>
    <n v="17"/>
    <x v="0"/>
    <s v="TVS"/>
    <x v="0"/>
    <x v="0"/>
    <n v="54267"/>
    <n v="4"/>
    <n v="116937"/>
    <n v="59957"/>
    <n v="11"/>
    <s v="No"/>
    <x v="0"/>
    <n v="56980"/>
  </r>
  <r>
    <n v="2828"/>
    <d v="2023-04-28T19:00:00"/>
    <x v="3"/>
    <n v="17"/>
    <x v="0"/>
    <s v="Hero"/>
    <x v="1"/>
    <x v="3"/>
    <n v="72802"/>
    <n v="7"/>
    <n v="138723"/>
    <n v="43429"/>
    <n v="12"/>
    <s v="No"/>
    <x v="0"/>
    <n v="95294"/>
  </r>
  <r>
    <n v="2829"/>
    <d v="2023-04-28T20:00:00"/>
    <x v="3"/>
    <n v="17"/>
    <x v="0"/>
    <s v="Yamaha"/>
    <x v="0"/>
    <x v="0"/>
    <n v="50454"/>
    <n v="3"/>
    <n v="28323"/>
    <n v="60909"/>
    <n v="11"/>
    <s v="No"/>
    <x v="0"/>
    <n v="-32586"/>
  </r>
  <r>
    <n v="2830"/>
    <d v="2023-04-28T21:00:00"/>
    <x v="3"/>
    <n v="17"/>
    <x v="0"/>
    <s v="Yamaha"/>
    <x v="0"/>
    <x v="1"/>
    <n v="88865"/>
    <n v="4"/>
    <n v="156517"/>
    <n v="67906"/>
    <n v="9"/>
    <s v="No"/>
    <x v="0"/>
    <n v="88611"/>
  </r>
  <r>
    <n v="2831"/>
    <d v="2023-04-28T22:00:00"/>
    <x v="3"/>
    <n v="17"/>
    <x v="0"/>
    <s v="Yamaha"/>
    <x v="1"/>
    <x v="3"/>
    <n v="86257"/>
    <n v="2"/>
    <n v="107945"/>
    <n v="112435"/>
    <n v="13"/>
    <s v="No"/>
    <x v="0"/>
    <n v="-4490"/>
  </r>
  <r>
    <n v="2832"/>
    <d v="2023-04-28T23:00:00"/>
    <x v="3"/>
    <n v="17"/>
    <x v="0"/>
    <s v="Bajaj"/>
    <x v="0"/>
    <x v="2"/>
    <n v="25602"/>
    <n v="4"/>
    <n v="166035"/>
    <n v="112757"/>
    <n v="7"/>
    <s v="Yes"/>
    <x v="1"/>
    <n v="53278"/>
  </r>
  <r>
    <n v="2833"/>
    <d v="2023-04-29T00:00:00"/>
    <x v="3"/>
    <n v="17"/>
    <x v="0"/>
    <s v="Yamaha"/>
    <x v="0"/>
    <x v="1"/>
    <n v="34933"/>
    <n v="2"/>
    <n v="145801"/>
    <n v="101290"/>
    <n v="14"/>
    <s v="No"/>
    <x v="0"/>
    <n v="44511"/>
  </r>
  <r>
    <n v="2834"/>
    <d v="2023-04-29T01:00:00"/>
    <x v="3"/>
    <n v="17"/>
    <x v="0"/>
    <s v="TVS"/>
    <x v="0"/>
    <x v="3"/>
    <n v="16432"/>
    <n v="4"/>
    <n v="171509"/>
    <n v="59389"/>
    <n v="3"/>
    <s v="Yes"/>
    <x v="0"/>
    <n v="112120"/>
  </r>
  <r>
    <n v="2835"/>
    <d v="2023-04-29T02:00:00"/>
    <x v="3"/>
    <n v="17"/>
    <x v="0"/>
    <s v="Bajaj"/>
    <x v="1"/>
    <x v="3"/>
    <n v="26214"/>
    <n v="4"/>
    <n v="172927"/>
    <n v="35905"/>
    <n v="11"/>
    <s v="No"/>
    <x v="0"/>
    <n v="137022"/>
  </r>
  <r>
    <n v="2836"/>
    <d v="2023-04-29T03:00:00"/>
    <x v="3"/>
    <n v="17"/>
    <x v="0"/>
    <s v="Honda"/>
    <x v="0"/>
    <x v="0"/>
    <n v="58303"/>
    <n v="5"/>
    <n v="106947"/>
    <n v="104619"/>
    <n v="14"/>
    <s v="No"/>
    <x v="0"/>
    <n v="2328"/>
  </r>
  <r>
    <n v="2837"/>
    <d v="2023-04-29T04:00:00"/>
    <x v="3"/>
    <n v="17"/>
    <x v="0"/>
    <s v="Yamaha"/>
    <x v="1"/>
    <x v="1"/>
    <n v="40243"/>
    <n v="8"/>
    <n v="166919"/>
    <n v="68730"/>
    <n v="10"/>
    <s v="No"/>
    <x v="0"/>
    <n v="98189"/>
  </r>
  <r>
    <n v="2838"/>
    <d v="2023-04-29T05:00:00"/>
    <x v="3"/>
    <n v="17"/>
    <x v="0"/>
    <s v="Yamaha"/>
    <x v="0"/>
    <x v="1"/>
    <n v="3052"/>
    <n v="0"/>
    <n v="159308"/>
    <n v="72557"/>
    <n v="4"/>
    <s v="Yes"/>
    <x v="1"/>
    <n v="86751"/>
  </r>
  <r>
    <n v="2839"/>
    <d v="2023-04-29T06:00:00"/>
    <x v="3"/>
    <n v="17"/>
    <x v="0"/>
    <s v="Honda"/>
    <x v="0"/>
    <x v="1"/>
    <n v="57127"/>
    <n v="9"/>
    <n v="86897"/>
    <n v="131814"/>
    <n v="12"/>
    <s v="No"/>
    <x v="0"/>
    <n v="-44917"/>
  </r>
  <r>
    <n v="2840"/>
    <d v="2023-04-29T07:00:00"/>
    <x v="3"/>
    <n v="17"/>
    <x v="0"/>
    <s v="Yamaha"/>
    <x v="0"/>
    <x v="1"/>
    <n v="46487"/>
    <n v="5"/>
    <n v="143636"/>
    <n v="121634"/>
    <n v="10"/>
    <s v="No"/>
    <x v="0"/>
    <n v="22002"/>
  </r>
  <r>
    <n v="2841"/>
    <d v="2023-04-29T08:00:00"/>
    <x v="3"/>
    <n v="17"/>
    <x v="0"/>
    <s v="Honda"/>
    <x v="0"/>
    <x v="0"/>
    <n v="80310"/>
    <n v="0"/>
    <n v="38487"/>
    <n v="110157"/>
    <n v="2"/>
    <s v="Yes"/>
    <x v="0"/>
    <n v="-71670"/>
  </r>
  <r>
    <n v="2842"/>
    <d v="2023-04-29T09:00:00"/>
    <x v="3"/>
    <n v="17"/>
    <x v="0"/>
    <s v="Bajaj"/>
    <x v="0"/>
    <x v="2"/>
    <n v="45880"/>
    <n v="5"/>
    <n v="102384"/>
    <n v="101113"/>
    <n v="9"/>
    <s v="No"/>
    <x v="0"/>
    <n v="1271"/>
  </r>
  <r>
    <n v="2843"/>
    <d v="2023-04-29T10:00:00"/>
    <x v="3"/>
    <n v="17"/>
    <x v="0"/>
    <s v="TVS"/>
    <x v="0"/>
    <x v="1"/>
    <n v="29750"/>
    <n v="1"/>
    <n v="38155"/>
    <n v="117264"/>
    <n v="14"/>
    <s v="No"/>
    <x v="0"/>
    <n v="-79109"/>
  </r>
  <r>
    <n v="2844"/>
    <d v="2023-04-29T11:00:00"/>
    <x v="3"/>
    <n v="17"/>
    <x v="0"/>
    <s v="Honda"/>
    <x v="0"/>
    <x v="0"/>
    <n v="68844"/>
    <n v="7"/>
    <n v="36255"/>
    <n v="81199"/>
    <n v="5"/>
    <s v="Yes"/>
    <x v="0"/>
    <n v="-44944"/>
  </r>
  <r>
    <n v="2845"/>
    <d v="2023-04-29T12:00:00"/>
    <x v="3"/>
    <n v="17"/>
    <x v="0"/>
    <s v="Hero"/>
    <x v="0"/>
    <x v="2"/>
    <n v="65186"/>
    <n v="2"/>
    <n v="145860"/>
    <n v="62301"/>
    <n v="12"/>
    <s v="No"/>
    <x v="0"/>
    <n v="83559"/>
  </r>
  <r>
    <n v="2846"/>
    <d v="2023-04-29T13:00:00"/>
    <x v="3"/>
    <n v="17"/>
    <x v="0"/>
    <s v="Honda"/>
    <x v="0"/>
    <x v="2"/>
    <n v="45528"/>
    <n v="9"/>
    <n v="158051"/>
    <n v="99752"/>
    <n v="2"/>
    <s v="Yes"/>
    <x v="0"/>
    <n v="58299"/>
  </r>
  <r>
    <n v="2847"/>
    <d v="2023-04-29T14:00:00"/>
    <x v="3"/>
    <n v="17"/>
    <x v="0"/>
    <s v="Yamaha"/>
    <x v="0"/>
    <x v="0"/>
    <n v="15795"/>
    <n v="5"/>
    <n v="150596"/>
    <n v="62259"/>
    <n v="10"/>
    <s v="No"/>
    <x v="0"/>
    <n v="88337"/>
  </r>
  <r>
    <n v="2848"/>
    <d v="2023-04-29T15:00:00"/>
    <x v="3"/>
    <n v="17"/>
    <x v="0"/>
    <s v="Bajaj"/>
    <x v="0"/>
    <x v="1"/>
    <n v="55748"/>
    <n v="5"/>
    <n v="177377"/>
    <n v="89801"/>
    <n v="6"/>
    <s v="Yes"/>
    <x v="0"/>
    <n v="87576"/>
  </r>
  <r>
    <n v="2849"/>
    <d v="2023-04-29T16:00:00"/>
    <x v="3"/>
    <n v="17"/>
    <x v="0"/>
    <s v="Bajaj"/>
    <x v="0"/>
    <x v="2"/>
    <n v="80705"/>
    <n v="3"/>
    <n v="99543"/>
    <n v="19574"/>
    <n v="7"/>
    <s v="Yes"/>
    <x v="0"/>
    <n v="79969"/>
  </r>
  <r>
    <n v="2850"/>
    <d v="2023-04-29T17:00:00"/>
    <x v="3"/>
    <n v="17"/>
    <x v="0"/>
    <s v="Honda"/>
    <x v="0"/>
    <x v="1"/>
    <n v="11023"/>
    <n v="4"/>
    <n v="60094"/>
    <n v="103291"/>
    <n v="13"/>
    <s v="No"/>
    <x v="0"/>
    <n v="-43197"/>
  </r>
  <r>
    <n v="2851"/>
    <d v="2023-04-29T18:00:00"/>
    <x v="3"/>
    <n v="17"/>
    <x v="0"/>
    <s v="TVS"/>
    <x v="0"/>
    <x v="1"/>
    <n v="46030"/>
    <n v="1"/>
    <n v="34734"/>
    <n v="71776"/>
    <n v="2"/>
    <s v="Yes"/>
    <x v="1"/>
    <n v="-37042"/>
  </r>
  <r>
    <n v="2852"/>
    <d v="2023-04-29T19:00:00"/>
    <x v="3"/>
    <n v="17"/>
    <x v="0"/>
    <s v="Hero"/>
    <x v="0"/>
    <x v="3"/>
    <n v="14269"/>
    <n v="9"/>
    <n v="64605"/>
    <n v="111777"/>
    <n v="1"/>
    <s v="Yes"/>
    <x v="0"/>
    <n v="-47172"/>
  </r>
  <r>
    <n v="2853"/>
    <d v="2023-04-29T20:00:00"/>
    <x v="3"/>
    <n v="17"/>
    <x v="0"/>
    <s v="Bajaj"/>
    <x v="0"/>
    <x v="1"/>
    <n v="63542"/>
    <n v="9"/>
    <n v="102932"/>
    <n v="103212"/>
    <n v="13"/>
    <s v="No"/>
    <x v="0"/>
    <n v="-280"/>
  </r>
  <r>
    <n v="2854"/>
    <d v="2023-04-29T21:00:00"/>
    <x v="3"/>
    <n v="17"/>
    <x v="0"/>
    <s v="Yamaha"/>
    <x v="1"/>
    <x v="3"/>
    <n v="45145"/>
    <n v="7"/>
    <n v="149109"/>
    <n v="102097"/>
    <n v="7"/>
    <s v="Yes"/>
    <x v="0"/>
    <n v="47012"/>
  </r>
  <r>
    <n v="2855"/>
    <d v="2023-04-29T22:00:00"/>
    <x v="3"/>
    <n v="17"/>
    <x v="0"/>
    <s v="Yamaha"/>
    <x v="0"/>
    <x v="2"/>
    <n v="91243"/>
    <n v="9"/>
    <n v="52881"/>
    <n v="39737"/>
    <n v="1"/>
    <s v="Yes"/>
    <x v="0"/>
    <n v="13144"/>
  </r>
  <r>
    <n v="2856"/>
    <d v="2023-04-29T23:00:00"/>
    <x v="3"/>
    <n v="17"/>
    <x v="0"/>
    <s v="TVS"/>
    <x v="0"/>
    <x v="0"/>
    <n v="62642"/>
    <n v="6"/>
    <n v="65122"/>
    <n v="38390"/>
    <n v="3"/>
    <s v="Yes"/>
    <x v="0"/>
    <n v="26732"/>
  </r>
  <r>
    <n v="2857"/>
    <d v="2023-04-30T00:00:00"/>
    <x v="3"/>
    <n v="18"/>
    <x v="0"/>
    <s v="Bajaj"/>
    <x v="0"/>
    <x v="3"/>
    <n v="26057"/>
    <n v="9"/>
    <n v="60297"/>
    <n v="106612"/>
    <n v="4"/>
    <s v="Yes"/>
    <x v="1"/>
    <n v="-46315"/>
  </r>
  <r>
    <n v="2858"/>
    <d v="2023-04-30T01:00:00"/>
    <x v="3"/>
    <n v="18"/>
    <x v="0"/>
    <s v="Honda"/>
    <x v="0"/>
    <x v="0"/>
    <n v="80282"/>
    <n v="5"/>
    <n v="136513"/>
    <n v="67330"/>
    <n v="2"/>
    <s v="Yes"/>
    <x v="0"/>
    <n v="69183"/>
  </r>
  <r>
    <n v="2859"/>
    <d v="2023-04-30T02:00:00"/>
    <x v="3"/>
    <n v="18"/>
    <x v="0"/>
    <s v="Yamaha"/>
    <x v="0"/>
    <x v="2"/>
    <n v="78882"/>
    <n v="6"/>
    <n v="61680"/>
    <n v="86082"/>
    <n v="7"/>
    <s v="Yes"/>
    <x v="0"/>
    <n v="-24402"/>
  </r>
  <r>
    <n v="2860"/>
    <d v="2023-04-30T03:00:00"/>
    <x v="3"/>
    <n v="18"/>
    <x v="0"/>
    <s v="TVS"/>
    <x v="0"/>
    <x v="1"/>
    <n v="37585"/>
    <n v="0"/>
    <n v="108452"/>
    <n v="68642"/>
    <n v="5"/>
    <s v="Yes"/>
    <x v="0"/>
    <n v="39810"/>
  </r>
  <r>
    <n v="2861"/>
    <d v="2023-04-30T04:00:00"/>
    <x v="3"/>
    <n v="18"/>
    <x v="0"/>
    <s v="Bajaj"/>
    <x v="0"/>
    <x v="2"/>
    <n v="51208"/>
    <n v="4"/>
    <n v="76044"/>
    <n v="36280"/>
    <n v="1"/>
    <s v="Yes"/>
    <x v="0"/>
    <n v="39764"/>
  </r>
  <r>
    <n v="2862"/>
    <d v="2023-04-30T05:00:00"/>
    <x v="3"/>
    <n v="18"/>
    <x v="0"/>
    <s v="Bajaj"/>
    <x v="0"/>
    <x v="0"/>
    <n v="51857"/>
    <n v="6"/>
    <n v="169582"/>
    <n v="113489"/>
    <n v="12"/>
    <s v="No"/>
    <x v="0"/>
    <n v="56093"/>
  </r>
  <r>
    <n v="2863"/>
    <d v="2023-04-30T06:00:00"/>
    <x v="3"/>
    <n v="18"/>
    <x v="0"/>
    <s v="Bajaj"/>
    <x v="0"/>
    <x v="2"/>
    <n v="13970"/>
    <n v="0"/>
    <n v="115502"/>
    <n v="36037"/>
    <n v="12"/>
    <s v="No"/>
    <x v="1"/>
    <n v="79465"/>
  </r>
  <r>
    <n v="2864"/>
    <d v="2023-04-30T07:00:00"/>
    <x v="3"/>
    <n v="18"/>
    <x v="0"/>
    <s v="Bajaj"/>
    <x v="0"/>
    <x v="1"/>
    <n v="79212"/>
    <n v="1"/>
    <n v="47152"/>
    <n v="131668"/>
    <n v="8"/>
    <s v="No"/>
    <x v="0"/>
    <n v="-84516"/>
  </r>
  <r>
    <n v="2865"/>
    <d v="2023-04-30T08:00:00"/>
    <x v="3"/>
    <n v="18"/>
    <x v="0"/>
    <s v="Bajaj"/>
    <x v="0"/>
    <x v="2"/>
    <n v="79582"/>
    <n v="8"/>
    <n v="109738"/>
    <n v="134229"/>
    <n v="10"/>
    <s v="No"/>
    <x v="0"/>
    <n v="-24491"/>
  </r>
  <r>
    <n v="2866"/>
    <d v="2023-04-30T09:00:00"/>
    <x v="3"/>
    <n v="18"/>
    <x v="0"/>
    <s v="Yamaha"/>
    <x v="0"/>
    <x v="1"/>
    <n v="7305"/>
    <n v="2"/>
    <n v="157267"/>
    <n v="55576"/>
    <n v="7"/>
    <s v="Yes"/>
    <x v="0"/>
    <n v="101691"/>
  </r>
  <r>
    <n v="2867"/>
    <d v="2023-04-30T10:00:00"/>
    <x v="3"/>
    <n v="18"/>
    <x v="0"/>
    <s v="TVS"/>
    <x v="1"/>
    <x v="3"/>
    <n v="82824"/>
    <n v="5"/>
    <n v="129533"/>
    <n v="43564"/>
    <n v="4"/>
    <s v="Yes"/>
    <x v="0"/>
    <n v="85969"/>
  </r>
  <r>
    <n v="2868"/>
    <d v="2023-04-30T11:00:00"/>
    <x v="3"/>
    <n v="18"/>
    <x v="0"/>
    <s v="Bajaj"/>
    <x v="0"/>
    <x v="0"/>
    <n v="95384"/>
    <n v="6"/>
    <n v="50433"/>
    <n v="114133"/>
    <n v="2"/>
    <s v="Yes"/>
    <x v="0"/>
    <n v="-63700"/>
  </r>
  <r>
    <n v="2869"/>
    <d v="2023-04-30T12:00:00"/>
    <x v="3"/>
    <n v="18"/>
    <x v="0"/>
    <s v="Hero"/>
    <x v="0"/>
    <x v="1"/>
    <n v="62528"/>
    <n v="8"/>
    <n v="161377"/>
    <n v="100439"/>
    <n v="7"/>
    <s v="Yes"/>
    <x v="1"/>
    <n v="60938"/>
  </r>
  <r>
    <n v="2870"/>
    <d v="2023-04-30T13:00:00"/>
    <x v="3"/>
    <n v="18"/>
    <x v="0"/>
    <s v="Hero"/>
    <x v="1"/>
    <x v="1"/>
    <n v="51272"/>
    <n v="4"/>
    <n v="73648"/>
    <n v="111342"/>
    <n v="11"/>
    <s v="No"/>
    <x v="0"/>
    <n v="-37694"/>
  </r>
  <r>
    <n v="2871"/>
    <d v="2023-04-30T14:00:00"/>
    <x v="3"/>
    <n v="18"/>
    <x v="0"/>
    <s v="TVS"/>
    <x v="0"/>
    <x v="2"/>
    <n v="52604"/>
    <n v="3"/>
    <n v="67113"/>
    <n v="126864"/>
    <n v="2"/>
    <s v="Yes"/>
    <x v="0"/>
    <n v="-59751"/>
  </r>
  <r>
    <n v="2872"/>
    <d v="2023-04-30T15:00:00"/>
    <x v="3"/>
    <n v="18"/>
    <x v="0"/>
    <s v="Honda"/>
    <x v="0"/>
    <x v="3"/>
    <n v="74116"/>
    <n v="1"/>
    <n v="128504"/>
    <n v="104928"/>
    <n v="6"/>
    <s v="Yes"/>
    <x v="0"/>
    <n v="23576"/>
  </r>
  <r>
    <n v="2873"/>
    <d v="2023-04-30T16:00:00"/>
    <x v="3"/>
    <n v="18"/>
    <x v="0"/>
    <s v="Honda"/>
    <x v="0"/>
    <x v="1"/>
    <n v="89800"/>
    <n v="2"/>
    <n v="155431"/>
    <n v="43087"/>
    <n v="1"/>
    <s v="Yes"/>
    <x v="0"/>
    <n v="112344"/>
  </r>
  <r>
    <n v="2874"/>
    <d v="2023-04-30T17:00:00"/>
    <x v="3"/>
    <n v="18"/>
    <x v="0"/>
    <s v="Honda"/>
    <x v="1"/>
    <x v="3"/>
    <n v="7130"/>
    <n v="4"/>
    <n v="58062"/>
    <n v="124824"/>
    <n v="14"/>
    <s v="No"/>
    <x v="0"/>
    <n v="-66762"/>
  </r>
  <r>
    <n v="2875"/>
    <d v="2023-04-30T18:00:00"/>
    <x v="3"/>
    <n v="18"/>
    <x v="0"/>
    <s v="Hero"/>
    <x v="0"/>
    <x v="3"/>
    <n v="99369"/>
    <n v="1"/>
    <n v="96633"/>
    <n v="124844"/>
    <n v="7"/>
    <s v="Yes"/>
    <x v="0"/>
    <n v="-28211"/>
  </r>
  <r>
    <n v="2876"/>
    <d v="2023-04-30T19:00:00"/>
    <x v="3"/>
    <n v="18"/>
    <x v="0"/>
    <s v="Honda"/>
    <x v="0"/>
    <x v="2"/>
    <n v="16201"/>
    <n v="3"/>
    <n v="66604"/>
    <n v="102829"/>
    <n v="7"/>
    <s v="Yes"/>
    <x v="0"/>
    <n v="-36225"/>
  </r>
  <r>
    <n v="2877"/>
    <d v="2023-04-30T20:00:00"/>
    <x v="3"/>
    <n v="18"/>
    <x v="0"/>
    <s v="Yamaha"/>
    <x v="0"/>
    <x v="1"/>
    <n v="15359"/>
    <n v="0"/>
    <n v="162750"/>
    <n v="91213"/>
    <n v="12"/>
    <s v="No"/>
    <x v="0"/>
    <n v="71537"/>
  </r>
  <r>
    <n v="2878"/>
    <d v="2023-04-30T21:00:00"/>
    <x v="3"/>
    <n v="18"/>
    <x v="0"/>
    <s v="Bajaj"/>
    <x v="1"/>
    <x v="2"/>
    <n v="21683"/>
    <n v="3"/>
    <n v="57121"/>
    <n v="27803"/>
    <n v="4"/>
    <s v="Yes"/>
    <x v="0"/>
    <n v="29318"/>
  </r>
  <r>
    <n v="2879"/>
    <d v="2023-04-30T22:00:00"/>
    <x v="3"/>
    <n v="18"/>
    <x v="0"/>
    <s v="Hero"/>
    <x v="0"/>
    <x v="0"/>
    <n v="40938"/>
    <n v="6"/>
    <n v="150015"/>
    <n v="127192"/>
    <n v="4"/>
    <s v="Yes"/>
    <x v="0"/>
    <n v="22823"/>
  </r>
  <r>
    <n v="2880"/>
    <d v="2023-04-30T23:00:00"/>
    <x v="3"/>
    <n v="18"/>
    <x v="0"/>
    <s v="TVS"/>
    <x v="0"/>
    <x v="0"/>
    <n v="97785"/>
    <n v="2"/>
    <n v="111940"/>
    <n v="61002"/>
    <n v="10"/>
    <s v="No"/>
    <x v="0"/>
    <n v="50938"/>
  </r>
  <r>
    <n v="2881"/>
    <d v="2023-05-01T00:00:00"/>
    <x v="4"/>
    <n v="18"/>
    <x v="0"/>
    <s v="TVS"/>
    <x v="1"/>
    <x v="1"/>
    <n v="97923"/>
    <n v="9"/>
    <n v="41494"/>
    <n v="81761"/>
    <n v="5"/>
    <s v="Yes"/>
    <x v="0"/>
    <n v="-40267"/>
  </r>
  <r>
    <n v="2882"/>
    <d v="2023-05-01T01:00:00"/>
    <x v="4"/>
    <n v="18"/>
    <x v="0"/>
    <s v="Bajaj"/>
    <x v="0"/>
    <x v="3"/>
    <n v="42744"/>
    <n v="7"/>
    <n v="165750"/>
    <n v="86310"/>
    <n v="2"/>
    <s v="Yes"/>
    <x v="0"/>
    <n v="79440"/>
  </r>
  <r>
    <n v="2883"/>
    <d v="2023-05-01T02:00:00"/>
    <x v="4"/>
    <n v="18"/>
    <x v="0"/>
    <s v="Hero"/>
    <x v="0"/>
    <x v="1"/>
    <n v="74812"/>
    <n v="5"/>
    <n v="71235"/>
    <n v="93579"/>
    <n v="9"/>
    <s v="No"/>
    <x v="0"/>
    <n v="-22344"/>
  </r>
  <r>
    <n v="2884"/>
    <d v="2023-05-01T03:00:00"/>
    <x v="4"/>
    <n v="18"/>
    <x v="0"/>
    <s v="Honda"/>
    <x v="0"/>
    <x v="1"/>
    <n v="15521"/>
    <n v="5"/>
    <n v="157720"/>
    <n v="31163"/>
    <n v="10"/>
    <s v="No"/>
    <x v="0"/>
    <n v="126557"/>
  </r>
  <r>
    <n v="2885"/>
    <d v="2023-05-01T04:00:00"/>
    <x v="4"/>
    <n v="18"/>
    <x v="0"/>
    <s v="Honda"/>
    <x v="0"/>
    <x v="0"/>
    <n v="70363"/>
    <n v="0"/>
    <n v="106213"/>
    <n v="83380"/>
    <n v="4"/>
    <s v="Yes"/>
    <x v="0"/>
    <n v="22833"/>
  </r>
  <r>
    <n v="2886"/>
    <d v="2023-05-01T05:00:00"/>
    <x v="4"/>
    <n v="18"/>
    <x v="0"/>
    <s v="Yamaha"/>
    <x v="1"/>
    <x v="0"/>
    <n v="56065"/>
    <n v="4"/>
    <n v="41489"/>
    <n v="87883"/>
    <n v="11"/>
    <s v="No"/>
    <x v="1"/>
    <n v="-46394"/>
  </r>
  <r>
    <n v="2887"/>
    <d v="2023-05-01T06:00:00"/>
    <x v="4"/>
    <n v="18"/>
    <x v="0"/>
    <s v="Yamaha"/>
    <x v="0"/>
    <x v="3"/>
    <n v="48543"/>
    <n v="2"/>
    <n v="102281"/>
    <n v="66885"/>
    <n v="9"/>
    <s v="No"/>
    <x v="0"/>
    <n v="35396"/>
  </r>
  <r>
    <n v="2888"/>
    <d v="2023-05-01T07:00:00"/>
    <x v="4"/>
    <n v="18"/>
    <x v="0"/>
    <s v="Honda"/>
    <x v="0"/>
    <x v="3"/>
    <n v="73650"/>
    <n v="9"/>
    <n v="161890"/>
    <n v="101340"/>
    <n v="14"/>
    <s v="No"/>
    <x v="0"/>
    <n v="60550"/>
  </r>
  <r>
    <n v="2889"/>
    <d v="2023-05-01T08:00:00"/>
    <x v="4"/>
    <n v="18"/>
    <x v="0"/>
    <s v="TVS"/>
    <x v="0"/>
    <x v="1"/>
    <n v="64861"/>
    <n v="0"/>
    <n v="133190"/>
    <n v="51764"/>
    <n v="3"/>
    <s v="Yes"/>
    <x v="0"/>
    <n v="81426"/>
  </r>
  <r>
    <n v="2890"/>
    <d v="2023-05-01T09:00:00"/>
    <x v="4"/>
    <n v="18"/>
    <x v="0"/>
    <s v="TVS"/>
    <x v="0"/>
    <x v="2"/>
    <n v="1745"/>
    <n v="7"/>
    <n v="149613"/>
    <n v="107782"/>
    <n v="9"/>
    <s v="No"/>
    <x v="0"/>
    <n v="41831"/>
  </r>
  <r>
    <n v="2891"/>
    <d v="2023-05-01T10:00:00"/>
    <x v="4"/>
    <n v="18"/>
    <x v="0"/>
    <s v="Yamaha"/>
    <x v="1"/>
    <x v="1"/>
    <n v="41511"/>
    <n v="6"/>
    <n v="129222"/>
    <n v="77126"/>
    <n v="1"/>
    <s v="Yes"/>
    <x v="0"/>
    <n v="52096"/>
  </r>
  <r>
    <n v="2892"/>
    <d v="2023-05-01T11:00:00"/>
    <x v="4"/>
    <n v="18"/>
    <x v="0"/>
    <s v="Bajaj"/>
    <x v="0"/>
    <x v="3"/>
    <n v="10855"/>
    <n v="6"/>
    <n v="26316"/>
    <n v="122994"/>
    <n v="7"/>
    <s v="Yes"/>
    <x v="1"/>
    <n v="-96678"/>
  </r>
  <r>
    <n v="2893"/>
    <d v="2023-05-01T12:00:00"/>
    <x v="4"/>
    <n v="18"/>
    <x v="0"/>
    <s v="Honda"/>
    <x v="0"/>
    <x v="2"/>
    <n v="99341"/>
    <n v="9"/>
    <n v="85046"/>
    <n v="82224"/>
    <n v="4"/>
    <s v="Yes"/>
    <x v="0"/>
    <n v="2822"/>
  </r>
  <r>
    <n v="2894"/>
    <d v="2023-05-01T13:00:00"/>
    <x v="4"/>
    <n v="18"/>
    <x v="0"/>
    <s v="Yamaha"/>
    <x v="0"/>
    <x v="0"/>
    <n v="49192"/>
    <n v="9"/>
    <n v="103643"/>
    <n v="62055"/>
    <n v="7"/>
    <s v="Yes"/>
    <x v="0"/>
    <n v="41588"/>
  </r>
  <r>
    <n v="2895"/>
    <d v="2023-05-01T14:00:00"/>
    <x v="4"/>
    <n v="18"/>
    <x v="0"/>
    <s v="Yamaha"/>
    <x v="1"/>
    <x v="3"/>
    <n v="49504"/>
    <n v="9"/>
    <n v="122504"/>
    <n v="66599"/>
    <n v="14"/>
    <s v="No"/>
    <x v="0"/>
    <n v="55905"/>
  </r>
  <r>
    <n v="2896"/>
    <d v="2023-05-01T15:00:00"/>
    <x v="4"/>
    <n v="18"/>
    <x v="0"/>
    <s v="Honda"/>
    <x v="0"/>
    <x v="3"/>
    <n v="30214"/>
    <n v="3"/>
    <n v="140594"/>
    <n v="97787"/>
    <n v="10"/>
    <s v="No"/>
    <x v="1"/>
    <n v="42807"/>
  </r>
  <r>
    <n v="2897"/>
    <d v="2023-05-01T16:00:00"/>
    <x v="4"/>
    <n v="18"/>
    <x v="0"/>
    <s v="Honda"/>
    <x v="0"/>
    <x v="2"/>
    <n v="17698"/>
    <n v="5"/>
    <n v="89042"/>
    <n v="93040"/>
    <n v="6"/>
    <s v="Yes"/>
    <x v="0"/>
    <n v="-3998"/>
  </r>
  <r>
    <n v="2898"/>
    <d v="2023-05-01T17:00:00"/>
    <x v="4"/>
    <n v="18"/>
    <x v="0"/>
    <s v="TVS"/>
    <x v="0"/>
    <x v="3"/>
    <n v="67451"/>
    <n v="8"/>
    <n v="153295"/>
    <n v="54720"/>
    <n v="4"/>
    <s v="Yes"/>
    <x v="0"/>
    <n v="98575"/>
  </r>
  <r>
    <n v="2899"/>
    <d v="2023-05-01T18:00:00"/>
    <x v="4"/>
    <n v="18"/>
    <x v="0"/>
    <s v="Bajaj"/>
    <x v="0"/>
    <x v="3"/>
    <n v="2152"/>
    <n v="2"/>
    <n v="179174"/>
    <n v="108120"/>
    <n v="4"/>
    <s v="Yes"/>
    <x v="0"/>
    <n v="71054"/>
  </r>
  <r>
    <n v="2900"/>
    <d v="2023-05-01T19:00:00"/>
    <x v="4"/>
    <n v="18"/>
    <x v="0"/>
    <s v="Bajaj"/>
    <x v="0"/>
    <x v="3"/>
    <n v="44125"/>
    <n v="8"/>
    <n v="139430"/>
    <n v="59484"/>
    <n v="8"/>
    <s v="No"/>
    <x v="0"/>
    <n v="79946"/>
  </r>
  <r>
    <n v="2901"/>
    <d v="2023-05-01T20:00:00"/>
    <x v="4"/>
    <n v="18"/>
    <x v="0"/>
    <s v="Honda"/>
    <x v="0"/>
    <x v="3"/>
    <n v="86482"/>
    <n v="3"/>
    <n v="150782"/>
    <n v="129067"/>
    <n v="7"/>
    <s v="Yes"/>
    <x v="0"/>
    <n v="21715"/>
  </r>
  <r>
    <n v="2902"/>
    <d v="2023-05-01T21:00:00"/>
    <x v="4"/>
    <n v="18"/>
    <x v="0"/>
    <s v="Hero"/>
    <x v="0"/>
    <x v="3"/>
    <n v="19240"/>
    <n v="4"/>
    <n v="168944"/>
    <n v="53852"/>
    <n v="4"/>
    <s v="Yes"/>
    <x v="0"/>
    <n v="115092"/>
  </r>
  <r>
    <n v="2903"/>
    <d v="2023-05-01T22:00:00"/>
    <x v="4"/>
    <n v="18"/>
    <x v="0"/>
    <s v="Yamaha"/>
    <x v="0"/>
    <x v="3"/>
    <n v="4310"/>
    <n v="6"/>
    <n v="75094"/>
    <n v="28219"/>
    <n v="11"/>
    <s v="No"/>
    <x v="1"/>
    <n v="46875"/>
  </r>
  <r>
    <n v="2904"/>
    <d v="2023-05-01T23:00:00"/>
    <x v="4"/>
    <n v="18"/>
    <x v="0"/>
    <s v="Yamaha"/>
    <x v="0"/>
    <x v="3"/>
    <n v="17069"/>
    <n v="5"/>
    <n v="72719"/>
    <n v="123508"/>
    <n v="6"/>
    <s v="Yes"/>
    <x v="1"/>
    <n v="-50789"/>
  </r>
  <r>
    <n v="2905"/>
    <d v="2023-05-02T00:00:00"/>
    <x v="4"/>
    <n v="18"/>
    <x v="0"/>
    <s v="Honda"/>
    <x v="1"/>
    <x v="3"/>
    <n v="79620"/>
    <n v="9"/>
    <n v="146103"/>
    <n v="105351"/>
    <n v="6"/>
    <s v="Yes"/>
    <x v="0"/>
    <n v="40752"/>
  </r>
  <r>
    <n v="2906"/>
    <d v="2023-05-02T01:00:00"/>
    <x v="4"/>
    <n v="18"/>
    <x v="0"/>
    <s v="Hero"/>
    <x v="0"/>
    <x v="0"/>
    <n v="27283"/>
    <n v="7"/>
    <n v="153826"/>
    <n v="63865"/>
    <n v="1"/>
    <s v="Yes"/>
    <x v="0"/>
    <n v="89961"/>
  </r>
  <r>
    <n v="2907"/>
    <d v="2023-05-02T02:00:00"/>
    <x v="4"/>
    <n v="18"/>
    <x v="0"/>
    <s v="TVS"/>
    <x v="1"/>
    <x v="3"/>
    <n v="99565"/>
    <n v="7"/>
    <n v="175765"/>
    <n v="69457"/>
    <n v="13"/>
    <s v="No"/>
    <x v="0"/>
    <n v="106308"/>
  </r>
  <r>
    <n v="2908"/>
    <d v="2023-05-02T03:00:00"/>
    <x v="4"/>
    <n v="18"/>
    <x v="0"/>
    <s v="Honda"/>
    <x v="0"/>
    <x v="0"/>
    <n v="78547"/>
    <n v="7"/>
    <n v="75478"/>
    <n v="105159"/>
    <n v="2"/>
    <s v="Yes"/>
    <x v="0"/>
    <n v="-29681"/>
  </r>
  <r>
    <n v="2909"/>
    <d v="2023-05-02T04:00:00"/>
    <x v="4"/>
    <n v="18"/>
    <x v="0"/>
    <s v="Honda"/>
    <x v="0"/>
    <x v="0"/>
    <n v="9971"/>
    <n v="2"/>
    <n v="68677"/>
    <n v="51817"/>
    <n v="4"/>
    <s v="Yes"/>
    <x v="0"/>
    <n v="16860"/>
  </r>
  <r>
    <n v="2910"/>
    <d v="2023-05-02T05:00:00"/>
    <x v="4"/>
    <n v="18"/>
    <x v="0"/>
    <s v="Yamaha"/>
    <x v="1"/>
    <x v="1"/>
    <n v="6663"/>
    <n v="9"/>
    <n v="166832"/>
    <n v="83993"/>
    <n v="6"/>
    <s v="Yes"/>
    <x v="0"/>
    <n v="82839"/>
  </r>
  <r>
    <n v="2911"/>
    <d v="2023-05-02T06:00:00"/>
    <x v="4"/>
    <n v="18"/>
    <x v="0"/>
    <s v="Honda"/>
    <x v="0"/>
    <x v="1"/>
    <n v="63587"/>
    <n v="5"/>
    <n v="36584"/>
    <n v="108391"/>
    <n v="6"/>
    <s v="Yes"/>
    <x v="0"/>
    <n v="-71807"/>
  </r>
  <r>
    <n v="2912"/>
    <d v="2023-05-02T07:00:00"/>
    <x v="4"/>
    <n v="18"/>
    <x v="0"/>
    <s v="Honda"/>
    <x v="0"/>
    <x v="0"/>
    <n v="62571"/>
    <n v="6"/>
    <n v="27106"/>
    <n v="67380"/>
    <n v="1"/>
    <s v="Yes"/>
    <x v="0"/>
    <n v="-40274"/>
  </r>
  <r>
    <n v="2913"/>
    <d v="2023-05-02T08:00:00"/>
    <x v="4"/>
    <n v="18"/>
    <x v="0"/>
    <s v="Honda"/>
    <x v="1"/>
    <x v="0"/>
    <n v="16565"/>
    <n v="8"/>
    <n v="169741"/>
    <n v="65400"/>
    <n v="8"/>
    <s v="No"/>
    <x v="0"/>
    <n v="104341"/>
  </r>
  <r>
    <n v="2914"/>
    <d v="2023-05-02T09:00:00"/>
    <x v="4"/>
    <n v="18"/>
    <x v="0"/>
    <s v="Yamaha"/>
    <x v="0"/>
    <x v="3"/>
    <n v="83956"/>
    <n v="9"/>
    <n v="50223"/>
    <n v="130855"/>
    <n v="2"/>
    <s v="Yes"/>
    <x v="1"/>
    <n v="-80632"/>
  </r>
  <r>
    <n v="2915"/>
    <d v="2023-05-02T10:00:00"/>
    <x v="4"/>
    <n v="18"/>
    <x v="0"/>
    <s v="TVS"/>
    <x v="0"/>
    <x v="1"/>
    <n v="48848"/>
    <n v="9"/>
    <n v="60706"/>
    <n v="51258"/>
    <n v="13"/>
    <s v="No"/>
    <x v="0"/>
    <n v="9448"/>
  </r>
  <r>
    <n v="2916"/>
    <d v="2023-05-02T11:00:00"/>
    <x v="4"/>
    <n v="18"/>
    <x v="0"/>
    <s v="TVS"/>
    <x v="0"/>
    <x v="2"/>
    <n v="19654"/>
    <n v="3"/>
    <n v="85369"/>
    <n v="96006"/>
    <n v="5"/>
    <s v="Yes"/>
    <x v="0"/>
    <n v="-10637"/>
  </r>
  <r>
    <n v="2917"/>
    <d v="2023-05-02T12:00:00"/>
    <x v="4"/>
    <n v="18"/>
    <x v="0"/>
    <s v="Honda"/>
    <x v="0"/>
    <x v="1"/>
    <n v="20729"/>
    <n v="4"/>
    <n v="35015"/>
    <n v="63957"/>
    <n v="4"/>
    <s v="Yes"/>
    <x v="0"/>
    <n v="-28942"/>
  </r>
  <r>
    <n v="2918"/>
    <d v="2023-05-02T13:00:00"/>
    <x v="4"/>
    <n v="18"/>
    <x v="0"/>
    <s v="Yamaha"/>
    <x v="0"/>
    <x v="0"/>
    <n v="53087"/>
    <n v="7"/>
    <n v="107164"/>
    <n v="126466"/>
    <n v="5"/>
    <s v="Yes"/>
    <x v="0"/>
    <n v="-19302"/>
  </r>
  <r>
    <n v="2919"/>
    <d v="2023-05-02T14:00:00"/>
    <x v="4"/>
    <n v="18"/>
    <x v="0"/>
    <s v="TVS"/>
    <x v="0"/>
    <x v="0"/>
    <n v="50213"/>
    <n v="0"/>
    <n v="76500"/>
    <n v="33281"/>
    <n v="5"/>
    <s v="Yes"/>
    <x v="0"/>
    <n v="43219"/>
  </r>
  <r>
    <n v="2920"/>
    <d v="2023-05-02T15:00:00"/>
    <x v="4"/>
    <n v="18"/>
    <x v="0"/>
    <s v="TVS"/>
    <x v="0"/>
    <x v="3"/>
    <n v="27497"/>
    <n v="5"/>
    <n v="88925"/>
    <n v="92264"/>
    <n v="10"/>
    <s v="No"/>
    <x v="0"/>
    <n v="-3339"/>
  </r>
  <r>
    <n v="2921"/>
    <d v="2023-05-02T16:00:00"/>
    <x v="4"/>
    <n v="18"/>
    <x v="0"/>
    <s v="TVS"/>
    <x v="0"/>
    <x v="3"/>
    <n v="21601"/>
    <n v="3"/>
    <n v="115979"/>
    <n v="66331"/>
    <n v="8"/>
    <s v="No"/>
    <x v="0"/>
    <n v="49648"/>
  </r>
  <r>
    <n v="2922"/>
    <d v="2023-05-02T17:00:00"/>
    <x v="4"/>
    <n v="18"/>
    <x v="0"/>
    <s v="Yamaha"/>
    <x v="0"/>
    <x v="1"/>
    <n v="40891"/>
    <n v="4"/>
    <n v="121355"/>
    <n v="60680"/>
    <n v="10"/>
    <s v="No"/>
    <x v="0"/>
    <n v="60675"/>
  </r>
  <r>
    <n v="2923"/>
    <d v="2023-05-02T18:00:00"/>
    <x v="4"/>
    <n v="18"/>
    <x v="0"/>
    <s v="Yamaha"/>
    <x v="0"/>
    <x v="3"/>
    <n v="76363"/>
    <n v="4"/>
    <n v="79909"/>
    <n v="53723"/>
    <n v="7"/>
    <s v="Yes"/>
    <x v="0"/>
    <n v="26186"/>
  </r>
  <r>
    <n v="2924"/>
    <d v="2023-05-02T19:00:00"/>
    <x v="4"/>
    <n v="18"/>
    <x v="0"/>
    <s v="Honda"/>
    <x v="0"/>
    <x v="2"/>
    <n v="73223"/>
    <n v="1"/>
    <n v="36565"/>
    <n v="25162"/>
    <n v="12"/>
    <s v="No"/>
    <x v="1"/>
    <n v="11403"/>
  </r>
  <r>
    <n v="2925"/>
    <d v="2023-05-02T20:00:00"/>
    <x v="4"/>
    <n v="18"/>
    <x v="0"/>
    <s v="Bajaj"/>
    <x v="0"/>
    <x v="2"/>
    <n v="95721"/>
    <n v="7"/>
    <n v="52597"/>
    <n v="109808"/>
    <n v="14"/>
    <s v="No"/>
    <x v="0"/>
    <n v="-57211"/>
  </r>
  <r>
    <n v="2926"/>
    <d v="2023-05-02T21:00:00"/>
    <x v="4"/>
    <n v="18"/>
    <x v="0"/>
    <s v="TVS"/>
    <x v="0"/>
    <x v="3"/>
    <n v="59905"/>
    <n v="1"/>
    <n v="90623"/>
    <n v="116024"/>
    <n v="9"/>
    <s v="No"/>
    <x v="0"/>
    <n v="-25401"/>
  </r>
  <r>
    <n v="2927"/>
    <d v="2023-05-02T22:00:00"/>
    <x v="4"/>
    <n v="18"/>
    <x v="0"/>
    <s v="Bajaj"/>
    <x v="0"/>
    <x v="2"/>
    <n v="35448"/>
    <n v="3"/>
    <n v="165504"/>
    <n v="123877"/>
    <n v="12"/>
    <s v="No"/>
    <x v="1"/>
    <n v="41627"/>
  </r>
  <r>
    <n v="2928"/>
    <d v="2023-05-02T23:00:00"/>
    <x v="4"/>
    <n v="18"/>
    <x v="0"/>
    <s v="Yamaha"/>
    <x v="0"/>
    <x v="2"/>
    <n v="53531"/>
    <n v="4"/>
    <n v="99300"/>
    <n v="66095"/>
    <n v="11"/>
    <s v="No"/>
    <x v="0"/>
    <n v="33205"/>
  </r>
  <r>
    <n v="2929"/>
    <d v="2023-05-03T00:00:00"/>
    <x v="4"/>
    <n v="18"/>
    <x v="0"/>
    <s v="Yamaha"/>
    <x v="0"/>
    <x v="1"/>
    <n v="38421"/>
    <n v="0"/>
    <n v="116837"/>
    <n v="26338"/>
    <n v="13"/>
    <s v="No"/>
    <x v="0"/>
    <n v="90499"/>
  </r>
  <r>
    <n v="2930"/>
    <d v="2023-05-03T01:00:00"/>
    <x v="4"/>
    <n v="18"/>
    <x v="0"/>
    <s v="Yamaha"/>
    <x v="1"/>
    <x v="2"/>
    <n v="73071"/>
    <n v="5"/>
    <n v="74314"/>
    <n v="102832"/>
    <n v="1"/>
    <s v="Yes"/>
    <x v="0"/>
    <n v="-28518"/>
  </r>
  <r>
    <n v="2931"/>
    <d v="2023-05-03T02:00:00"/>
    <x v="4"/>
    <n v="18"/>
    <x v="0"/>
    <s v="Bajaj"/>
    <x v="0"/>
    <x v="0"/>
    <n v="77507"/>
    <n v="1"/>
    <n v="66965"/>
    <n v="26675"/>
    <n v="6"/>
    <s v="Yes"/>
    <x v="0"/>
    <n v="40290"/>
  </r>
  <r>
    <n v="2932"/>
    <d v="2023-05-03T03:00:00"/>
    <x v="4"/>
    <n v="18"/>
    <x v="0"/>
    <s v="Yamaha"/>
    <x v="0"/>
    <x v="0"/>
    <n v="28960"/>
    <n v="4"/>
    <n v="122449"/>
    <n v="104606"/>
    <n v="6"/>
    <s v="Yes"/>
    <x v="0"/>
    <n v="17843"/>
  </r>
  <r>
    <n v="2933"/>
    <d v="2023-05-03T04:00:00"/>
    <x v="4"/>
    <n v="18"/>
    <x v="0"/>
    <s v="Honda"/>
    <x v="0"/>
    <x v="1"/>
    <n v="21571"/>
    <n v="5"/>
    <n v="92957"/>
    <n v="35080"/>
    <n v="2"/>
    <s v="Yes"/>
    <x v="0"/>
    <n v="57877"/>
  </r>
  <r>
    <n v="2934"/>
    <d v="2023-05-03T05:00:00"/>
    <x v="4"/>
    <n v="18"/>
    <x v="0"/>
    <s v="Yamaha"/>
    <x v="0"/>
    <x v="3"/>
    <n v="66618"/>
    <n v="7"/>
    <n v="53317"/>
    <n v="127675"/>
    <n v="11"/>
    <s v="No"/>
    <x v="0"/>
    <n v="-74358"/>
  </r>
  <r>
    <n v="2935"/>
    <d v="2023-05-03T06:00:00"/>
    <x v="4"/>
    <n v="18"/>
    <x v="0"/>
    <s v="Hero"/>
    <x v="1"/>
    <x v="1"/>
    <n v="48782"/>
    <n v="8"/>
    <n v="144191"/>
    <n v="132513"/>
    <n v="8"/>
    <s v="No"/>
    <x v="0"/>
    <n v="11678"/>
  </r>
  <r>
    <n v="2936"/>
    <d v="2023-05-03T07:00:00"/>
    <x v="4"/>
    <n v="18"/>
    <x v="0"/>
    <s v="Bajaj"/>
    <x v="1"/>
    <x v="3"/>
    <n v="92225"/>
    <n v="5"/>
    <n v="91753"/>
    <n v="28936"/>
    <n v="6"/>
    <s v="Yes"/>
    <x v="0"/>
    <n v="62817"/>
  </r>
  <r>
    <n v="2937"/>
    <d v="2023-05-03T08:00:00"/>
    <x v="4"/>
    <n v="18"/>
    <x v="0"/>
    <s v="Hero"/>
    <x v="0"/>
    <x v="3"/>
    <n v="58945"/>
    <n v="4"/>
    <n v="60242"/>
    <n v="25019"/>
    <n v="11"/>
    <s v="No"/>
    <x v="0"/>
    <n v="35223"/>
  </r>
  <r>
    <n v="2938"/>
    <d v="2023-05-03T09:00:00"/>
    <x v="4"/>
    <n v="18"/>
    <x v="0"/>
    <s v="Yamaha"/>
    <x v="0"/>
    <x v="3"/>
    <n v="81567"/>
    <n v="3"/>
    <n v="157001"/>
    <n v="121718"/>
    <n v="13"/>
    <s v="No"/>
    <x v="0"/>
    <n v="35283"/>
  </r>
  <r>
    <n v="2939"/>
    <d v="2023-05-03T10:00:00"/>
    <x v="4"/>
    <n v="18"/>
    <x v="0"/>
    <s v="Honda"/>
    <x v="1"/>
    <x v="3"/>
    <n v="82708"/>
    <n v="1"/>
    <n v="131262"/>
    <n v="82282"/>
    <n v="10"/>
    <s v="No"/>
    <x v="0"/>
    <n v="48980"/>
  </r>
  <r>
    <n v="2940"/>
    <d v="2023-05-03T11:00:00"/>
    <x v="4"/>
    <n v="18"/>
    <x v="0"/>
    <s v="TVS"/>
    <x v="1"/>
    <x v="3"/>
    <n v="55316"/>
    <n v="1"/>
    <n v="124806"/>
    <n v="64681"/>
    <n v="9"/>
    <s v="No"/>
    <x v="0"/>
    <n v="60125"/>
  </r>
  <r>
    <n v="2941"/>
    <d v="2023-05-03T12:00:00"/>
    <x v="4"/>
    <n v="18"/>
    <x v="0"/>
    <s v="Yamaha"/>
    <x v="0"/>
    <x v="1"/>
    <n v="86279"/>
    <n v="6"/>
    <n v="123724"/>
    <n v="103304"/>
    <n v="10"/>
    <s v="No"/>
    <x v="0"/>
    <n v="20420"/>
  </r>
  <r>
    <n v="2942"/>
    <d v="2023-05-03T13:00:00"/>
    <x v="4"/>
    <n v="18"/>
    <x v="0"/>
    <s v="Honda"/>
    <x v="0"/>
    <x v="3"/>
    <n v="3560"/>
    <n v="4"/>
    <n v="38580"/>
    <n v="88861"/>
    <n v="5"/>
    <s v="Yes"/>
    <x v="0"/>
    <n v="-50281"/>
  </r>
  <r>
    <n v="2943"/>
    <d v="2023-05-03T14:00:00"/>
    <x v="4"/>
    <n v="18"/>
    <x v="0"/>
    <s v="Bajaj"/>
    <x v="0"/>
    <x v="2"/>
    <n v="14231"/>
    <n v="6"/>
    <n v="129134"/>
    <n v="125299"/>
    <n v="7"/>
    <s v="Yes"/>
    <x v="0"/>
    <n v="3835"/>
  </r>
  <r>
    <n v="2944"/>
    <d v="2023-05-03T15:00:00"/>
    <x v="4"/>
    <n v="18"/>
    <x v="0"/>
    <s v="Hero"/>
    <x v="1"/>
    <x v="2"/>
    <n v="78330"/>
    <n v="0"/>
    <n v="120967"/>
    <n v="19486"/>
    <n v="6"/>
    <s v="Yes"/>
    <x v="0"/>
    <n v="101481"/>
  </r>
  <r>
    <n v="2945"/>
    <d v="2023-05-03T16:00:00"/>
    <x v="4"/>
    <n v="18"/>
    <x v="0"/>
    <s v="Hero"/>
    <x v="0"/>
    <x v="3"/>
    <n v="21219"/>
    <n v="0"/>
    <n v="45742"/>
    <n v="97021"/>
    <n v="11"/>
    <s v="No"/>
    <x v="0"/>
    <n v="-51279"/>
  </r>
  <r>
    <n v="2946"/>
    <d v="2023-05-03T17:00:00"/>
    <x v="4"/>
    <n v="18"/>
    <x v="0"/>
    <s v="Hero"/>
    <x v="0"/>
    <x v="2"/>
    <n v="47542"/>
    <n v="4"/>
    <n v="42833"/>
    <n v="94864"/>
    <n v="5"/>
    <s v="Yes"/>
    <x v="0"/>
    <n v="-52031"/>
  </r>
  <r>
    <n v="2947"/>
    <d v="2023-05-03T18:00:00"/>
    <x v="4"/>
    <n v="18"/>
    <x v="0"/>
    <s v="Bajaj"/>
    <x v="0"/>
    <x v="0"/>
    <n v="49616"/>
    <n v="1"/>
    <n v="121421"/>
    <n v="133411"/>
    <n v="6"/>
    <s v="Yes"/>
    <x v="1"/>
    <n v="-11990"/>
  </r>
  <r>
    <n v="2948"/>
    <d v="2023-05-03T19:00:00"/>
    <x v="4"/>
    <n v="18"/>
    <x v="0"/>
    <s v="Honda"/>
    <x v="0"/>
    <x v="1"/>
    <n v="26825"/>
    <n v="7"/>
    <n v="96347"/>
    <n v="34112"/>
    <n v="4"/>
    <s v="Yes"/>
    <x v="0"/>
    <n v="62235"/>
  </r>
  <r>
    <n v="2949"/>
    <d v="2023-05-03T20:00:00"/>
    <x v="4"/>
    <n v="18"/>
    <x v="0"/>
    <s v="Bajaj"/>
    <x v="0"/>
    <x v="1"/>
    <n v="23097"/>
    <n v="2"/>
    <n v="99155"/>
    <n v="66697"/>
    <n v="3"/>
    <s v="Yes"/>
    <x v="1"/>
    <n v="32458"/>
  </r>
  <r>
    <n v="2950"/>
    <d v="2023-05-03T21:00:00"/>
    <x v="4"/>
    <n v="18"/>
    <x v="0"/>
    <s v="Hero"/>
    <x v="1"/>
    <x v="3"/>
    <n v="67939"/>
    <n v="0"/>
    <n v="114791"/>
    <n v="132246"/>
    <n v="13"/>
    <s v="No"/>
    <x v="0"/>
    <n v="-17455"/>
  </r>
  <r>
    <n v="2951"/>
    <d v="2023-05-03T22:00:00"/>
    <x v="4"/>
    <n v="18"/>
    <x v="0"/>
    <s v="Yamaha"/>
    <x v="0"/>
    <x v="3"/>
    <n v="15051"/>
    <n v="1"/>
    <n v="169599"/>
    <n v="70998"/>
    <n v="1"/>
    <s v="Yes"/>
    <x v="0"/>
    <n v="98601"/>
  </r>
  <r>
    <n v="2952"/>
    <d v="2023-05-03T23:00:00"/>
    <x v="4"/>
    <n v="18"/>
    <x v="0"/>
    <s v="TVS"/>
    <x v="0"/>
    <x v="0"/>
    <n v="93787"/>
    <n v="9"/>
    <n v="139527"/>
    <n v="124537"/>
    <n v="1"/>
    <s v="Yes"/>
    <x v="0"/>
    <n v="14990"/>
  </r>
  <r>
    <n v="2953"/>
    <d v="2023-05-04T00:00:00"/>
    <x v="4"/>
    <n v="18"/>
    <x v="0"/>
    <s v="Bajaj"/>
    <x v="0"/>
    <x v="3"/>
    <n v="24778"/>
    <n v="9"/>
    <n v="66057"/>
    <n v="112816"/>
    <n v="6"/>
    <s v="Yes"/>
    <x v="0"/>
    <n v="-46759"/>
  </r>
  <r>
    <n v="2954"/>
    <d v="2023-05-04T01:00:00"/>
    <x v="4"/>
    <n v="18"/>
    <x v="0"/>
    <s v="Bajaj"/>
    <x v="0"/>
    <x v="2"/>
    <n v="91689"/>
    <n v="6"/>
    <n v="69261"/>
    <n v="41576"/>
    <n v="14"/>
    <s v="No"/>
    <x v="0"/>
    <n v="27685"/>
  </r>
  <r>
    <n v="2955"/>
    <d v="2023-05-04T02:00:00"/>
    <x v="4"/>
    <n v="18"/>
    <x v="0"/>
    <s v="Honda"/>
    <x v="0"/>
    <x v="0"/>
    <n v="15641"/>
    <n v="5"/>
    <n v="156114"/>
    <n v="65100"/>
    <n v="9"/>
    <s v="No"/>
    <x v="0"/>
    <n v="91014"/>
  </r>
  <r>
    <n v="2956"/>
    <d v="2023-05-04T03:00:00"/>
    <x v="4"/>
    <n v="18"/>
    <x v="0"/>
    <s v="Honda"/>
    <x v="0"/>
    <x v="2"/>
    <n v="68413"/>
    <n v="7"/>
    <n v="47769"/>
    <n v="123064"/>
    <n v="8"/>
    <s v="No"/>
    <x v="0"/>
    <n v="-75295"/>
  </r>
  <r>
    <n v="2957"/>
    <d v="2023-05-04T04:00:00"/>
    <x v="4"/>
    <n v="18"/>
    <x v="0"/>
    <s v="Bajaj"/>
    <x v="0"/>
    <x v="1"/>
    <n v="34115"/>
    <n v="6"/>
    <n v="47449"/>
    <n v="96238"/>
    <n v="12"/>
    <s v="No"/>
    <x v="0"/>
    <n v="-48789"/>
  </r>
  <r>
    <n v="2958"/>
    <d v="2023-05-04T05:00:00"/>
    <x v="4"/>
    <n v="18"/>
    <x v="0"/>
    <s v="Hero"/>
    <x v="0"/>
    <x v="2"/>
    <n v="63251"/>
    <n v="9"/>
    <n v="164648"/>
    <n v="36320"/>
    <n v="2"/>
    <s v="Yes"/>
    <x v="0"/>
    <n v="128328"/>
  </r>
  <r>
    <n v="2959"/>
    <d v="2023-05-04T06:00:00"/>
    <x v="4"/>
    <n v="18"/>
    <x v="0"/>
    <s v="TVS"/>
    <x v="0"/>
    <x v="1"/>
    <n v="27952"/>
    <n v="7"/>
    <n v="61345"/>
    <n v="98973"/>
    <n v="9"/>
    <s v="No"/>
    <x v="0"/>
    <n v="-37628"/>
  </r>
  <r>
    <n v="2960"/>
    <d v="2023-05-04T07:00:00"/>
    <x v="4"/>
    <n v="18"/>
    <x v="0"/>
    <s v="Honda"/>
    <x v="0"/>
    <x v="2"/>
    <n v="23225"/>
    <n v="2"/>
    <n v="142926"/>
    <n v="80729"/>
    <n v="8"/>
    <s v="No"/>
    <x v="0"/>
    <n v="62197"/>
  </r>
  <r>
    <n v="2961"/>
    <d v="2023-05-04T08:00:00"/>
    <x v="4"/>
    <n v="18"/>
    <x v="0"/>
    <s v="Hero"/>
    <x v="1"/>
    <x v="1"/>
    <n v="50891"/>
    <n v="5"/>
    <n v="149576"/>
    <n v="105853"/>
    <n v="14"/>
    <s v="No"/>
    <x v="0"/>
    <n v="43723"/>
  </r>
  <r>
    <n v="2962"/>
    <d v="2023-05-04T09:00:00"/>
    <x v="4"/>
    <n v="18"/>
    <x v="0"/>
    <s v="Yamaha"/>
    <x v="1"/>
    <x v="3"/>
    <n v="75560"/>
    <n v="6"/>
    <n v="94428"/>
    <n v="136992"/>
    <n v="14"/>
    <s v="No"/>
    <x v="0"/>
    <n v="-42564"/>
  </r>
  <r>
    <n v="2963"/>
    <d v="2023-05-04T10:00:00"/>
    <x v="4"/>
    <n v="18"/>
    <x v="0"/>
    <s v="Honda"/>
    <x v="0"/>
    <x v="2"/>
    <n v="12198"/>
    <n v="9"/>
    <n v="29321"/>
    <n v="109018"/>
    <n v="12"/>
    <s v="No"/>
    <x v="0"/>
    <n v="-79697"/>
  </r>
  <r>
    <n v="2964"/>
    <d v="2023-05-04T11:00:00"/>
    <x v="4"/>
    <n v="18"/>
    <x v="0"/>
    <s v="Hero"/>
    <x v="0"/>
    <x v="1"/>
    <n v="87211"/>
    <n v="0"/>
    <n v="30776"/>
    <n v="99879"/>
    <n v="9"/>
    <s v="No"/>
    <x v="0"/>
    <n v="-69103"/>
  </r>
  <r>
    <n v="2965"/>
    <d v="2023-05-04T12:00:00"/>
    <x v="4"/>
    <n v="18"/>
    <x v="0"/>
    <s v="Hero"/>
    <x v="1"/>
    <x v="2"/>
    <n v="78350"/>
    <n v="0"/>
    <n v="41119"/>
    <n v="44144"/>
    <n v="4"/>
    <s v="Yes"/>
    <x v="0"/>
    <n v="-3025"/>
  </r>
  <r>
    <n v="2966"/>
    <d v="2023-05-04T13:00:00"/>
    <x v="4"/>
    <n v="18"/>
    <x v="0"/>
    <s v="TVS"/>
    <x v="0"/>
    <x v="0"/>
    <n v="2865"/>
    <n v="6"/>
    <n v="155078"/>
    <n v="72326"/>
    <n v="9"/>
    <s v="No"/>
    <x v="0"/>
    <n v="82752"/>
  </r>
  <r>
    <n v="2967"/>
    <d v="2023-05-04T14:00:00"/>
    <x v="4"/>
    <n v="18"/>
    <x v="0"/>
    <s v="TVS"/>
    <x v="0"/>
    <x v="3"/>
    <n v="98053"/>
    <n v="2"/>
    <n v="77967"/>
    <n v="92148"/>
    <n v="2"/>
    <s v="Yes"/>
    <x v="0"/>
    <n v="-14181"/>
  </r>
  <r>
    <n v="2968"/>
    <d v="2023-05-04T15:00:00"/>
    <x v="4"/>
    <n v="18"/>
    <x v="0"/>
    <s v="Yamaha"/>
    <x v="1"/>
    <x v="1"/>
    <n v="98162"/>
    <n v="2"/>
    <n v="178412"/>
    <n v="34307"/>
    <n v="13"/>
    <s v="No"/>
    <x v="0"/>
    <n v="144105"/>
  </r>
  <r>
    <n v="2969"/>
    <d v="2023-05-04T16:00:00"/>
    <x v="4"/>
    <n v="18"/>
    <x v="0"/>
    <s v="Hero"/>
    <x v="0"/>
    <x v="0"/>
    <n v="43872"/>
    <n v="4"/>
    <n v="100723"/>
    <n v="75598"/>
    <n v="1"/>
    <s v="Yes"/>
    <x v="1"/>
    <n v="25125"/>
  </r>
  <r>
    <n v="2970"/>
    <d v="2023-05-04T17:00:00"/>
    <x v="4"/>
    <n v="18"/>
    <x v="0"/>
    <s v="Hero"/>
    <x v="0"/>
    <x v="2"/>
    <n v="44634"/>
    <n v="5"/>
    <n v="137620"/>
    <n v="34623"/>
    <n v="13"/>
    <s v="No"/>
    <x v="0"/>
    <n v="102997"/>
  </r>
  <r>
    <n v="2971"/>
    <d v="2023-05-04T18:00:00"/>
    <x v="4"/>
    <n v="18"/>
    <x v="0"/>
    <s v="TVS"/>
    <x v="1"/>
    <x v="0"/>
    <n v="38323"/>
    <n v="1"/>
    <n v="162740"/>
    <n v="35249"/>
    <n v="9"/>
    <s v="No"/>
    <x v="0"/>
    <n v="127491"/>
  </r>
  <r>
    <n v="2972"/>
    <d v="2023-05-04T19:00:00"/>
    <x v="4"/>
    <n v="18"/>
    <x v="0"/>
    <s v="Honda"/>
    <x v="0"/>
    <x v="2"/>
    <n v="71658"/>
    <n v="2"/>
    <n v="105880"/>
    <n v="88765"/>
    <n v="10"/>
    <s v="No"/>
    <x v="0"/>
    <n v="17115"/>
  </r>
  <r>
    <n v="2973"/>
    <d v="2023-05-04T20:00:00"/>
    <x v="4"/>
    <n v="18"/>
    <x v="0"/>
    <s v="Honda"/>
    <x v="0"/>
    <x v="3"/>
    <n v="96576"/>
    <n v="5"/>
    <n v="33195"/>
    <n v="106810"/>
    <n v="8"/>
    <s v="No"/>
    <x v="0"/>
    <n v="-73615"/>
  </r>
  <r>
    <n v="2974"/>
    <d v="2023-05-04T21:00:00"/>
    <x v="4"/>
    <n v="18"/>
    <x v="0"/>
    <s v="Bajaj"/>
    <x v="0"/>
    <x v="0"/>
    <n v="2449"/>
    <n v="2"/>
    <n v="127658"/>
    <n v="117870"/>
    <n v="7"/>
    <s v="Yes"/>
    <x v="0"/>
    <n v="9788"/>
  </r>
  <r>
    <n v="2975"/>
    <d v="2023-05-04T22:00:00"/>
    <x v="4"/>
    <n v="18"/>
    <x v="0"/>
    <s v="TVS"/>
    <x v="0"/>
    <x v="3"/>
    <n v="49896"/>
    <n v="4"/>
    <n v="82995"/>
    <n v="87131"/>
    <n v="14"/>
    <s v="No"/>
    <x v="0"/>
    <n v="-4136"/>
  </r>
  <r>
    <n v="2976"/>
    <d v="2023-05-04T23:00:00"/>
    <x v="4"/>
    <n v="18"/>
    <x v="0"/>
    <s v="Bajaj"/>
    <x v="0"/>
    <x v="1"/>
    <n v="32412"/>
    <n v="8"/>
    <n v="155112"/>
    <n v="109138"/>
    <n v="13"/>
    <s v="No"/>
    <x v="0"/>
    <n v="45974"/>
  </r>
  <r>
    <n v="2977"/>
    <d v="2023-05-05T00:00:00"/>
    <x v="4"/>
    <n v="18"/>
    <x v="0"/>
    <s v="TVS"/>
    <x v="0"/>
    <x v="2"/>
    <n v="57447"/>
    <n v="2"/>
    <n v="63250"/>
    <n v="53377"/>
    <n v="8"/>
    <s v="No"/>
    <x v="0"/>
    <n v="9873"/>
  </r>
  <r>
    <n v="2978"/>
    <d v="2023-05-05T01:00:00"/>
    <x v="4"/>
    <n v="18"/>
    <x v="0"/>
    <s v="Yamaha"/>
    <x v="1"/>
    <x v="2"/>
    <n v="98197"/>
    <n v="5"/>
    <n v="172148"/>
    <n v="67365"/>
    <n v="12"/>
    <s v="No"/>
    <x v="0"/>
    <n v="104783"/>
  </r>
  <r>
    <n v="2979"/>
    <d v="2023-05-05T02:00:00"/>
    <x v="4"/>
    <n v="18"/>
    <x v="0"/>
    <s v="Hero"/>
    <x v="0"/>
    <x v="3"/>
    <n v="44887"/>
    <n v="4"/>
    <n v="40376"/>
    <n v="118412"/>
    <n v="1"/>
    <s v="Yes"/>
    <x v="0"/>
    <n v="-78036"/>
  </r>
  <r>
    <n v="2980"/>
    <d v="2023-05-05T03:00:00"/>
    <x v="4"/>
    <n v="18"/>
    <x v="0"/>
    <s v="Yamaha"/>
    <x v="0"/>
    <x v="3"/>
    <n v="64465"/>
    <n v="4"/>
    <n v="89723"/>
    <n v="49551"/>
    <n v="14"/>
    <s v="No"/>
    <x v="1"/>
    <n v="40172"/>
  </r>
  <r>
    <n v="2981"/>
    <d v="2023-05-05T04:00:00"/>
    <x v="4"/>
    <n v="18"/>
    <x v="0"/>
    <s v="TVS"/>
    <x v="0"/>
    <x v="1"/>
    <n v="17008"/>
    <n v="5"/>
    <n v="68442"/>
    <n v="57926"/>
    <n v="9"/>
    <s v="No"/>
    <x v="0"/>
    <n v="10516"/>
  </r>
  <r>
    <n v="2982"/>
    <d v="2023-05-05T05:00:00"/>
    <x v="4"/>
    <n v="18"/>
    <x v="0"/>
    <s v="Hero"/>
    <x v="0"/>
    <x v="0"/>
    <n v="46092"/>
    <n v="5"/>
    <n v="30392"/>
    <n v="105214"/>
    <n v="12"/>
    <s v="No"/>
    <x v="0"/>
    <n v="-74822"/>
  </r>
  <r>
    <n v="2983"/>
    <d v="2023-05-05T06:00:00"/>
    <x v="4"/>
    <n v="18"/>
    <x v="0"/>
    <s v="Honda"/>
    <x v="0"/>
    <x v="2"/>
    <n v="2419"/>
    <n v="0"/>
    <n v="49809"/>
    <n v="102750"/>
    <n v="10"/>
    <s v="No"/>
    <x v="0"/>
    <n v="-52941"/>
  </r>
  <r>
    <n v="2984"/>
    <d v="2023-05-05T07:00:00"/>
    <x v="4"/>
    <n v="18"/>
    <x v="0"/>
    <s v="Honda"/>
    <x v="1"/>
    <x v="2"/>
    <n v="43095"/>
    <n v="8"/>
    <n v="140095"/>
    <n v="53599"/>
    <n v="11"/>
    <s v="No"/>
    <x v="1"/>
    <n v="86496"/>
  </r>
  <r>
    <n v="2985"/>
    <d v="2023-05-05T08:00:00"/>
    <x v="4"/>
    <n v="18"/>
    <x v="0"/>
    <s v="Bajaj"/>
    <x v="1"/>
    <x v="1"/>
    <n v="10117"/>
    <n v="4"/>
    <n v="156765"/>
    <n v="113345"/>
    <n v="9"/>
    <s v="No"/>
    <x v="1"/>
    <n v="43420"/>
  </r>
  <r>
    <n v="2986"/>
    <d v="2023-05-05T09:00:00"/>
    <x v="4"/>
    <n v="18"/>
    <x v="0"/>
    <s v="TVS"/>
    <x v="0"/>
    <x v="1"/>
    <n v="75768"/>
    <n v="0"/>
    <n v="124473"/>
    <n v="124490"/>
    <n v="12"/>
    <s v="No"/>
    <x v="0"/>
    <n v="-17"/>
  </r>
  <r>
    <n v="2987"/>
    <d v="2023-05-05T10:00:00"/>
    <x v="4"/>
    <n v="18"/>
    <x v="0"/>
    <s v="TVS"/>
    <x v="0"/>
    <x v="3"/>
    <n v="33798"/>
    <n v="7"/>
    <n v="119769"/>
    <n v="108330"/>
    <n v="11"/>
    <s v="No"/>
    <x v="0"/>
    <n v="11439"/>
  </r>
  <r>
    <n v="2988"/>
    <d v="2023-05-05T11:00:00"/>
    <x v="4"/>
    <n v="18"/>
    <x v="0"/>
    <s v="Honda"/>
    <x v="0"/>
    <x v="3"/>
    <n v="7429"/>
    <n v="6"/>
    <n v="99710"/>
    <n v="37593"/>
    <n v="9"/>
    <s v="No"/>
    <x v="0"/>
    <n v="62117"/>
  </r>
  <r>
    <n v="2989"/>
    <d v="2023-05-05T12:00:00"/>
    <x v="4"/>
    <n v="18"/>
    <x v="0"/>
    <s v="Yamaha"/>
    <x v="0"/>
    <x v="0"/>
    <n v="14956"/>
    <n v="6"/>
    <n v="36352"/>
    <n v="75334"/>
    <n v="13"/>
    <s v="No"/>
    <x v="0"/>
    <n v="-38982"/>
  </r>
  <r>
    <n v="2990"/>
    <d v="2023-05-05T13:00:00"/>
    <x v="4"/>
    <n v="18"/>
    <x v="0"/>
    <s v="Hero"/>
    <x v="0"/>
    <x v="1"/>
    <n v="87176"/>
    <n v="4"/>
    <n v="161064"/>
    <n v="109400"/>
    <n v="14"/>
    <s v="No"/>
    <x v="0"/>
    <n v="51664"/>
  </r>
  <r>
    <n v="2991"/>
    <d v="2023-05-05T14:00:00"/>
    <x v="4"/>
    <n v="18"/>
    <x v="0"/>
    <s v="Yamaha"/>
    <x v="0"/>
    <x v="0"/>
    <n v="84221"/>
    <n v="0"/>
    <n v="78076"/>
    <n v="124865"/>
    <n v="6"/>
    <s v="Yes"/>
    <x v="0"/>
    <n v="-46789"/>
  </r>
  <r>
    <n v="2992"/>
    <d v="2023-05-05T15:00:00"/>
    <x v="4"/>
    <n v="18"/>
    <x v="0"/>
    <s v="Yamaha"/>
    <x v="1"/>
    <x v="1"/>
    <n v="38424"/>
    <n v="8"/>
    <n v="48354"/>
    <n v="130749"/>
    <n v="4"/>
    <s v="Yes"/>
    <x v="1"/>
    <n v="-82395"/>
  </r>
  <r>
    <n v="2993"/>
    <d v="2023-05-05T16:00:00"/>
    <x v="4"/>
    <n v="18"/>
    <x v="0"/>
    <s v="Honda"/>
    <x v="0"/>
    <x v="2"/>
    <n v="24740"/>
    <n v="8"/>
    <n v="159384"/>
    <n v="74893"/>
    <n v="13"/>
    <s v="No"/>
    <x v="0"/>
    <n v="84491"/>
  </r>
  <r>
    <n v="2994"/>
    <d v="2023-05-05T17:00:00"/>
    <x v="4"/>
    <n v="18"/>
    <x v="0"/>
    <s v="Honda"/>
    <x v="0"/>
    <x v="1"/>
    <n v="87881"/>
    <n v="7"/>
    <n v="70833"/>
    <n v="57636"/>
    <n v="2"/>
    <s v="Yes"/>
    <x v="0"/>
    <n v="13197"/>
  </r>
  <r>
    <n v="2995"/>
    <d v="2023-05-05T18:00:00"/>
    <x v="4"/>
    <n v="18"/>
    <x v="0"/>
    <s v="Honda"/>
    <x v="0"/>
    <x v="1"/>
    <n v="9728"/>
    <n v="4"/>
    <n v="29318"/>
    <n v="84225"/>
    <n v="11"/>
    <s v="No"/>
    <x v="0"/>
    <n v="-54907"/>
  </r>
  <r>
    <n v="2996"/>
    <d v="2023-05-05T19:00:00"/>
    <x v="4"/>
    <n v="18"/>
    <x v="0"/>
    <s v="Bajaj"/>
    <x v="0"/>
    <x v="2"/>
    <n v="22186"/>
    <n v="2"/>
    <n v="137363"/>
    <n v="55363"/>
    <n v="4"/>
    <s v="Yes"/>
    <x v="0"/>
    <n v="82000"/>
  </r>
  <r>
    <n v="2997"/>
    <d v="2023-05-05T20:00:00"/>
    <x v="4"/>
    <n v="18"/>
    <x v="0"/>
    <s v="Yamaha"/>
    <x v="0"/>
    <x v="1"/>
    <n v="12420"/>
    <n v="7"/>
    <n v="124992"/>
    <n v="70959"/>
    <n v="7"/>
    <s v="Yes"/>
    <x v="0"/>
    <n v="54033"/>
  </r>
  <r>
    <n v="2998"/>
    <d v="2023-05-05T21:00:00"/>
    <x v="4"/>
    <n v="18"/>
    <x v="0"/>
    <s v="TVS"/>
    <x v="0"/>
    <x v="0"/>
    <n v="7932"/>
    <n v="0"/>
    <n v="91003"/>
    <n v="95223"/>
    <n v="1"/>
    <s v="Yes"/>
    <x v="0"/>
    <n v="-4220"/>
  </r>
  <r>
    <n v="2999"/>
    <d v="2023-05-05T22:00:00"/>
    <x v="4"/>
    <n v="18"/>
    <x v="0"/>
    <s v="Hero"/>
    <x v="0"/>
    <x v="3"/>
    <n v="64075"/>
    <n v="2"/>
    <n v="132841"/>
    <n v="100917"/>
    <n v="14"/>
    <s v="No"/>
    <x v="0"/>
    <n v="31924"/>
  </r>
  <r>
    <n v="3000"/>
    <d v="2023-05-05T23:00:00"/>
    <x v="4"/>
    <n v="18"/>
    <x v="0"/>
    <s v="Bajaj"/>
    <x v="0"/>
    <x v="3"/>
    <n v="72225"/>
    <n v="6"/>
    <n v="125726"/>
    <n v="113629"/>
    <n v="9"/>
    <s v="No"/>
    <x v="0"/>
    <n v="120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C70CD6-DC86-4141-9D0C-0EE897770DD2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A5:D10" firstHeaderRow="0" firstDataRow="1" firstDataCol="1" rowPageCount="3" colPageCount="1"/>
  <pivotFields count="16">
    <pivotField dataField="1" showAll="0"/>
    <pivotField numFmtId="22" showAll="0"/>
    <pivotField axis="axisPage" showAll="0">
      <items count="6">
        <item x="0"/>
        <item x="1"/>
        <item x="2"/>
        <item x="3"/>
        <item x="4"/>
        <item t="default"/>
      </items>
    </pivotField>
    <pivotField numFmtId="1" showAll="0"/>
    <pivotField axis="axisPage" showAll="0">
      <items count="2">
        <item x="0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6" hier="-1"/>
    <pageField fld="4" hier="-1"/>
    <pageField fld="2" hier="-1"/>
  </pageFields>
  <dataFields count="3">
    <dataField name="Total Sales" fld="0" subtotal="count" baseField="0" baseItem="0"/>
    <dataField name="Average of Delivery Days" fld="12" subtotal="average" baseField="0" baseItem="0"/>
    <dataField name="Average Profit" fld="1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9C4121-617D-4E9B-B05F-34D7F399C85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A3:C8" firstHeaderRow="0" firstDataRow="1" firstDataCol="1" rowPageCount="1" colPageCount="1"/>
  <pivotFields count="16">
    <pivotField showAll="0"/>
    <pivotField numFmtId="22" showAll="0"/>
    <pivotField showAll="0"/>
    <pivotField numFmtId="1"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name="% of Inspection_Status" axis="axisPage" dataField="1" showAll="0">
      <items count="3">
        <item x="1"/>
        <item x="0"/>
        <item t="default"/>
      </items>
    </pivotField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4" item="0" hier="-1"/>
  </pageFields>
  <dataFields count="2">
    <dataField name="Average of Delivery Days" fld="12" subtotal="average" baseField="7" baseItem="0"/>
    <dataField name="% of Inspection Status" fld="14" subtotal="count" showDataAs="percentOfCol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D8A159-329F-499A-AD24-252BA7FA79E1}" autoFormatId="16" applyNumberFormats="0" applyBorderFormats="0" applyFontFormats="0" applyPatternFormats="0" applyAlignmentFormats="0" applyWidthHeightFormats="0">
  <queryTableRefresh nextId="17">
    <queryTableFields count="15">
      <queryTableField id="1" name="sale_id" tableColumnId="1"/>
      <queryTableField id="2" name="sale_date" tableColumnId="2"/>
      <queryTableField id="14" dataBound="0" tableColumnId="14"/>
      <queryTableField id="15" dataBound="0" tableColumnId="15"/>
      <queryTableField id="4" name="brand" tableColumnId="4"/>
      <queryTableField id="5" name="fuel_type" tableColumnId="5"/>
      <queryTableField id="6" name="city" tableColumnId="6"/>
      <queryTableField id="7" name="km_driven" tableColumnId="7"/>
      <queryTableField id="8" name="vehicle_age_years" tableColumnId="8"/>
      <queryTableField id="9" name="selling_price" tableColumnId="9"/>
      <queryTableField id="10" name="procurement_cost" tableColumnId="10"/>
      <queryTableField id="11" name="delivery_days" tableColumnId="11"/>
      <queryTableField id="16" dataBound="0" tableColumnId="16"/>
      <queryTableField id="12" name="inspection_status" tableColumnId="12"/>
      <queryTableField id="13" name="profit" tableColumnId="13"/>
    </queryTableFields>
    <queryTableDeletedFields count="1">
      <deletedField name="vehicle_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EE4C95-4330-41EC-816F-89DDEE222950}" name="Revv_bike_sales_data" displayName="Revv_bike_sales_data" ref="A10:O3010" tableType="queryTable" totalsRowShown="0">
  <autoFilter ref="A10:O3010" xr:uid="{C7EE4C95-4330-41EC-816F-89DDEE222950}"/>
  <tableColumns count="15">
    <tableColumn id="1" xr3:uid="{282A1639-B054-460E-994E-4394E8DE932B}" uniqueName="1" name="sale_id" queryTableFieldId="1" dataDxfId="25"/>
    <tableColumn id="2" xr3:uid="{4014AB38-69EC-433D-881C-3E710130C419}" uniqueName="2" name="sale_date" queryTableFieldId="2" dataDxfId="24"/>
    <tableColumn id="14" xr3:uid="{E59763B0-F8C4-45DE-8D19-8AC577A0010E}" uniqueName="14" name="month" queryTableFieldId="14" dataDxfId="23">
      <calculatedColumnFormula>TEXT(B11,"mm-yyyy")</calculatedColumnFormula>
    </tableColumn>
    <tableColumn id="15" xr3:uid="{1535C5E0-0C8B-4E35-8396-1B2DDE5EE510}" uniqueName="15" name="week" queryTableFieldId="15" dataDxfId="22">
      <calculatedColumnFormula>WEEKNUM(B11)</calculatedColumnFormula>
    </tableColumn>
    <tableColumn id="4" xr3:uid="{16373BAB-4C21-4D70-9F8A-F64D4F572446}" uniqueName="4" name="brand" queryTableFieldId="4" dataDxfId="21"/>
    <tableColumn id="5" xr3:uid="{F5E6EC43-F0F6-4785-9E99-851030A76D77}" uniqueName="5" name="fuel_type" queryTableFieldId="5" dataDxfId="20"/>
    <tableColumn id="6" xr3:uid="{B0D482A7-F10E-4056-BFE2-AB787DDB36A4}" uniqueName="6" name="city" queryTableFieldId="6" dataDxfId="19"/>
    <tableColumn id="7" xr3:uid="{E9DA63BA-8954-430A-A856-00BD102594BC}" uniqueName="7" name="km_driven" queryTableFieldId="7" dataDxfId="18"/>
    <tableColumn id="8" xr3:uid="{646612C0-6335-4559-870F-3E758E7FD87F}" uniqueName="8" name="vehicle_age_years" queryTableFieldId="8" dataDxfId="17"/>
    <tableColumn id="9" xr3:uid="{732AB5C6-F708-47E5-BA58-B070334239CB}" uniqueName="9" name="selling_price" queryTableFieldId="9" dataDxfId="16"/>
    <tableColumn id="10" xr3:uid="{3B54F458-4A46-4410-83F6-7AFA1015FCD0}" uniqueName="10" name="procurement_cost" queryTableFieldId="10" dataDxfId="15"/>
    <tableColumn id="11" xr3:uid="{FE8BE1B4-5381-4854-A954-DE1A598853E9}" uniqueName="11" name="delivery_days" queryTableFieldId="11" dataDxfId="14"/>
    <tableColumn id="16" xr3:uid="{D3F899EE-74CC-4358-8304-D7E0C8B67040}" uniqueName="16" name="on-time" queryTableFieldId="16" dataDxfId="13">
      <calculatedColumnFormula>IF(Revv_bike_sales_data[[#This Row],[delivery_days]]&lt;=7, "Yes", "No")</calculatedColumnFormula>
    </tableColumn>
    <tableColumn id="12" xr3:uid="{623B7B96-485A-410D-9A48-C17969D0B5ED}" uniqueName="12" name="inspection_status" queryTableFieldId="12" dataDxfId="12"/>
    <tableColumn id="13" xr3:uid="{CC1B70E9-459E-457D-B0B0-15403B58995D}" uniqueName="13" name="profit" queryTableFieldId="13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4D5FDB-0496-44D8-A2E9-753CE3C8CF01}" name="Table2" displayName="Table2" ref="A1:G17" totalsRowShown="0">
  <autoFilter ref="A1:G17" xr:uid="{BF4D5FDB-0496-44D8-A2E9-753CE3C8CF01}"/>
  <tableColumns count="7">
    <tableColumn id="1" xr3:uid="{B235B9A6-9180-40DF-AD1E-4F98306E35A1}" name="Due Date"/>
    <tableColumn id="2" xr3:uid="{612D9DED-D353-4E5D-934A-BDEF1CDE9556}" name="City"/>
    <tableColumn id="3" xr3:uid="{247977A0-9D77-49D9-82D5-F53CCB743A34}" name="Task "/>
    <tableColumn id="4" xr3:uid="{BBFC5DC9-6BAB-453D-95AB-5E5686CA5BF3}" name="Owner"/>
    <tableColumn id="5" xr3:uid="{1D25977A-F399-400F-A99C-07962A38E9BA}" name="Status"/>
    <tableColumn id="6" xr3:uid="{8DF6AE2D-B614-467B-9A9B-D86276ED007F}" name="Risk"/>
    <tableColumn id="7" xr3:uid="{E7DED905-09B7-47C9-B2C7-F954049DA94B}" name="Comment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B03F-F7BF-451D-874C-796E1F4FA897}">
  <dimension ref="A1:D10"/>
  <sheetViews>
    <sheetView workbookViewId="0">
      <selection activeCell="E5" sqref="E5"/>
    </sheetView>
  </sheetViews>
  <sheetFormatPr defaultRowHeight="14.4" x14ac:dyDescent="0.3"/>
  <cols>
    <col min="1" max="1" width="11.21875" bestFit="1" customWidth="1"/>
    <col min="2" max="2" width="9.88671875" bestFit="1" customWidth="1"/>
    <col min="3" max="3" width="19.77734375" bestFit="1" customWidth="1"/>
    <col min="4" max="4" width="13.109375" bestFit="1" customWidth="1"/>
  </cols>
  <sheetData>
    <row r="1" spans="1:4" x14ac:dyDescent="0.3">
      <c r="A1" s="3" t="s">
        <v>4</v>
      </c>
      <c r="B1" t="s">
        <v>35</v>
      </c>
    </row>
    <row r="2" spans="1:4" x14ac:dyDescent="0.3">
      <c r="A2" s="3" t="s">
        <v>2</v>
      </c>
      <c r="B2" t="s">
        <v>35</v>
      </c>
    </row>
    <row r="3" spans="1:4" x14ac:dyDescent="0.3">
      <c r="A3" s="3" t="s">
        <v>26</v>
      </c>
      <c r="B3" t="s">
        <v>35</v>
      </c>
    </row>
    <row r="5" spans="1:4" x14ac:dyDescent="0.3">
      <c r="A5" s="3" t="s">
        <v>36</v>
      </c>
      <c r="B5" t="s">
        <v>37</v>
      </c>
      <c r="C5" t="s">
        <v>50</v>
      </c>
      <c r="D5" t="s">
        <v>38</v>
      </c>
    </row>
    <row r="6" spans="1:4" x14ac:dyDescent="0.3">
      <c r="A6" s="4" t="s">
        <v>19</v>
      </c>
      <c r="B6">
        <v>745</v>
      </c>
      <c r="C6">
        <v>7.4469798657718123</v>
      </c>
      <c r="D6">
        <v>24573.612080536914</v>
      </c>
    </row>
    <row r="7" spans="1:4" x14ac:dyDescent="0.3">
      <c r="A7" s="4" t="s">
        <v>21</v>
      </c>
      <c r="B7">
        <v>795</v>
      </c>
      <c r="C7">
        <v>7.7220125786163525</v>
      </c>
      <c r="D7">
        <v>24503.086792452828</v>
      </c>
    </row>
    <row r="8" spans="1:4" x14ac:dyDescent="0.3">
      <c r="A8" s="4" t="s">
        <v>15</v>
      </c>
      <c r="B8">
        <v>717</v>
      </c>
      <c r="C8">
        <v>7.3124128312412831</v>
      </c>
      <c r="D8">
        <v>24866.889818688982</v>
      </c>
    </row>
    <row r="9" spans="1:4" x14ac:dyDescent="0.3">
      <c r="A9" s="4" t="s">
        <v>20</v>
      </c>
      <c r="B9">
        <v>743</v>
      </c>
      <c r="C9">
        <v>7.3189771197846571</v>
      </c>
      <c r="D9">
        <v>26941.872139973082</v>
      </c>
    </row>
    <row r="10" spans="1:4" x14ac:dyDescent="0.3">
      <c r="A10" s="4" t="s">
        <v>34</v>
      </c>
      <c r="B10">
        <v>3000</v>
      </c>
      <c r="C10">
        <v>7.4560000000000004</v>
      </c>
      <c r="D10">
        <v>25211.555333333334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BFED-67FA-4F10-BBCA-99CA1FA0CE55}">
  <dimension ref="A2:O3010"/>
  <sheetViews>
    <sheetView tabSelected="1" workbookViewId="0">
      <selection activeCell="K8" sqref="K8"/>
    </sheetView>
  </sheetViews>
  <sheetFormatPr defaultRowHeight="14.4" x14ac:dyDescent="0.3"/>
  <cols>
    <col min="1" max="1" width="9" bestFit="1" customWidth="1"/>
    <col min="2" max="2" width="17.77734375" customWidth="1"/>
    <col min="3" max="3" width="15.44140625" customWidth="1"/>
    <col min="4" max="4" width="6" customWidth="1"/>
    <col min="5" max="5" width="11.21875" bestFit="1" customWidth="1"/>
    <col min="6" max="6" width="10.6640625" bestFit="1" customWidth="1"/>
    <col min="7" max="7" width="12.21875" bestFit="1" customWidth="1"/>
    <col min="8" max="8" width="18.6640625" style="2" bestFit="1" customWidth="1"/>
    <col min="9" max="9" width="13.5546875" style="2" bestFit="1" customWidth="1"/>
    <col min="10" max="10" width="18.77734375" style="2" bestFit="1" customWidth="1"/>
    <col min="11" max="11" width="14.77734375" style="2" bestFit="1" customWidth="1"/>
    <col min="12" max="12" width="18" style="2" bestFit="1" customWidth="1"/>
    <col min="13" max="13" width="18" customWidth="1"/>
    <col min="14" max="14" width="22.6640625" customWidth="1"/>
    <col min="15" max="15" width="10.21875" style="2" bestFit="1" customWidth="1"/>
  </cols>
  <sheetData>
    <row r="2" spans="1:15" x14ac:dyDescent="0.3">
      <c r="B2" t="s">
        <v>29</v>
      </c>
      <c r="C2">
        <f xml:space="preserve"> COUNTA(Revv_bike_sales_data[sale_id])</f>
        <v>3000</v>
      </c>
    </row>
    <row r="3" spans="1:15" x14ac:dyDescent="0.3">
      <c r="B3" t="s">
        <v>30</v>
      </c>
      <c r="C3">
        <f>SUM(Revv_bike_sales_data[profit])</f>
        <v>75634666</v>
      </c>
    </row>
    <row r="4" spans="1:15" x14ac:dyDescent="0.3">
      <c r="B4" t="s">
        <v>31</v>
      </c>
      <c r="C4">
        <f>AVERAGE(Revv_bike_sales_data[delivery_days])</f>
        <v>7.4560000000000004</v>
      </c>
    </row>
    <row r="5" spans="1:15" x14ac:dyDescent="0.3">
      <c r="B5" t="s">
        <v>32</v>
      </c>
      <c r="C5">
        <f>COUNTIF(Revv_bike_sales_data[inspection_status], "Fail")/COUNTA(Revv_bike_sales_data[inspection_status])*100</f>
        <v>9.8666666666666671</v>
      </c>
    </row>
    <row r="6" spans="1:15" x14ac:dyDescent="0.3">
      <c r="B6" t="s">
        <v>33</v>
      </c>
      <c r="C6">
        <f>COUNTIF(Revv_bike_sales_data[on-time], "Yes")/COUNTA(Revv_bike_sales_data[on-time])*100</f>
        <v>50.133333333333333</v>
      </c>
    </row>
    <row r="10" spans="1:15" x14ac:dyDescent="0.3">
      <c r="A10" t="s">
        <v>0</v>
      </c>
      <c r="B10" t="s">
        <v>1</v>
      </c>
      <c r="C10" t="s">
        <v>26</v>
      </c>
      <c r="D10" t="s">
        <v>27</v>
      </c>
      <c r="E10" t="s">
        <v>3</v>
      </c>
      <c r="F10" t="s">
        <v>4</v>
      </c>
      <c r="G10" t="s">
        <v>5</v>
      </c>
      <c r="H10" s="2" t="s">
        <v>6</v>
      </c>
      <c r="I10" s="2" t="s">
        <v>7</v>
      </c>
      <c r="J10" s="2" t="s">
        <v>8</v>
      </c>
      <c r="K10" s="2" t="s">
        <v>9</v>
      </c>
      <c r="L10" s="2" t="s">
        <v>10</v>
      </c>
      <c r="M10" t="s">
        <v>28</v>
      </c>
      <c r="N10" t="s">
        <v>11</v>
      </c>
      <c r="O10" s="2" t="s">
        <v>12</v>
      </c>
    </row>
    <row r="11" spans="1:15" x14ac:dyDescent="0.3">
      <c r="A11" s="2">
        <v>1</v>
      </c>
      <c r="B11" s="1">
        <v>44927</v>
      </c>
      <c r="C11" s="1" t="str">
        <f t="shared" ref="C11:C74" si="0">TEXT(B11,"mm-yyyy")</f>
        <v>01-2023</v>
      </c>
      <c r="D11" s="2">
        <f t="shared" ref="D11:D74" si="1">WEEKNUM(B11)</f>
        <v>1</v>
      </c>
      <c r="E11" t="s">
        <v>13</v>
      </c>
      <c r="F11" t="s">
        <v>14</v>
      </c>
      <c r="G11" t="s">
        <v>15</v>
      </c>
      <c r="H11" s="2">
        <v>5422</v>
      </c>
      <c r="I11" s="2">
        <v>7</v>
      </c>
      <c r="J11" s="2">
        <v>81630</v>
      </c>
      <c r="K11" s="2">
        <v>104199</v>
      </c>
      <c r="L11" s="2">
        <v>6</v>
      </c>
      <c r="M11" t="str">
        <f>IF(Revv_bike_sales_data[[#This Row],[delivery_days]]&lt;=7, "Yes", "No")</f>
        <v>Yes</v>
      </c>
      <c r="N11" t="s">
        <v>16</v>
      </c>
      <c r="O11" s="2">
        <v>-22569</v>
      </c>
    </row>
    <row r="12" spans="1:15" x14ac:dyDescent="0.3">
      <c r="A12" s="2">
        <v>2</v>
      </c>
      <c r="B12" s="1">
        <v>44927.041666666664</v>
      </c>
      <c r="C12" s="1" t="str">
        <f t="shared" si="0"/>
        <v>01-2023</v>
      </c>
      <c r="D12" s="2">
        <f t="shared" si="1"/>
        <v>1</v>
      </c>
      <c r="E12" t="s">
        <v>17</v>
      </c>
      <c r="F12" t="s">
        <v>14</v>
      </c>
      <c r="G12" t="s">
        <v>15</v>
      </c>
      <c r="H12" s="2">
        <v>70428</v>
      </c>
      <c r="I12" s="2">
        <v>6</v>
      </c>
      <c r="J12" s="2">
        <v>46658</v>
      </c>
      <c r="K12" s="2">
        <v>111782</v>
      </c>
      <c r="L12" s="2">
        <v>1</v>
      </c>
      <c r="M12" t="str">
        <f>IF(Revv_bike_sales_data[[#This Row],[delivery_days]]&lt;=7, "Yes", "No")</f>
        <v>Yes</v>
      </c>
      <c r="N12" t="s">
        <v>16</v>
      </c>
      <c r="O12" s="2">
        <v>-65124</v>
      </c>
    </row>
    <row r="13" spans="1:15" x14ac:dyDescent="0.3">
      <c r="A13" s="2">
        <v>3</v>
      </c>
      <c r="B13" s="1">
        <v>44927.083333333336</v>
      </c>
      <c r="C13" s="1" t="str">
        <f t="shared" si="0"/>
        <v>01-2023</v>
      </c>
      <c r="D13" s="2">
        <f t="shared" si="1"/>
        <v>1</v>
      </c>
      <c r="E13" t="s">
        <v>18</v>
      </c>
      <c r="F13" t="s">
        <v>14</v>
      </c>
      <c r="G13" t="s">
        <v>19</v>
      </c>
      <c r="H13" s="2">
        <v>52835</v>
      </c>
      <c r="I13" s="2">
        <v>4</v>
      </c>
      <c r="J13" s="2">
        <v>40797</v>
      </c>
      <c r="K13" s="2">
        <v>134195</v>
      </c>
      <c r="L13" s="2">
        <v>12</v>
      </c>
      <c r="M13" t="str">
        <f>IF(Revv_bike_sales_data[[#This Row],[delivery_days]]&lt;=7, "Yes", "No")</f>
        <v>No</v>
      </c>
      <c r="N13" t="s">
        <v>16</v>
      </c>
      <c r="O13" s="2">
        <v>-93398</v>
      </c>
    </row>
    <row r="14" spans="1:15" x14ac:dyDescent="0.3">
      <c r="A14" s="2">
        <v>4</v>
      </c>
      <c r="B14" s="1">
        <v>44927.125</v>
      </c>
      <c r="C14" s="1" t="str">
        <f t="shared" si="0"/>
        <v>01-2023</v>
      </c>
      <c r="D14" s="2">
        <f t="shared" si="1"/>
        <v>1</v>
      </c>
      <c r="E14" t="s">
        <v>17</v>
      </c>
      <c r="F14" t="s">
        <v>14</v>
      </c>
      <c r="G14" t="s">
        <v>20</v>
      </c>
      <c r="H14" s="2">
        <v>14041</v>
      </c>
      <c r="I14" s="2">
        <v>2</v>
      </c>
      <c r="J14" s="2">
        <v>83799</v>
      </c>
      <c r="K14" s="2">
        <v>127908</v>
      </c>
      <c r="L14" s="2">
        <v>7</v>
      </c>
      <c r="M14" t="str">
        <f>IF(Revv_bike_sales_data[[#This Row],[delivery_days]]&lt;=7, "Yes", "No")</f>
        <v>Yes</v>
      </c>
      <c r="N14" t="s">
        <v>16</v>
      </c>
      <c r="O14" s="2">
        <v>-44109</v>
      </c>
    </row>
    <row r="15" spans="1:15" x14ac:dyDescent="0.3">
      <c r="A15" s="2">
        <v>5</v>
      </c>
      <c r="B15" s="1">
        <v>44927.166666666664</v>
      </c>
      <c r="C15" s="1" t="str">
        <f t="shared" si="0"/>
        <v>01-2023</v>
      </c>
      <c r="D15" s="2">
        <f t="shared" si="1"/>
        <v>1</v>
      </c>
      <c r="E15" t="s">
        <v>17</v>
      </c>
      <c r="F15" t="s">
        <v>14</v>
      </c>
      <c r="G15" t="s">
        <v>21</v>
      </c>
      <c r="H15" s="2">
        <v>20051</v>
      </c>
      <c r="I15" s="2">
        <v>8</v>
      </c>
      <c r="J15" s="2">
        <v>143301</v>
      </c>
      <c r="K15" s="2">
        <v>52489</v>
      </c>
      <c r="L15" s="2">
        <v>7</v>
      </c>
      <c r="M15" t="str">
        <f>IF(Revv_bike_sales_data[[#This Row],[delivery_days]]&lt;=7, "Yes", "No")</f>
        <v>Yes</v>
      </c>
      <c r="N15" t="s">
        <v>16</v>
      </c>
      <c r="O15" s="2">
        <v>90812</v>
      </c>
    </row>
    <row r="16" spans="1:15" x14ac:dyDescent="0.3">
      <c r="A16" s="2">
        <v>6</v>
      </c>
      <c r="B16" s="1">
        <v>44927.208333333336</v>
      </c>
      <c r="C16" s="1" t="str">
        <f t="shared" si="0"/>
        <v>01-2023</v>
      </c>
      <c r="D16" s="2">
        <f t="shared" si="1"/>
        <v>1</v>
      </c>
      <c r="E16" t="s">
        <v>22</v>
      </c>
      <c r="F16" t="s">
        <v>14</v>
      </c>
      <c r="G16" t="s">
        <v>20</v>
      </c>
      <c r="H16" s="2">
        <v>19881</v>
      </c>
      <c r="I16" s="2">
        <v>6</v>
      </c>
      <c r="J16" s="2">
        <v>77236</v>
      </c>
      <c r="K16" s="2">
        <v>135059</v>
      </c>
      <c r="L16" s="2">
        <v>10</v>
      </c>
      <c r="M16" t="str">
        <f>IF(Revv_bike_sales_data[[#This Row],[delivery_days]]&lt;=7, "Yes", "No")</f>
        <v>No</v>
      </c>
      <c r="N16" t="s">
        <v>16</v>
      </c>
      <c r="O16" s="2">
        <v>-57823</v>
      </c>
    </row>
    <row r="17" spans="1:15" x14ac:dyDescent="0.3">
      <c r="A17" s="2">
        <v>7</v>
      </c>
      <c r="B17" s="1">
        <v>44927.25</v>
      </c>
      <c r="C17" s="1" t="str">
        <f t="shared" si="0"/>
        <v>01-2023</v>
      </c>
      <c r="D17" s="2">
        <f t="shared" si="1"/>
        <v>1</v>
      </c>
      <c r="E17" t="s">
        <v>18</v>
      </c>
      <c r="F17" t="s">
        <v>14</v>
      </c>
      <c r="G17" t="s">
        <v>20</v>
      </c>
      <c r="H17" s="2">
        <v>56173</v>
      </c>
      <c r="I17" s="2">
        <v>9</v>
      </c>
      <c r="J17" s="2">
        <v>31265</v>
      </c>
      <c r="K17" s="2">
        <v>122507</v>
      </c>
      <c r="L17" s="2">
        <v>9</v>
      </c>
      <c r="M17" t="str">
        <f>IF(Revv_bike_sales_data[[#This Row],[delivery_days]]&lt;=7, "Yes", "No")</f>
        <v>No</v>
      </c>
      <c r="N17" t="s">
        <v>16</v>
      </c>
      <c r="O17" s="2">
        <v>-91242</v>
      </c>
    </row>
    <row r="18" spans="1:15" x14ac:dyDescent="0.3">
      <c r="A18" s="2">
        <v>8</v>
      </c>
      <c r="B18" s="1">
        <v>44927.291666666664</v>
      </c>
      <c r="C18" s="1" t="str">
        <f t="shared" si="0"/>
        <v>01-2023</v>
      </c>
      <c r="D18" s="2">
        <f t="shared" si="1"/>
        <v>1</v>
      </c>
      <c r="E18" t="s">
        <v>18</v>
      </c>
      <c r="F18" t="s">
        <v>23</v>
      </c>
      <c r="G18" t="s">
        <v>19</v>
      </c>
      <c r="H18" s="2">
        <v>23448</v>
      </c>
      <c r="I18" s="2">
        <v>9</v>
      </c>
      <c r="J18" s="2">
        <v>150611</v>
      </c>
      <c r="K18" s="2">
        <v>55309</v>
      </c>
      <c r="L18" s="2">
        <v>14</v>
      </c>
      <c r="M18" t="str">
        <f>IF(Revv_bike_sales_data[[#This Row],[delivery_days]]&lt;=7, "Yes", "No")</f>
        <v>No</v>
      </c>
      <c r="N18" t="s">
        <v>16</v>
      </c>
      <c r="O18" s="2">
        <v>95302</v>
      </c>
    </row>
    <row r="19" spans="1:15" x14ac:dyDescent="0.3">
      <c r="A19" s="2">
        <v>9</v>
      </c>
      <c r="B19" s="1">
        <v>44927.333333333336</v>
      </c>
      <c r="C19" s="1" t="str">
        <f t="shared" si="0"/>
        <v>01-2023</v>
      </c>
      <c r="D19" s="2">
        <f t="shared" si="1"/>
        <v>1</v>
      </c>
      <c r="E19" t="s">
        <v>18</v>
      </c>
      <c r="F19" t="s">
        <v>23</v>
      </c>
      <c r="G19" t="s">
        <v>15</v>
      </c>
      <c r="H19" s="2">
        <v>92764</v>
      </c>
      <c r="I19" s="2">
        <v>7</v>
      </c>
      <c r="J19" s="2">
        <v>146754</v>
      </c>
      <c r="K19" s="2">
        <v>123173</v>
      </c>
      <c r="L19" s="2">
        <v>12</v>
      </c>
      <c r="M19" t="str">
        <f>IF(Revv_bike_sales_data[[#This Row],[delivery_days]]&lt;=7, "Yes", "No")</f>
        <v>No</v>
      </c>
      <c r="N19" t="s">
        <v>24</v>
      </c>
      <c r="O19" s="2">
        <v>23581</v>
      </c>
    </row>
    <row r="20" spans="1:15" x14ac:dyDescent="0.3">
      <c r="A20" s="2">
        <v>10</v>
      </c>
      <c r="B20" s="1">
        <v>44927.375</v>
      </c>
      <c r="C20" s="1" t="str">
        <f t="shared" si="0"/>
        <v>01-2023</v>
      </c>
      <c r="D20" s="2">
        <f t="shared" si="1"/>
        <v>1</v>
      </c>
      <c r="E20" t="s">
        <v>17</v>
      </c>
      <c r="F20" t="s">
        <v>14</v>
      </c>
      <c r="G20" t="s">
        <v>15</v>
      </c>
      <c r="H20" s="2">
        <v>59572</v>
      </c>
      <c r="I20" s="2">
        <v>5</v>
      </c>
      <c r="J20" s="2">
        <v>116426</v>
      </c>
      <c r="K20" s="2">
        <v>43273</v>
      </c>
      <c r="L20" s="2">
        <v>7</v>
      </c>
      <c r="M20" t="str">
        <f>IF(Revv_bike_sales_data[[#This Row],[delivery_days]]&lt;=7, "Yes", "No")</f>
        <v>Yes</v>
      </c>
      <c r="N20" t="s">
        <v>16</v>
      </c>
      <c r="O20" s="2">
        <v>73153</v>
      </c>
    </row>
    <row r="21" spans="1:15" x14ac:dyDescent="0.3">
      <c r="A21" s="2">
        <v>11</v>
      </c>
      <c r="B21" s="1">
        <v>44927.416666666664</v>
      </c>
      <c r="C21" s="1" t="str">
        <f t="shared" si="0"/>
        <v>01-2023</v>
      </c>
      <c r="D21" s="2">
        <f t="shared" si="1"/>
        <v>1</v>
      </c>
      <c r="E21" t="s">
        <v>13</v>
      </c>
      <c r="F21" t="s">
        <v>14</v>
      </c>
      <c r="G21" t="s">
        <v>19</v>
      </c>
      <c r="H21" s="2">
        <v>68060</v>
      </c>
      <c r="I21" s="2">
        <v>4</v>
      </c>
      <c r="J21" s="2">
        <v>170378</v>
      </c>
      <c r="K21" s="2">
        <v>62553</v>
      </c>
      <c r="L21" s="2">
        <v>8</v>
      </c>
      <c r="M21" t="str">
        <f>IF(Revv_bike_sales_data[[#This Row],[delivery_days]]&lt;=7, "Yes", "No")</f>
        <v>No</v>
      </c>
      <c r="N21" t="s">
        <v>16</v>
      </c>
      <c r="O21" s="2">
        <v>107825</v>
      </c>
    </row>
    <row r="22" spans="1:15" x14ac:dyDescent="0.3">
      <c r="A22" s="2">
        <v>12</v>
      </c>
      <c r="B22" s="1">
        <v>44927.458333333336</v>
      </c>
      <c r="C22" s="1" t="str">
        <f t="shared" si="0"/>
        <v>01-2023</v>
      </c>
      <c r="D22" s="2">
        <f t="shared" si="1"/>
        <v>1</v>
      </c>
      <c r="E22" t="s">
        <v>18</v>
      </c>
      <c r="F22" t="s">
        <v>14</v>
      </c>
      <c r="G22" t="s">
        <v>19</v>
      </c>
      <c r="H22" s="2">
        <v>82749</v>
      </c>
      <c r="I22" s="2">
        <v>7</v>
      </c>
      <c r="J22" s="2">
        <v>167957</v>
      </c>
      <c r="K22" s="2">
        <v>44473</v>
      </c>
      <c r="L22" s="2">
        <v>4</v>
      </c>
      <c r="M22" t="str">
        <f>IF(Revv_bike_sales_data[[#This Row],[delivery_days]]&lt;=7, "Yes", "No")</f>
        <v>Yes</v>
      </c>
      <c r="N22" t="s">
        <v>16</v>
      </c>
      <c r="O22" s="2">
        <v>123484</v>
      </c>
    </row>
    <row r="23" spans="1:15" x14ac:dyDescent="0.3">
      <c r="A23" s="2">
        <v>13</v>
      </c>
      <c r="B23" s="1">
        <v>44927.5</v>
      </c>
      <c r="C23" s="1" t="str">
        <f t="shared" si="0"/>
        <v>01-2023</v>
      </c>
      <c r="D23" s="2">
        <f t="shared" si="1"/>
        <v>1</v>
      </c>
      <c r="E23" t="s">
        <v>17</v>
      </c>
      <c r="F23" t="s">
        <v>14</v>
      </c>
      <c r="G23" t="s">
        <v>19</v>
      </c>
      <c r="H23" s="2">
        <v>2986</v>
      </c>
      <c r="I23" s="2">
        <v>2</v>
      </c>
      <c r="J23" s="2">
        <v>134681</v>
      </c>
      <c r="K23" s="2">
        <v>76410</v>
      </c>
      <c r="L23" s="2">
        <v>9</v>
      </c>
      <c r="M23" t="str">
        <f>IF(Revv_bike_sales_data[[#This Row],[delivery_days]]&lt;=7, "Yes", "No")</f>
        <v>No</v>
      </c>
      <c r="N23" t="s">
        <v>16</v>
      </c>
      <c r="O23" s="2">
        <v>58271</v>
      </c>
    </row>
    <row r="24" spans="1:15" x14ac:dyDescent="0.3">
      <c r="A24" s="2">
        <v>14</v>
      </c>
      <c r="B24" s="1">
        <v>44927.541666666664</v>
      </c>
      <c r="C24" s="1" t="str">
        <f t="shared" si="0"/>
        <v>01-2023</v>
      </c>
      <c r="D24" s="2">
        <f t="shared" si="1"/>
        <v>1</v>
      </c>
      <c r="E24" t="s">
        <v>22</v>
      </c>
      <c r="F24" t="s">
        <v>14</v>
      </c>
      <c r="G24" t="s">
        <v>19</v>
      </c>
      <c r="H24" s="2">
        <v>67191</v>
      </c>
      <c r="I24" s="2">
        <v>6</v>
      </c>
      <c r="J24" s="2">
        <v>68826</v>
      </c>
      <c r="K24" s="2">
        <v>139772</v>
      </c>
      <c r="L24" s="2">
        <v>14</v>
      </c>
      <c r="M24" t="str">
        <f>IF(Revv_bike_sales_data[[#This Row],[delivery_days]]&lt;=7, "Yes", "No")</f>
        <v>No</v>
      </c>
      <c r="N24" t="s">
        <v>16</v>
      </c>
      <c r="O24" s="2">
        <v>-70946</v>
      </c>
    </row>
    <row r="25" spans="1:15" x14ac:dyDescent="0.3">
      <c r="A25" s="2">
        <v>15</v>
      </c>
      <c r="B25" s="1">
        <v>44927.583333333336</v>
      </c>
      <c r="C25" s="1" t="str">
        <f t="shared" si="0"/>
        <v>01-2023</v>
      </c>
      <c r="D25" s="2">
        <f t="shared" si="1"/>
        <v>1</v>
      </c>
      <c r="E25" t="s">
        <v>13</v>
      </c>
      <c r="F25" t="s">
        <v>14</v>
      </c>
      <c r="G25" t="s">
        <v>19</v>
      </c>
      <c r="H25" s="2">
        <v>10582</v>
      </c>
      <c r="I25" s="2">
        <v>1</v>
      </c>
      <c r="J25" s="2">
        <v>80597</v>
      </c>
      <c r="K25" s="2">
        <v>28679</v>
      </c>
      <c r="L25" s="2">
        <v>1</v>
      </c>
      <c r="M25" t="str">
        <f>IF(Revv_bike_sales_data[[#This Row],[delivery_days]]&lt;=7, "Yes", "No")</f>
        <v>Yes</v>
      </c>
      <c r="N25" t="s">
        <v>16</v>
      </c>
      <c r="O25" s="2">
        <v>51918</v>
      </c>
    </row>
    <row r="26" spans="1:15" x14ac:dyDescent="0.3">
      <c r="A26" s="2">
        <v>16</v>
      </c>
      <c r="B26" s="1">
        <v>44927.625</v>
      </c>
      <c r="C26" s="1" t="str">
        <f t="shared" si="0"/>
        <v>01-2023</v>
      </c>
      <c r="D26" s="2">
        <f t="shared" si="1"/>
        <v>1</v>
      </c>
      <c r="E26" t="s">
        <v>22</v>
      </c>
      <c r="F26" t="s">
        <v>14</v>
      </c>
      <c r="G26" t="s">
        <v>21</v>
      </c>
      <c r="H26" s="2">
        <v>84605</v>
      </c>
      <c r="I26" s="2">
        <v>2</v>
      </c>
      <c r="J26" s="2">
        <v>163515</v>
      </c>
      <c r="K26" s="2">
        <v>107981</v>
      </c>
      <c r="L26" s="2">
        <v>8</v>
      </c>
      <c r="M26" t="str">
        <f>IF(Revv_bike_sales_data[[#This Row],[delivery_days]]&lt;=7, "Yes", "No")</f>
        <v>No</v>
      </c>
      <c r="N26" t="s">
        <v>16</v>
      </c>
      <c r="O26" s="2">
        <v>55534</v>
      </c>
    </row>
    <row r="27" spans="1:15" x14ac:dyDescent="0.3">
      <c r="A27" s="2">
        <v>17</v>
      </c>
      <c r="B27" s="1">
        <v>44927.666666666664</v>
      </c>
      <c r="C27" s="1" t="str">
        <f t="shared" si="0"/>
        <v>01-2023</v>
      </c>
      <c r="D27" s="2">
        <f t="shared" si="1"/>
        <v>1</v>
      </c>
      <c r="E27" t="s">
        <v>13</v>
      </c>
      <c r="F27" t="s">
        <v>14</v>
      </c>
      <c r="G27" t="s">
        <v>20</v>
      </c>
      <c r="H27" s="2">
        <v>7586</v>
      </c>
      <c r="I27" s="2">
        <v>1</v>
      </c>
      <c r="J27" s="2">
        <v>122375</v>
      </c>
      <c r="K27" s="2">
        <v>60310</v>
      </c>
      <c r="L27" s="2">
        <v>3</v>
      </c>
      <c r="M27" t="str">
        <f>IF(Revv_bike_sales_data[[#This Row],[delivery_days]]&lt;=7, "Yes", "No")</f>
        <v>Yes</v>
      </c>
      <c r="N27" t="s">
        <v>16</v>
      </c>
      <c r="O27" s="2">
        <v>62065</v>
      </c>
    </row>
    <row r="28" spans="1:15" x14ac:dyDescent="0.3">
      <c r="A28" s="2">
        <v>18</v>
      </c>
      <c r="B28" s="1">
        <v>44927.708333333336</v>
      </c>
      <c r="C28" s="1" t="str">
        <f t="shared" si="0"/>
        <v>01-2023</v>
      </c>
      <c r="D28" s="2">
        <f t="shared" si="1"/>
        <v>1</v>
      </c>
      <c r="E28" t="s">
        <v>17</v>
      </c>
      <c r="F28" t="s">
        <v>14</v>
      </c>
      <c r="G28" t="s">
        <v>20</v>
      </c>
      <c r="H28" s="2">
        <v>68353</v>
      </c>
      <c r="I28" s="2">
        <v>4</v>
      </c>
      <c r="J28" s="2">
        <v>42084</v>
      </c>
      <c r="K28" s="2">
        <v>98406</v>
      </c>
      <c r="L28" s="2">
        <v>14</v>
      </c>
      <c r="M28" t="str">
        <f>IF(Revv_bike_sales_data[[#This Row],[delivery_days]]&lt;=7, "Yes", "No")</f>
        <v>No</v>
      </c>
      <c r="N28" t="s">
        <v>24</v>
      </c>
      <c r="O28" s="2">
        <v>-56322</v>
      </c>
    </row>
    <row r="29" spans="1:15" x14ac:dyDescent="0.3">
      <c r="A29" s="2">
        <v>19</v>
      </c>
      <c r="B29" s="1">
        <v>44927.75</v>
      </c>
      <c r="C29" s="1" t="str">
        <f t="shared" si="0"/>
        <v>01-2023</v>
      </c>
      <c r="D29" s="2">
        <f t="shared" si="1"/>
        <v>1</v>
      </c>
      <c r="E29" t="s">
        <v>25</v>
      </c>
      <c r="F29" t="s">
        <v>14</v>
      </c>
      <c r="G29" t="s">
        <v>20</v>
      </c>
      <c r="H29" s="2">
        <v>70527</v>
      </c>
      <c r="I29" s="2">
        <v>6</v>
      </c>
      <c r="J29" s="2">
        <v>114447</v>
      </c>
      <c r="K29" s="2">
        <v>75683</v>
      </c>
      <c r="L29" s="2">
        <v>1</v>
      </c>
      <c r="M29" t="str">
        <f>IF(Revv_bike_sales_data[[#This Row],[delivery_days]]&lt;=7, "Yes", "No")</f>
        <v>Yes</v>
      </c>
      <c r="N29" t="s">
        <v>16</v>
      </c>
      <c r="O29" s="2">
        <v>38764</v>
      </c>
    </row>
    <row r="30" spans="1:15" x14ac:dyDescent="0.3">
      <c r="A30" s="2">
        <v>20</v>
      </c>
      <c r="B30" s="1">
        <v>44927.791666666664</v>
      </c>
      <c r="C30" s="1" t="str">
        <f t="shared" si="0"/>
        <v>01-2023</v>
      </c>
      <c r="D30" s="2">
        <f t="shared" si="1"/>
        <v>1</v>
      </c>
      <c r="E30" t="s">
        <v>13</v>
      </c>
      <c r="F30" t="s">
        <v>14</v>
      </c>
      <c r="G30" t="s">
        <v>15</v>
      </c>
      <c r="H30" s="2">
        <v>16416</v>
      </c>
      <c r="I30" s="2">
        <v>9</v>
      </c>
      <c r="J30" s="2">
        <v>29383</v>
      </c>
      <c r="K30" s="2">
        <v>127765</v>
      </c>
      <c r="L30" s="2">
        <v>2</v>
      </c>
      <c r="M30" t="str">
        <f>IF(Revv_bike_sales_data[[#This Row],[delivery_days]]&lt;=7, "Yes", "No")</f>
        <v>Yes</v>
      </c>
      <c r="N30" t="s">
        <v>16</v>
      </c>
      <c r="O30" s="2">
        <v>-98382</v>
      </c>
    </row>
    <row r="31" spans="1:15" x14ac:dyDescent="0.3">
      <c r="A31" s="2">
        <v>21</v>
      </c>
      <c r="B31" s="1">
        <v>44927.833333333336</v>
      </c>
      <c r="C31" s="1" t="str">
        <f t="shared" si="0"/>
        <v>01-2023</v>
      </c>
      <c r="D31" s="2">
        <f t="shared" si="1"/>
        <v>1</v>
      </c>
      <c r="E31" t="s">
        <v>22</v>
      </c>
      <c r="F31" t="s">
        <v>23</v>
      </c>
      <c r="G31" t="s">
        <v>21</v>
      </c>
      <c r="H31" s="2">
        <v>15748</v>
      </c>
      <c r="I31" s="2">
        <v>9</v>
      </c>
      <c r="J31" s="2">
        <v>117313</v>
      </c>
      <c r="K31" s="2">
        <v>40992</v>
      </c>
      <c r="L31" s="2">
        <v>6</v>
      </c>
      <c r="M31" t="str">
        <f>IF(Revv_bike_sales_data[[#This Row],[delivery_days]]&lt;=7, "Yes", "No")</f>
        <v>Yes</v>
      </c>
      <c r="N31" t="s">
        <v>16</v>
      </c>
      <c r="O31" s="2">
        <v>76321</v>
      </c>
    </row>
    <row r="32" spans="1:15" x14ac:dyDescent="0.3">
      <c r="A32" s="2">
        <v>22</v>
      </c>
      <c r="B32" s="1">
        <v>44927.875</v>
      </c>
      <c r="C32" s="1" t="str">
        <f t="shared" si="0"/>
        <v>01-2023</v>
      </c>
      <c r="D32" s="2">
        <f t="shared" si="1"/>
        <v>1</v>
      </c>
      <c r="E32" t="s">
        <v>17</v>
      </c>
      <c r="F32" t="s">
        <v>14</v>
      </c>
      <c r="G32" t="s">
        <v>20</v>
      </c>
      <c r="H32" s="2">
        <v>68547</v>
      </c>
      <c r="I32" s="2">
        <v>0</v>
      </c>
      <c r="J32" s="2">
        <v>59361</v>
      </c>
      <c r="K32" s="2">
        <v>44433</v>
      </c>
      <c r="L32" s="2">
        <v>5</v>
      </c>
      <c r="M32" t="str">
        <f>IF(Revv_bike_sales_data[[#This Row],[delivery_days]]&lt;=7, "Yes", "No")</f>
        <v>Yes</v>
      </c>
      <c r="N32" t="s">
        <v>16</v>
      </c>
      <c r="O32" s="2">
        <v>14928</v>
      </c>
    </row>
    <row r="33" spans="1:15" x14ac:dyDescent="0.3">
      <c r="A33" s="2">
        <v>23</v>
      </c>
      <c r="B33" s="1">
        <v>44927.916666666664</v>
      </c>
      <c r="C33" s="1" t="str">
        <f t="shared" si="0"/>
        <v>01-2023</v>
      </c>
      <c r="D33" s="2">
        <f t="shared" si="1"/>
        <v>1</v>
      </c>
      <c r="E33" t="s">
        <v>13</v>
      </c>
      <c r="F33" t="s">
        <v>14</v>
      </c>
      <c r="G33" t="s">
        <v>15</v>
      </c>
      <c r="H33" s="2">
        <v>24726</v>
      </c>
      <c r="I33" s="2">
        <v>9</v>
      </c>
      <c r="J33" s="2">
        <v>105294</v>
      </c>
      <c r="K33" s="2">
        <v>91574</v>
      </c>
      <c r="L33" s="2">
        <v>14</v>
      </c>
      <c r="M33" t="str">
        <f>IF(Revv_bike_sales_data[[#This Row],[delivery_days]]&lt;=7, "Yes", "No")</f>
        <v>No</v>
      </c>
      <c r="N33" t="s">
        <v>16</v>
      </c>
      <c r="O33" s="2">
        <v>13720</v>
      </c>
    </row>
    <row r="34" spans="1:15" x14ac:dyDescent="0.3">
      <c r="A34" s="2">
        <v>24</v>
      </c>
      <c r="B34" s="1">
        <v>44927.958333333336</v>
      </c>
      <c r="C34" s="1" t="str">
        <f t="shared" si="0"/>
        <v>01-2023</v>
      </c>
      <c r="D34" s="2">
        <f t="shared" si="1"/>
        <v>1</v>
      </c>
      <c r="E34" t="s">
        <v>25</v>
      </c>
      <c r="F34" t="s">
        <v>14</v>
      </c>
      <c r="G34" t="s">
        <v>21</v>
      </c>
      <c r="H34" s="2">
        <v>25525</v>
      </c>
      <c r="I34" s="2">
        <v>8</v>
      </c>
      <c r="J34" s="2">
        <v>86331</v>
      </c>
      <c r="K34" s="2">
        <v>40933</v>
      </c>
      <c r="L34" s="2">
        <v>3</v>
      </c>
      <c r="M34" t="str">
        <f>IF(Revv_bike_sales_data[[#This Row],[delivery_days]]&lt;=7, "Yes", "No")</f>
        <v>Yes</v>
      </c>
      <c r="N34" t="s">
        <v>16</v>
      </c>
      <c r="O34" s="2">
        <v>45398</v>
      </c>
    </row>
    <row r="35" spans="1:15" x14ac:dyDescent="0.3">
      <c r="A35" s="2">
        <v>25</v>
      </c>
      <c r="B35" s="1">
        <v>44928</v>
      </c>
      <c r="C35" s="1" t="str">
        <f t="shared" si="0"/>
        <v>01-2023</v>
      </c>
      <c r="D35" s="2">
        <f t="shared" si="1"/>
        <v>1</v>
      </c>
      <c r="E35" t="s">
        <v>25</v>
      </c>
      <c r="F35" t="s">
        <v>14</v>
      </c>
      <c r="G35" t="s">
        <v>21</v>
      </c>
      <c r="H35" s="2">
        <v>48880</v>
      </c>
      <c r="I35" s="2">
        <v>0</v>
      </c>
      <c r="J35" s="2">
        <v>120057</v>
      </c>
      <c r="K35" s="2">
        <v>60020</v>
      </c>
      <c r="L35" s="2">
        <v>9</v>
      </c>
      <c r="M35" t="str">
        <f>IF(Revv_bike_sales_data[[#This Row],[delivery_days]]&lt;=7, "Yes", "No")</f>
        <v>No</v>
      </c>
      <c r="N35" t="s">
        <v>16</v>
      </c>
      <c r="O35" s="2">
        <v>60037</v>
      </c>
    </row>
    <row r="36" spans="1:15" x14ac:dyDescent="0.3">
      <c r="A36" s="2">
        <v>26</v>
      </c>
      <c r="B36" s="1">
        <v>44928.041666666664</v>
      </c>
      <c r="C36" s="1" t="str">
        <f t="shared" si="0"/>
        <v>01-2023</v>
      </c>
      <c r="D36" s="2">
        <f t="shared" si="1"/>
        <v>1</v>
      </c>
      <c r="E36" t="s">
        <v>18</v>
      </c>
      <c r="F36" t="s">
        <v>14</v>
      </c>
      <c r="G36" t="s">
        <v>15</v>
      </c>
      <c r="H36" s="2">
        <v>8348</v>
      </c>
      <c r="I36" s="2">
        <v>0</v>
      </c>
      <c r="J36" s="2">
        <v>176601</v>
      </c>
      <c r="K36" s="2">
        <v>44236</v>
      </c>
      <c r="L36" s="2">
        <v>8</v>
      </c>
      <c r="M36" t="str">
        <f>IF(Revv_bike_sales_data[[#This Row],[delivery_days]]&lt;=7, "Yes", "No")</f>
        <v>No</v>
      </c>
      <c r="N36" t="s">
        <v>16</v>
      </c>
      <c r="O36" s="2">
        <v>132365</v>
      </c>
    </row>
    <row r="37" spans="1:15" x14ac:dyDescent="0.3">
      <c r="A37" s="2">
        <v>27</v>
      </c>
      <c r="B37" s="1">
        <v>44928.083333333336</v>
      </c>
      <c r="C37" s="1" t="str">
        <f t="shared" si="0"/>
        <v>01-2023</v>
      </c>
      <c r="D37" s="2">
        <f t="shared" si="1"/>
        <v>1</v>
      </c>
      <c r="E37" t="s">
        <v>18</v>
      </c>
      <c r="F37" t="s">
        <v>14</v>
      </c>
      <c r="G37" t="s">
        <v>21</v>
      </c>
      <c r="H37" s="2">
        <v>14774</v>
      </c>
      <c r="I37" s="2">
        <v>9</v>
      </c>
      <c r="J37" s="2">
        <v>146685</v>
      </c>
      <c r="K37" s="2">
        <v>73735</v>
      </c>
      <c r="L37" s="2">
        <v>13</v>
      </c>
      <c r="M37" t="str">
        <f>IF(Revv_bike_sales_data[[#This Row],[delivery_days]]&lt;=7, "Yes", "No")</f>
        <v>No</v>
      </c>
      <c r="N37" t="s">
        <v>16</v>
      </c>
      <c r="O37" s="2">
        <v>72950</v>
      </c>
    </row>
    <row r="38" spans="1:15" x14ac:dyDescent="0.3">
      <c r="A38" s="2">
        <v>28</v>
      </c>
      <c r="B38" s="1">
        <v>44928.125</v>
      </c>
      <c r="C38" s="1" t="str">
        <f t="shared" si="0"/>
        <v>01-2023</v>
      </c>
      <c r="D38" s="2">
        <f t="shared" si="1"/>
        <v>1</v>
      </c>
      <c r="E38" t="s">
        <v>22</v>
      </c>
      <c r="F38" t="s">
        <v>14</v>
      </c>
      <c r="G38" t="s">
        <v>15</v>
      </c>
      <c r="H38" s="2">
        <v>55045</v>
      </c>
      <c r="I38" s="2">
        <v>7</v>
      </c>
      <c r="J38" s="2">
        <v>121917</v>
      </c>
      <c r="K38" s="2">
        <v>24770</v>
      </c>
      <c r="L38" s="2">
        <v>3</v>
      </c>
      <c r="M38" t="str">
        <f>IF(Revv_bike_sales_data[[#This Row],[delivery_days]]&lt;=7, "Yes", "No")</f>
        <v>Yes</v>
      </c>
      <c r="N38" t="s">
        <v>16</v>
      </c>
      <c r="O38" s="2">
        <v>97147</v>
      </c>
    </row>
    <row r="39" spans="1:15" x14ac:dyDescent="0.3">
      <c r="A39" s="2">
        <v>29</v>
      </c>
      <c r="B39" s="1">
        <v>44928.166666666664</v>
      </c>
      <c r="C39" s="1" t="str">
        <f t="shared" si="0"/>
        <v>01-2023</v>
      </c>
      <c r="D39" s="2">
        <f t="shared" si="1"/>
        <v>1</v>
      </c>
      <c r="E39" t="s">
        <v>13</v>
      </c>
      <c r="F39" t="s">
        <v>14</v>
      </c>
      <c r="G39" t="s">
        <v>20</v>
      </c>
      <c r="H39" s="2">
        <v>96994</v>
      </c>
      <c r="I39" s="2">
        <v>5</v>
      </c>
      <c r="J39" s="2">
        <v>55932</v>
      </c>
      <c r="K39" s="2">
        <v>84285</v>
      </c>
      <c r="L39" s="2">
        <v>2</v>
      </c>
      <c r="M39" t="str">
        <f>IF(Revv_bike_sales_data[[#This Row],[delivery_days]]&lt;=7, "Yes", "No")</f>
        <v>Yes</v>
      </c>
      <c r="N39" t="s">
        <v>16</v>
      </c>
      <c r="O39" s="2">
        <v>-28353</v>
      </c>
    </row>
    <row r="40" spans="1:15" x14ac:dyDescent="0.3">
      <c r="A40" s="2">
        <v>30</v>
      </c>
      <c r="B40" s="1">
        <v>44928.208333333336</v>
      </c>
      <c r="C40" s="1" t="str">
        <f t="shared" si="0"/>
        <v>01-2023</v>
      </c>
      <c r="D40" s="2">
        <f t="shared" si="1"/>
        <v>1</v>
      </c>
      <c r="E40" t="s">
        <v>13</v>
      </c>
      <c r="F40" t="s">
        <v>14</v>
      </c>
      <c r="G40" t="s">
        <v>15</v>
      </c>
      <c r="H40" s="2">
        <v>35733</v>
      </c>
      <c r="I40" s="2">
        <v>5</v>
      </c>
      <c r="J40" s="2">
        <v>26908</v>
      </c>
      <c r="K40" s="2">
        <v>125121</v>
      </c>
      <c r="L40" s="2">
        <v>8</v>
      </c>
      <c r="M40" t="str">
        <f>IF(Revv_bike_sales_data[[#This Row],[delivery_days]]&lt;=7, "Yes", "No")</f>
        <v>No</v>
      </c>
      <c r="N40" t="s">
        <v>16</v>
      </c>
      <c r="O40" s="2">
        <v>-98213</v>
      </c>
    </row>
    <row r="41" spans="1:15" x14ac:dyDescent="0.3">
      <c r="A41" s="2">
        <v>31</v>
      </c>
      <c r="B41" s="1">
        <v>44928.25</v>
      </c>
      <c r="C41" s="1" t="str">
        <f t="shared" si="0"/>
        <v>01-2023</v>
      </c>
      <c r="D41" s="2">
        <f t="shared" si="1"/>
        <v>1</v>
      </c>
      <c r="E41" t="s">
        <v>18</v>
      </c>
      <c r="F41" t="s">
        <v>14</v>
      </c>
      <c r="G41" t="s">
        <v>21</v>
      </c>
      <c r="H41" s="2">
        <v>16804</v>
      </c>
      <c r="I41" s="2">
        <v>8</v>
      </c>
      <c r="J41" s="2">
        <v>55412</v>
      </c>
      <c r="K41" s="2">
        <v>137747</v>
      </c>
      <c r="L41" s="2">
        <v>14</v>
      </c>
      <c r="M41" t="str">
        <f>IF(Revv_bike_sales_data[[#This Row],[delivery_days]]&lt;=7, "Yes", "No")</f>
        <v>No</v>
      </c>
      <c r="N41" t="s">
        <v>16</v>
      </c>
      <c r="O41" s="2">
        <v>-82335</v>
      </c>
    </row>
    <row r="42" spans="1:15" x14ac:dyDescent="0.3">
      <c r="A42" s="2">
        <v>32</v>
      </c>
      <c r="B42" s="1">
        <v>44928.291666666664</v>
      </c>
      <c r="C42" s="1" t="str">
        <f t="shared" si="0"/>
        <v>01-2023</v>
      </c>
      <c r="D42" s="2">
        <f t="shared" si="1"/>
        <v>1</v>
      </c>
      <c r="E42" t="s">
        <v>13</v>
      </c>
      <c r="F42" t="s">
        <v>14</v>
      </c>
      <c r="G42" t="s">
        <v>20</v>
      </c>
      <c r="H42" s="2">
        <v>11794</v>
      </c>
      <c r="I42" s="2">
        <v>3</v>
      </c>
      <c r="J42" s="2">
        <v>153319</v>
      </c>
      <c r="K42" s="2">
        <v>50271</v>
      </c>
      <c r="L42" s="2">
        <v>5</v>
      </c>
      <c r="M42" t="str">
        <f>IF(Revv_bike_sales_data[[#This Row],[delivery_days]]&lt;=7, "Yes", "No")</f>
        <v>Yes</v>
      </c>
      <c r="N42" t="s">
        <v>16</v>
      </c>
      <c r="O42" s="2">
        <v>103048</v>
      </c>
    </row>
    <row r="43" spans="1:15" x14ac:dyDescent="0.3">
      <c r="A43" s="2">
        <v>33</v>
      </c>
      <c r="B43" s="1">
        <v>44928.333333333336</v>
      </c>
      <c r="C43" s="1" t="str">
        <f t="shared" si="0"/>
        <v>01-2023</v>
      </c>
      <c r="D43" s="2">
        <f t="shared" si="1"/>
        <v>1</v>
      </c>
      <c r="E43" t="s">
        <v>13</v>
      </c>
      <c r="F43" t="s">
        <v>14</v>
      </c>
      <c r="G43" t="s">
        <v>20</v>
      </c>
      <c r="H43" s="2">
        <v>26925</v>
      </c>
      <c r="I43" s="2">
        <v>7</v>
      </c>
      <c r="J43" s="2">
        <v>108710</v>
      </c>
      <c r="K43" s="2">
        <v>88391</v>
      </c>
      <c r="L43" s="2">
        <v>9</v>
      </c>
      <c r="M43" t="str">
        <f>IF(Revv_bike_sales_data[[#This Row],[delivery_days]]&lt;=7, "Yes", "No")</f>
        <v>No</v>
      </c>
      <c r="N43" t="s">
        <v>16</v>
      </c>
      <c r="O43" s="2">
        <v>20319</v>
      </c>
    </row>
    <row r="44" spans="1:15" x14ac:dyDescent="0.3">
      <c r="A44" s="2">
        <v>34</v>
      </c>
      <c r="B44" s="1">
        <v>44928.375</v>
      </c>
      <c r="C44" s="1" t="str">
        <f t="shared" si="0"/>
        <v>01-2023</v>
      </c>
      <c r="D44" s="2">
        <f t="shared" si="1"/>
        <v>1</v>
      </c>
      <c r="E44" t="s">
        <v>25</v>
      </c>
      <c r="F44" t="s">
        <v>14</v>
      </c>
      <c r="G44" t="s">
        <v>19</v>
      </c>
      <c r="H44" s="2">
        <v>69211</v>
      </c>
      <c r="I44" s="2">
        <v>3</v>
      </c>
      <c r="J44" s="2">
        <v>27928</v>
      </c>
      <c r="K44" s="2">
        <v>126682</v>
      </c>
      <c r="L44" s="2">
        <v>1</v>
      </c>
      <c r="M44" t="str">
        <f>IF(Revv_bike_sales_data[[#This Row],[delivery_days]]&lt;=7, "Yes", "No")</f>
        <v>Yes</v>
      </c>
      <c r="N44" t="s">
        <v>16</v>
      </c>
      <c r="O44" s="2">
        <v>-98754</v>
      </c>
    </row>
    <row r="45" spans="1:15" x14ac:dyDescent="0.3">
      <c r="A45" s="2">
        <v>35</v>
      </c>
      <c r="B45" s="1">
        <v>44928.416666666664</v>
      </c>
      <c r="C45" s="1" t="str">
        <f t="shared" si="0"/>
        <v>01-2023</v>
      </c>
      <c r="D45" s="2">
        <f t="shared" si="1"/>
        <v>1</v>
      </c>
      <c r="E45" t="s">
        <v>18</v>
      </c>
      <c r="F45" t="s">
        <v>23</v>
      </c>
      <c r="G45" t="s">
        <v>19</v>
      </c>
      <c r="H45" s="2">
        <v>93811</v>
      </c>
      <c r="I45" s="2">
        <v>1</v>
      </c>
      <c r="J45" s="2">
        <v>90158</v>
      </c>
      <c r="K45" s="2">
        <v>124633</v>
      </c>
      <c r="L45" s="2">
        <v>10</v>
      </c>
      <c r="M45" t="str">
        <f>IF(Revv_bike_sales_data[[#This Row],[delivery_days]]&lt;=7, "Yes", "No")</f>
        <v>No</v>
      </c>
      <c r="N45" t="s">
        <v>16</v>
      </c>
      <c r="O45" s="2">
        <v>-34475</v>
      </c>
    </row>
    <row r="46" spans="1:15" x14ac:dyDescent="0.3">
      <c r="A46" s="2">
        <v>36</v>
      </c>
      <c r="B46" s="1">
        <v>44928.458333333336</v>
      </c>
      <c r="C46" s="1" t="str">
        <f t="shared" si="0"/>
        <v>01-2023</v>
      </c>
      <c r="D46" s="2">
        <f t="shared" si="1"/>
        <v>1</v>
      </c>
      <c r="E46" t="s">
        <v>17</v>
      </c>
      <c r="F46" t="s">
        <v>14</v>
      </c>
      <c r="G46" t="s">
        <v>21</v>
      </c>
      <c r="H46" s="2">
        <v>9925</v>
      </c>
      <c r="I46" s="2">
        <v>7</v>
      </c>
      <c r="J46" s="2">
        <v>57309</v>
      </c>
      <c r="K46" s="2">
        <v>38439</v>
      </c>
      <c r="L46" s="2">
        <v>3</v>
      </c>
      <c r="M46" t="str">
        <f>IF(Revv_bike_sales_data[[#This Row],[delivery_days]]&lt;=7, "Yes", "No")</f>
        <v>Yes</v>
      </c>
      <c r="N46" t="s">
        <v>16</v>
      </c>
      <c r="O46" s="2">
        <v>18870</v>
      </c>
    </row>
    <row r="47" spans="1:15" x14ac:dyDescent="0.3">
      <c r="A47" s="2">
        <v>37</v>
      </c>
      <c r="B47" s="1">
        <v>44928.5</v>
      </c>
      <c r="C47" s="1" t="str">
        <f t="shared" si="0"/>
        <v>01-2023</v>
      </c>
      <c r="D47" s="2">
        <f t="shared" si="1"/>
        <v>1</v>
      </c>
      <c r="E47" t="s">
        <v>18</v>
      </c>
      <c r="F47" t="s">
        <v>14</v>
      </c>
      <c r="G47" t="s">
        <v>15</v>
      </c>
      <c r="H47" s="2">
        <v>92049</v>
      </c>
      <c r="I47" s="2">
        <v>6</v>
      </c>
      <c r="J47" s="2">
        <v>34280</v>
      </c>
      <c r="K47" s="2">
        <v>110826</v>
      </c>
      <c r="L47" s="2">
        <v>5</v>
      </c>
      <c r="M47" t="str">
        <f>IF(Revv_bike_sales_data[[#This Row],[delivery_days]]&lt;=7, "Yes", "No")</f>
        <v>Yes</v>
      </c>
      <c r="N47" t="s">
        <v>16</v>
      </c>
      <c r="O47" s="2">
        <v>-76546</v>
      </c>
    </row>
    <row r="48" spans="1:15" x14ac:dyDescent="0.3">
      <c r="A48" s="2">
        <v>38</v>
      </c>
      <c r="B48" s="1">
        <v>44928.541666666664</v>
      </c>
      <c r="C48" s="1" t="str">
        <f t="shared" si="0"/>
        <v>01-2023</v>
      </c>
      <c r="D48" s="2">
        <f t="shared" si="1"/>
        <v>1</v>
      </c>
      <c r="E48" t="s">
        <v>17</v>
      </c>
      <c r="F48" t="s">
        <v>14</v>
      </c>
      <c r="G48" t="s">
        <v>15</v>
      </c>
      <c r="H48" s="2">
        <v>93964</v>
      </c>
      <c r="I48" s="2">
        <v>3</v>
      </c>
      <c r="J48" s="2">
        <v>65449</v>
      </c>
      <c r="K48" s="2">
        <v>26101</v>
      </c>
      <c r="L48" s="2">
        <v>2</v>
      </c>
      <c r="M48" t="str">
        <f>IF(Revv_bike_sales_data[[#This Row],[delivery_days]]&lt;=7, "Yes", "No")</f>
        <v>Yes</v>
      </c>
      <c r="N48" t="s">
        <v>16</v>
      </c>
      <c r="O48" s="2">
        <v>39348</v>
      </c>
    </row>
    <row r="49" spans="1:15" x14ac:dyDescent="0.3">
      <c r="A49" s="2">
        <v>39</v>
      </c>
      <c r="B49" s="1">
        <v>44928.583333333336</v>
      </c>
      <c r="C49" s="1" t="str">
        <f t="shared" si="0"/>
        <v>01-2023</v>
      </c>
      <c r="D49" s="2">
        <f t="shared" si="1"/>
        <v>1</v>
      </c>
      <c r="E49" t="s">
        <v>25</v>
      </c>
      <c r="F49" t="s">
        <v>14</v>
      </c>
      <c r="G49" t="s">
        <v>21</v>
      </c>
      <c r="H49" s="2">
        <v>45490</v>
      </c>
      <c r="I49" s="2">
        <v>8</v>
      </c>
      <c r="J49" s="2">
        <v>51957</v>
      </c>
      <c r="K49" s="2">
        <v>107776</v>
      </c>
      <c r="L49" s="2">
        <v>3</v>
      </c>
      <c r="M49" t="str">
        <f>IF(Revv_bike_sales_data[[#This Row],[delivery_days]]&lt;=7, "Yes", "No")</f>
        <v>Yes</v>
      </c>
      <c r="N49" t="s">
        <v>16</v>
      </c>
      <c r="O49" s="2">
        <v>-55819</v>
      </c>
    </row>
    <row r="50" spans="1:15" x14ac:dyDescent="0.3">
      <c r="A50" s="2">
        <v>40</v>
      </c>
      <c r="B50" s="1">
        <v>44928.625</v>
      </c>
      <c r="C50" s="1" t="str">
        <f t="shared" si="0"/>
        <v>01-2023</v>
      </c>
      <c r="D50" s="2">
        <f t="shared" si="1"/>
        <v>1</v>
      </c>
      <c r="E50" t="s">
        <v>22</v>
      </c>
      <c r="F50" t="s">
        <v>14</v>
      </c>
      <c r="G50" t="s">
        <v>20</v>
      </c>
      <c r="H50" s="2">
        <v>74246</v>
      </c>
      <c r="I50" s="2">
        <v>8</v>
      </c>
      <c r="J50" s="2">
        <v>95499</v>
      </c>
      <c r="K50" s="2">
        <v>97319</v>
      </c>
      <c r="L50" s="2">
        <v>4</v>
      </c>
      <c r="M50" t="str">
        <f>IF(Revv_bike_sales_data[[#This Row],[delivery_days]]&lt;=7, "Yes", "No")</f>
        <v>Yes</v>
      </c>
      <c r="N50" t="s">
        <v>16</v>
      </c>
      <c r="O50" s="2">
        <v>-1820</v>
      </c>
    </row>
    <row r="51" spans="1:15" x14ac:dyDescent="0.3">
      <c r="A51" s="2">
        <v>41</v>
      </c>
      <c r="B51" s="1">
        <v>44928.666666666664</v>
      </c>
      <c r="C51" s="1" t="str">
        <f t="shared" si="0"/>
        <v>01-2023</v>
      </c>
      <c r="D51" s="2">
        <f t="shared" si="1"/>
        <v>1</v>
      </c>
      <c r="E51" t="s">
        <v>13</v>
      </c>
      <c r="F51" t="s">
        <v>14</v>
      </c>
      <c r="G51" t="s">
        <v>21</v>
      </c>
      <c r="H51" s="2">
        <v>68795</v>
      </c>
      <c r="I51" s="2">
        <v>7</v>
      </c>
      <c r="J51" s="2">
        <v>118057</v>
      </c>
      <c r="K51" s="2">
        <v>134070</v>
      </c>
      <c r="L51" s="2">
        <v>4</v>
      </c>
      <c r="M51" t="str">
        <f>IF(Revv_bike_sales_data[[#This Row],[delivery_days]]&lt;=7, "Yes", "No")</f>
        <v>Yes</v>
      </c>
      <c r="N51" t="s">
        <v>16</v>
      </c>
      <c r="O51" s="2">
        <v>-16013</v>
      </c>
    </row>
    <row r="52" spans="1:15" x14ac:dyDescent="0.3">
      <c r="A52" s="2">
        <v>42</v>
      </c>
      <c r="B52" s="1">
        <v>44928.708333333336</v>
      </c>
      <c r="C52" s="1" t="str">
        <f t="shared" si="0"/>
        <v>01-2023</v>
      </c>
      <c r="D52" s="2">
        <f t="shared" si="1"/>
        <v>1</v>
      </c>
      <c r="E52" t="s">
        <v>25</v>
      </c>
      <c r="F52" t="s">
        <v>23</v>
      </c>
      <c r="G52" t="s">
        <v>21</v>
      </c>
      <c r="H52" s="2">
        <v>16591</v>
      </c>
      <c r="I52" s="2">
        <v>0</v>
      </c>
      <c r="J52" s="2">
        <v>135065</v>
      </c>
      <c r="K52" s="2">
        <v>59917</v>
      </c>
      <c r="L52" s="2">
        <v>11</v>
      </c>
      <c r="M52" t="str">
        <f>IF(Revv_bike_sales_data[[#This Row],[delivery_days]]&lt;=7, "Yes", "No")</f>
        <v>No</v>
      </c>
      <c r="N52" t="s">
        <v>16</v>
      </c>
      <c r="O52" s="2">
        <v>75148</v>
      </c>
    </row>
    <row r="53" spans="1:15" x14ac:dyDescent="0.3">
      <c r="A53" s="2">
        <v>43</v>
      </c>
      <c r="B53" s="1">
        <v>44928.75</v>
      </c>
      <c r="C53" s="1" t="str">
        <f t="shared" si="0"/>
        <v>01-2023</v>
      </c>
      <c r="D53" s="2">
        <f t="shared" si="1"/>
        <v>1</v>
      </c>
      <c r="E53" t="s">
        <v>13</v>
      </c>
      <c r="F53" t="s">
        <v>14</v>
      </c>
      <c r="G53" t="s">
        <v>20</v>
      </c>
      <c r="H53" s="2">
        <v>502</v>
      </c>
      <c r="I53" s="2">
        <v>6</v>
      </c>
      <c r="J53" s="2">
        <v>177767</v>
      </c>
      <c r="K53" s="2">
        <v>107345</v>
      </c>
      <c r="L53" s="2">
        <v>9</v>
      </c>
      <c r="M53" t="str">
        <f>IF(Revv_bike_sales_data[[#This Row],[delivery_days]]&lt;=7, "Yes", "No")</f>
        <v>No</v>
      </c>
      <c r="N53" t="s">
        <v>16</v>
      </c>
      <c r="O53" s="2">
        <v>70422</v>
      </c>
    </row>
    <row r="54" spans="1:15" x14ac:dyDescent="0.3">
      <c r="A54" s="2">
        <v>44</v>
      </c>
      <c r="B54" s="1">
        <v>44928.791666666664</v>
      </c>
      <c r="C54" s="1" t="str">
        <f t="shared" si="0"/>
        <v>01-2023</v>
      </c>
      <c r="D54" s="2">
        <f t="shared" si="1"/>
        <v>1</v>
      </c>
      <c r="E54" t="s">
        <v>22</v>
      </c>
      <c r="F54" t="s">
        <v>14</v>
      </c>
      <c r="G54" t="s">
        <v>15</v>
      </c>
      <c r="H54" s="2">
        <v>50911</v>
      </c>
      <c r="I54" s="2">
        <v>4</v>
      </c>
      <c r="J54" s="2">
        <v>99893</v>
      </c>
      <c r="K54" s="2">
        <v>127923</v>
      </c>
      <c r="L54" s="2">
        <v>1</v>
      </c>
      <c r="M54" t="str">
        <f>IF(Revv_bike_sales_data[[#This Row],[delivery_days]]&lt;=7, "Yes", "No")</f>
        <v>Yes</v>
      </c>
      <c r="N54" t="s">
        <v>16</v>
      </c>
      <c r="O54" s="2">
        <v>-28030</v>
      </c>
    </row>
    <row r="55" spans="1:15" x14ac:dyDescent="0.3">
      <c r="A55" s="2">
        <v>45</v>
      </c>
      <c r="B55" s="1">
        <v>44928.833333333336</v>
      </c>
      <c r="C55" s="1" t="str">
        <f t="shared" si="0"/>
        <v>01-2023</v>
      </c>
      <c r="D55" s="2">
        <f t="shared" si="1"/>
        <v>1</v>
      </c>
      <c r="E55" t="s">
        <v>22</v>
      </c>
      <c r="F55" t="s">
        <v>14</v>
      </c>
      <c r="G55" t="s">
        <v>21</v>
      </c>
      <c r="H55" s="2">
        <v>41458</v>
      </c>
      <c r="I55" s="2">
        <v>6</v>
      </c>
      <c r="J55" s="2">
        <v>50176</v>
      </c>
      <c r="K55" s="2">
        <v>98459</v>
      </c>
      <c r="L55" s="2">
        <v>12</v>
      </c>
      <c r="M55" t="str">
        <f>IF(Revv_bike_sales_data[[#This Row],[delivery_days]]&lt;=7, "Yes", "No")</f>
        <v>No</v>
      </c>
      <c r="N55" t="s">
        <v>16</v>
      </c>
      <c r="O55" s="2">
        <v>-48283</v>
      </c>
    </row>
    <row r="56" spans="1:15" x14ac:dyDescent="0.3">
      <c r="A56" s="2">
        <v>46</v>
      </c>
      <c r="B56" s="1">
        <v>44928.875</v>
      </c>
      <c r="C56" s="1" t="str">
        <f t="shared" si="0"/>
        <v>01-2023</v>
      </c>
      <c r="D56" s="2">
        <f t="shared" si="1"/>
        <v>1</v>
      </c>
      <c r="E56" t="s">
        <v>25</v>
      </c>
      <c r="F56" t="s">
        <v>14</v>
      </c>
      <c r="G56" t="s">
        <v>15</v>
      </c>
      <c r="H56" s="2">
        <v>96196</v>
      </c>
      <c r="I56" s="2">
        <v>8</v>
      </c>
      <c r="J56" s="2">
        <v>174481</v>
      </c>
      <c r="K56" s="2">
        <v>128289</v>
      </c>
      <c r="L56" s="2">
        <v>9</v>
      </c>
      <c r="M56" t="str">
        <f>IF(Revv_bike_sales_data[[#This Row],[delivery_days]]&lt;=7, "Yes", "No")</f>
        <v>No</v>
      </c>
      <c r="N56" t="s">
        <v>16</v>
      </c>
      <c r="O56" s="2">
        <v>46192</v>
      </c>
    </row>
    <row r="57" spans="1:15" x14ac:dyDescent="0.3">
      <c r="A57" s="2">
        <v>47</v>
      </c>
      <c r="B57" s="1">
        <v>44928.916666666664</v>
      </c>
      <c r="C57" s="1" t="str">
        <f t="shared" si="0"/>
        <v>01-2023</v>
      </c>
      <c r="D57" s="2">
        <f t="shared" si="1"/>
        <v>1</v>
      </c>
      <c r="E57" t="s">
        <v>22</v>
      </c>
      <c r="F57" t="s">
        <v>14</v>
      </c>
      <c r="G57" t="s">
        <v>21</v>
      </c>
      <c r="H57" s="2">
        <v>21207</v>
      </c>
      <c r="I57" s="2">
        <v>1</v>
      </c>
      <c r="J57" s="2">
        <v>81967</v>
      </c>
      <c r="K57" s="2">
        <v>95562</v>
      </c>
      <c r="L57" s="2">
        <v>9</v>
      </c>
      <c r="M57" t="str">
        <f>IF(Revv_bike_sales_data[[#This Row],[delivery_days]]&lt;=7, "Yes", "No")</f>
        <v>No</v>
      </c>
      <c r="N57" t="s">
        <v>16</v>
      </c>
      <c r="O57" s="2">
        <v>-13595</v>
      </c>
    </row>
    <row r="58" spans="1:15" x14ac:dyDescent="0.3">
      <c r="A58" s="2">
        <v>48</v>
      </c>
      <c r="B58" s="1">
        <v>44928.958333333336</v>
      </c>
      <c r="C58" s="1" t="str">
        <f t="shared" si="0"/>
        <v>01-2023</v>
      </c>
      <c r="D58" s="2">
        <f t="shared" si="1"/>
        <v>1</v>
      </c>
      <c r="E58" t="s">
        <v>17</v>
      </c>
      <c r="F58" t="s">
        <v>14</v>
      </c>
      <c r="G58" t="s">
        <v>20</v>
      </c>
      <c r="H58" s="2">
        <v>15748</v>
      </c>
      <c r="I58" s="2">
        <v>3</v>
      </c>
      <c r="J58" s="2">
        <v>25987</v>
      </c>
      <c r="K58" s="2">
        <v>56196</v>
      </c>
      <c r="L58" s="2">
        <v>11</v>
      </c>
      <c r="M58" t="str">
        <f>IF(Revv_bike_sales_data[[#This Row],[delivery_days]]&lt;=7, "Yes", "No")</f>
        <v>No</v>
      </c>
      <c r="N58" t="s">
        <v>16</v>
      </c>
      <c r="O58" s="2">
        <v>-30209</v>
      </c>
    </row>
    <row r="59" spans="1:15" x14ac:dyDescent="0.3">
      <c r="A59" s="2">
        <v>49</v>
      </c>
      <c r="B59" s="1">
        <v>44929</v>
      </c>
      <c r="C59" s="1" t="str">
        <f t="shared" si="0"/>
        <v>01-2023</v>
      </c>
      <c r="D59" s="2">
        <f t="shared" si="1"/>
        <v>1</v>
      </c>
      <c r="E59" t="s">
        <v>22</v>
      </c>
      <c r="F59" t="s">
        <v>14</v>
      </c>
      <c r="G59" t="s">
        <v>20</v>
      </c>
      <c r="H59" s="2">
        <v>71809</v>
      </c>
      <c r="I59" s="2">
        <v>3</v>
      </c>
      <c r="J59" s="2">
        <v>121854</v>
      </c>
      <c r="K59" s="2">
        <v>38569</v>
      </c>
      <c r="L59" s="2">
        <v>6</v>
      </c>
      <c r="M59" t="str">
        <f>IF(Revv_bike_sales_data[[#This Row],[delivery_days]]&lt;=7, "Yes", "No")</f>
        <v>Yes</v>
      </c>
      <c r="N59" t="s">
        <v>16</v>
      </c>
      <c r="O59" s="2">
        <v>83285</v>
      </c>
    </row>
    <row r="60" spans="1:15" x14ac:dyDescent="0.3">
      <c r="A60" s="2">
        <v>50</v>
      </c>
      <c r="B60" s="1">
        <v>44929.041666666664</v>
      </c>
      <c r="C60" s="1" t="str">
        <f t="shared" si="0"/>
        <v>01-2023</v>
      </c>
      <c r="D60" s="2">
        <f t="shared" si="1"/>
        <v>1</v>
      </c>
      <c r="E60" t="s">
        <v>13</v>
      </c>
      <c r="F60" t="s">
        <v>14</v>
      </c>
      <c r="G60" t="s">
        <v>19</v>
      </c>
      <c r="H60" s="2">
        <v>78822</v>
      </c>
      <c r="I60" s="2">
        <v>1</v>
      </c>
      <c r="J60" s="2">
        <v>51015</v>
      </c>
      <c r="K60" s="2">
        <v>134598</v>
      </c>
      <c r="L60" s="2">
        <v>11</v>
      </c>
      <c r="M60" t="str">
        <f>IF(Revv_bike_sales_data[[#This Row],[delivery_days]]&lt;=7, "Yes", "No")</f>
        <v>No</v>
      </c>
      <c r="N60" t="s">
        <v>24</v>
      </c>
      <c r="O60" s="2">
        <v>-83583</v>
      </c>
    </row>
    <row r="61" spans="1:15" x14ac:dyDescent="0.3">
      <c r="A61" s="2">
        <v>51</v>
      </c>
      <c r="B61" s="1">
        <v>44929.083333333336</v>
      </c>
      <c r="C61" s="1" t="str">
        <f t="shared" si="0"/>
        <v>01-2023</v>
      </c>
      <c r="D61" s="2">
        <f t="shared" si="1"/>
        <v>1</v>
      </c>
      <c r="E61" t="s">
        <v>13</v>
      </c>
      <c r="F61" t="s">
        <v>14</v>
      </c>
      <c r="G61" t="s">
        <v>20</v>
      </c>
      <c r="H61" s="2">
        <v>52220</v>
      </c>
      <c r="I61" s="2">
        <v>2</v>
      </c>
      <c r="J61" s="2">
        <v>137350</v>
      </c>
      <c r="K61" s="2">
        <v>56887</v>
      </c>
      <c r="L61" s="2">
        <v>1</v>
      </c>
      <c r="M61" t="str">
        <f>IF(Revv_bike_sales_data[[#This Row],[delivery_days]]&lt;=7, "Yes", "No")</f>
        <v>Yes</v>
      </c>
      <c r="N61" t="s">
        <v>16</v>
      </c>
      <c r="O61" s="2">
        <v>80463</v>
      </c>
    </row>
    <row r="62" spans="1:15" x14ac:dyDescent="0.3">
      <c r="A62" s="2">
        <v>52</v>
      </c>
      <c r="B62" s="1">
        <v>44929.125</v>
      </c>
      <c r="C62" s="1" t="str">
        <f t="shared" si="0"/>
        <v>01-2023</v>
      </c>
      <c r="D62" s="2">
        <f t="shared" si="1"/>
        <v>1</v>
      </c>
      <c r="E62" t="s">
        <v>13</v>
      </c>
      <c r="F62" t="s">
        <v>23</v>
      </c>
      <c r="G62" t="s">
        <v>19</v>
      </c>
      <c r="H62" s="2">
        <v>15537</v>
      </c>
      <c r="I62" s="2">
        <v>7</v>
      </c>
      <c r="J62" s="2">
        <v>91404</v>
      </c>
      <c r="K62" s="2">
        <v>35893</v>
      </c>
      <c r="L62" s="2">
        <v>11</v>
      </c>
      <c r="M62" t="str">
        <f>IF(Revv_bike_sales_data[[#This Row],[delivery_days]]&lt;=7, "Yes", "No")</f>
        <v>No</v>
      </c>
      <c r="N62" t="s">
        <v>16</v>
      </c>
      <c r="O62" s="2">
        <v>55511</v>
      </c>
    </row>
    <row r="63" spans="1:15" x14ac:dyDescent="0.3">
      <c r="A63" s="2">
        <v>53</v>
      </c>
      <c r="B63" s="1">
        <v>44929.166666666664</v>
      </c>
      <c r="C63" s="1" t="str">
        <f t="shared" si="0"/>
        <v>01-2023</v>
      </c>
      <c r="D63" s="2">
        <f t="shared" si="1"/>
        <v>1</v>
      </c>
      <c r="E63" t="s">
        <v>13</v>
      </c>
      <c r="F63" t="s">
        <v>14</v>
      </c>
      <c r="G63" t="s">
        <v>21</v>
      </c>
      <c r="H63" s="2">
        <v>67921</v>
      </c>
      <c r="I63" s="2">
        <v>8</v>
      </c>
      <c r="J63" s="2">
        <v>141751</v>
      </c>
      <c r="K63" s="2">
        <v>102971</v>
      </c>
      <c r="L63" s="2">
        <v>13</v>
      </c>
      <c r="M63" t="str">
        <f>IF(Revv_bike_sales_data[[#This Row],[delivery_days]]&lt;=7, "Yes", "No")</f>
        <v>No</v>
      </c>
      <c r="N63" t="s">
        <v>16</v>
      </c>
      <c r="O63" s="2">
        <v>38780</v>
      </c>
    </row>
    <row r="64" spans="1:15" x14ac:dyDescent="0.3">
      <c r="A64" s="2">
        <v>54</v>
      </c>
      <c r="B64" s="1">
        <v>44929.208333333336</v>
      </c>
      <c r="C64" s="1" t="str">
        <f t="shared" si="0"/>
        <v>01-2023</v>
      </c>
      <c r="D64" s="2">
        <f t="shared" si="1"/>
        <v>1</v>
      </c>
      <c r="E64" t="s">
        <v>17</v>
      </c>
      <c r="F64" t="s">
        <v>23</v>
      </c>
      <c r="G64" t="s">
        <v>15</v>
      </c>
      <c r="H64" s="2">
        <v>82367</v>
      </c>
      <c r="I64" s="2">
        <v>5</v>
      </c>
      <c r="J64" s="2">
        <v>153807</v>
      </c>
      <c r="K64" s="2">
        <v>70304</v>
      </c>
      <c r="L64" s="2">
        <v>12</v>
      </c>
      <c r="M64" t="str">
        <f>IF(Revv_bike_sales_data[[#This Row],[delivery_days]]&lt;=7, "Yes", "No")</f>
        <v>No</v>
      </c>
      <c r="N64" t="s">
        <v>16</v>
      </c>
      <c r="O64" s="2">
        <v>83503</v>
      </c>
    </row>
    <row r="65" spans="1:15" x14ac:dyDescent="0.3">
      <c r="A65" s="2">
        <v>55</v>
      </c>
      <c r="B65" s="1">
        <v>44929.25</v>
      </c>
      <c r="C65" s="1" t="str">
        <f t="shared" si="0"/>
        <v>01-2023</v>
      </c>
      <c r="D65" s="2">
        <f t="shared" si="1"/>
        <v>1</v>
      </c>
      <c r="E65" t="s">
        <v>18</v>
      </c>
      <c r="F65" t="s">
        <v>14</v>
      </c>
      <c r="G65" t="s">
        <v>20</v>
      </c>
      <c r="H65" s="2">
        <v>41112</v>
      </c>
      <c r="I65" s="2">
        <v>9</v>
      </c>
      <c r="J65" s="2">
        <v>73231</v>
      </c>
      <c r="K65" s="2">
        <v>138299</v>
      </c>
      <c r="L65" s="2">
        <v>6</v>
      </c>
      <c r="M65" t="str">
        <f>IF(Revv_bike_sales_data[[#This Row],[delivery_days]]&lt;=7, "Yes", "No")</f>
        <v>Yes</v>
      </c>
      <c r="N65" t="s">
        <v>16</v>
      </c>
      <c r="O65" s="2">
        <v>-65068</v>
      </c>
    </row>
    <row r="66" spans="1:15" x14ac:dyDescent="0.3">
      <c r="A66" s="2">
        <v>56</v>
      </c>
      <c r="B66" s="1">
        <v>44929.291666666664</v>
      </c>
      <c r="C66" s="1" t="str">
        <f t="shared" si="0"/>
        <v>01-2023</v>
      </c>
      <c r="D66" s="2">
        <f t="shared" si="1"/>
        <v>1</v>
      </c>
      <c r="E66" t="s">
        <v>25</v>
      </c>
      <c r="F66" t="s">
        <v>23</v>
      </c>
      <c r="G66" t="s">
        <v>20</v>
      </c>
      <c r="H66" s="2">
        <v>88531</v>
      </c>
      <c r="I66" s="2">
        <v>1</v>
      </c>
      <c r="J66" s="2">
        <v>53305</v>
      </c>
      <c r="K66" s="2">
        <v>117428</v>
      </c>
      <c r="L66" s="2">
        <v>8</v>
      </c>
      <c r="M66" t="str">
        <f>IF(Revv_bike_sales_data[[#This Row],[delivery_days]]&lt;=7, "Yes", "No")</f>
        <v>No</v>
      </c>
      <c r="N66" t="s">
        <v>16</v>
      </c>
      <c r="O66" s="2">
        <v>-64123</v>
      </c>
    </row>
    <row r="67" spans="1:15" x14ac:dyDescent="0.3">
      <c r="A67" s="2">
        <v>57</v>
      </c>
      <c r="B67" s="1">
        <v>44929.333333333336</v>
      </c>
      <c r="C67" s="1" t="str">
        <f t="shared" si="0"/>
        <v>01-2023</v>
      </c>
      <c r="D67" s="2">
        <f t="shared" si="1"/>
        <v>1</v>
      </c>
      <c r="E67" t="s">
        <v>13</v>
      </c>
      <c r="F67" t="s">
        <v>14</v>
      </c>
      <c r="G67" t="s">
        <v>20</v>
      </c>
      <c r="H67" s="2">
        <v>13950</v>
      </c>
      <c r="I67" s="2">
        <v>1</v>
      </c>
      <c r="J67" s="2">
        <v>79306</v>
      </c>
      <c r="K67" s="2">
        <v>47399</v>
      </c>
      <c r="L67" s="2">
        <v>5</v>
      </c>
      <c r="M67" t="str">
        <f>IF(Revv_bike_sales_data[[#This Row],[delivery_days]]&lt;=7, "Yes", "No")</f>
        <v>Yes</v>
      </c>
      <c r="N67" t="s">
        <v>16</v>
      </c>
      <c r="O67" s="2">
        <v>31907</v>
      </c>
    </row>
    <row r="68" spans="1:15" x14ac:dyDescent="0.3">
      <c r="A68" s="2">
        <v>58</v>
      </c>
      <c r="B68" s="1">
        <v>44929.375</v>
      </c>
      <c r="C68" s="1" t="str">
        <f t="shared" si="0"/>
        <v>01-2023</v>
      </c>
      <c r="D68" s="2">
        <f t="shared" si="1"/>
        <v>1</v>
      </c>
      <c r="E68" t="s">
        <v>22</v>
      </c>
      <c r="F68" t="s">
        <v>14</v>
      </c>
      <c r="G68" t="s">
        <v>21</v>
      </c>
      <c r="H68" s="2">
        <v>9991</v>
      </c>
      <c r="I68" s="2">
        <v>6</v>
      </c>
      <c r="J68" s="2">
        <v>146139</v>
      </c>
      <c r="K68" s="2">
        <v>132083</v>
      </c>
      <c r="L68" s="2">
        <v>5</v>
      </c>
      <c r="M68" t="str">
        <f>IF(Revv_bike_sales_data[[#This Row],[delivery_days]]&lt;=7, "Yes", "No")</f>
        <v>Yes</v>
      </c>
      <c r="N68" t="s">
        <v>16</v>
      </c>
      <c r="O68" s="2">
        <v>14056</v>
      </c>
    </row>
    <row r="69" spans="1:15" x14ac:dyDescent="0.3">
      <c r="A69" s="2">
        <v>59</v>
      </c>
      <c r="B69" s="1">
        <v>44929.416666666664</v>
      </c>
      <c r="C69" s="1" t="str">
        <f t="shared" si="0"/>
        <v>01-2023</v>
      </c>
      <c r="D69" s="2">
        <f t="shared" si="1"/>
        <v>1</v>
      </c>
      <c r="E69" t="s">
        <v>13</v>
      </c>
      <c r="F69" t="s">
        <v>23</v>
      </c>
      <c r="G69" t="s">
        <v>19</v>
      </c>
      <c r="H69" s="2">
        <v>75304</v>
      </c>
      <c r="I69" s="2">
        <v>7</v>
      </c>
      <c r="J69" s="2">
        <v>43318</v>
      </c>
      <c r="K69" s="2">
        <v>40236</v>
      </c>
      <c r="L69" s="2">
        <v>1</v>
      </c>
      <c r="M69" t="str">
        <f>IF(Revv_bike_sales_data[[#This Row],[delivery_days]]&lt;=7, "Yes", "No")</f>
        <v>Yes</v>
      </c>
      <c r="N69" t="s">
        <v>16</v>
      </c>
      <c r="O69" s="2">
        <v>3082</v>
      </c>
    </row>
    <row r="70" spans="1:15" x14ac:dyDescent="0.3">
      <c r="A70" s="2">
        <v>60</v>
      </c>
      <c r="B70" s="1">
        <v>44929.458333333336</v>
      </c>
      <c r="C70" s="1" t="str">
        <f t="shared" si="0"/>
        <v>01-2023</v>
      </c>
      <c r="D70" s="2">
        <f t="shared" si="1"/>
        <v>1</v>
      </c>
      <c r="E70" t="s">
        <v>22</v>
      </c>
      <c r="F70" t="s">
        <v>14</v>
      </c>
      <c r="G70" t="s">
        <v>21</v>
      </c>
      <c r="H70" s="2">
        <v>93793</v>
      </c>
      <c r="I70" s="2">
        <v>7</v>
      </c>
      <c r="J70" s="2">
        <v>169318</v>
      </c>
      <c r="K70" s="2">
        <v>107735</v>
      </c>
      <c r="L70" s="2">
        <v>1</v>
      </c>
      <c r="M70" t="str">
        <f>IF(Revv_bike_sales_data[[#This Row],[delivery_days]]&lt;=7, "Yes", "No")</f>
        <v>Yes</v>
      </c>
      <c r="N70" t="s">
        <v>16</v>
      </c>
      <c r="O70" s="2">
        <v>61583</v>
      </c>
    </row>
    <row r="71" spans="1:15" x14ac:dyDescent="0.3">
      <c r="A71" s="2">
        <v>61</v>
      </c>
      <c r="B71" s="1">
        <v>44929.5</v>
      </c>
      <c r="C71" s="1" t="str">
        <f t="shared" si="0"/>
        <v>01-2023</v>
      </c>
      <c r="D71" s="2">
        <f t="shared" si="1"/>
        <v>1</v>
      </c>
      <c r="E71" t="s">
        <v>22</v>
      </c>
      <c r="F71" t="s">
        <v>23</v>
      </c>
      <c r="G71" t="s">
        <v>15</v>
      </c>
      <c r="H71" s="2">
        <v>7291</v>
      </c>
      <c r="I71" s="2">
        <v>5</v>
      </c>
      <c r="J71" s="2">
        <v>46584</v>
      </c>
      <c r="K71" s="2">
        <v>100870</v>
      </c>
      <c r="L71" s="2">
        <v>8</v>
      </c>
      <c r="M71" t="str">
        <f>IF(Revv_bike_sales_data[[#This Row],[delivery_days]]&lt;=7, "Yes", "No")</f>
        <v>No</v>
      </c>
      <c r="N71" t="s">
        <v>16</v>
      </c>
      <c r="O71" s="2">
        <v>-54286</v>
      </c>
    </row>
    <row r="72" spans="1:15" x14ac:dyDescent="0.3">
      <c r="A72" s="2">
        <v>62</v>
      </c>
      <c r="B72" s="1">
        <v>44929.541666666664</v>
      </c>
      <c r="C72" s="1" t="str">
        <f t="shared" si="0"/>
        <v>01-2023</v>
      </c>
      <c r="D72" s="2">
        <f t="shared" si="1"/>
        <v>1</v>
      </c>
      <c r="E72" t="s">
        <v>13</v>
      </c>
      <c r="F72" t="s">
        <v>14</v>
      </c>
      <c r="G72" t="s">
        <v>21</v>
      </c>
      <c r="H72" s="2">
        <v>28814</v>
      </c>
      <c r="I72" s="2">
        <v>9</v>
      </c>
      <c r="J72" s="2">
        <v>40169</v>
      </c>
      <c r="K72" s="2">
        <v>129679</v>
      </c>
      <c r="L72" s="2">
        <v>13</v>
      </c>
      <c r="M72" t="str">
        <f>IF(Revv_bike_sales_data[[#This Row],[delivery_days]]&lt;=7, "Yes", "No")</f>
        <v>No</v>
      </c>
      <c r="N72" t="s">
        <v>24</v>
      </c>
      <c r="O72" s="2">
        <v>-89510</v>
      </c>
    </row>
    <row r="73" spans="1:15" x14ac:dyDescent="0.3">
      <c r="A73" s="2">
        <v>63</v>
      </c>
      <c r="B73" s="1">
        <v>44929.583333333336</v>
      </c>
      <c r="C73" s="1" t="str">
        <f t="shared" si="0"/>
        <v>01-2023</v>
      </c>
      <c r="D73" s="2">
        <f t="shared" si="1"/>
        <v>1</v>
      </c>
      <c r="E73" t="s">
        <v>17</v>
      </c>
      <c r="F73" t="s">
        <v>14</v>
      </c>
      <c r="G73" t="s">
        <v>15</v>
      </c>
      <c r="H73" s="2">
        <v>52383</v>
      </c>
      <c r="I73" s="2">
        <v>7</v>
      </c>
      <c r="J73" s="2">
        <v>50968</v>
      </c>
      <c r="K73" s="2">
        <v>113753</v>
      </c>
      <c r="L73" s="2">
        <v>5</v>
      </c>
      <c r="M73" t="str">
        <f>IF(Revv_bike_sales_data[[#This Row],[delivery_days]]&lt;=7, "Yes", "No")</f>
        <v>Yes</v>
      </c>
      <c r="N73" t="s">
        <v>16</v>
      </c>
      <c r="O73" s="2">
        <v>-62785</v>
      </c>
    </row>
    <row r="74" spans="1:15" x14ac:dyDescent="0.3">
      <c r="A74" s="2">
        <v>64</v>
      </c>
      <c r="B74" s="1">
        <v>44929.625</v>
      </c>
      <c r="C74" s="1" t="str">
        <f t="shared" si="0"/>
        <v>01-2023</v>
      </c>
      <c r="D74" s="2">
        <f t="shared" si="1"/>
        <v>1</v>
      </c>
      <c r="E74" t="s">
        <v>22</v>
      </c>
      <c r="F74" t="s">
        <v>14</v>
      </c>
      <c r="G74" t="s">
        <v>20</v>
      </c>
      <c r="H74" s="2">
        <v>94619</v>
      </c>
      <c r="I74" s="2">
        <v>0</v>
      </c>
      <c r="J74" s="2">
        <v>162457</v>
      </c>
      <c r="K74" s="2">
        <v>64531</v>
      </c>
      <c r="L74" s="2">
        <v>8</v>
      </c>
      <c r="M74" t="str">
        <f>IF(Revv_bike_sales_data[[#This Row],[delivery_days]]&lt;=7, "Yes", "No")</f>
        <v>No</v>
      </c>
      <c r="N74" t="s">
        <v>16</v>
      </c>
      <c r="O74" s="2">
        <v>97926</v>
      </c>
    </row>
    <row r="75" spans="1:15" x14ac:dyDescent="0.3">
      <c r="A75" s="2">
        <v>65</v>
      </c>
      <c r="B75" s="1">
        <v>44929.666666666664</v>
      </c>
      <c r="C75" s="1" t="str">
        <f t="shared" ref="C75:C138" si="2">TEXT(B75,"mm-yyyy")</f>
        <v>01-2023</v>
      </c>
      <c r="D75" s="2">
        <f t="shared" ref="D75:D138" si="3">WEEKNUM(B75)</f>
        <v>1</v>
      </c>
      <c r="E75" t="s">
        <v>22</v>
      </c>
      <c r="F75" t="s">
        <v>14</v>
      </c>
      <c r="G75" t="s">
        <v>15</v>
      </c>
      <c r="H75" s="2">
        <v>87586</v>
      </c>
      <c r="I75" s="2">
        <v>8</v>
      </c>
      <c r="J75" s="2">
        <v>147684</v>
      </c>
      <c r="K75" s="2">
        <v>95570</v>
      </c>
      <c r="L75" s="2">
        <v>10</v>
      </c>
      <c r="M75" t="str">
        <f>IF(Revv_bike_sales_data[[#This Row],[delivery_days]]&lt;=7, "Yes", "No")</f>
        <v>No</v>
      </c>
      <c r="N75" t="s">
        <v>16</v>
      </c>
      <c r="O75" s="2">
        <v>52114</v>
      </c>
    </row>
    <row r="76" spans="1:15" x14ac:dyDescent="0.3">
      <c r="A76" s="2">
        <v>66</v>
      </c>
      <c r="B76" s="1">
        <v>44929.708333333336</v>
      </c>
      <c r="C76" s="1" t="str">
        <f t="shared" si="2"/>
        <v>01-2023</v>
      </c>
      <c r="D76" s="2">
        <f t="shared" si="3"/>
        <v>1</v>
      </c>
      <c r="E76" t="s">
        <v>13</v>
      </c>
      <c r="F76" t="s">
        <v>14</v>
      </c>
      <c r="G76" t="s">
        <v>15</v>
      </c>
      <c r="H76" s="2">
        <v>66129</v>
      </c>
      <c r="I76" s="2">
        <v>0</v>
      </c>
      <c r="J76" s="2">
        <v>140391</v>
      </c>
      <c r="K76" s="2">
        <v>111621</v>
      </c>
      <c r="L76" s="2">
        <v>2</v>
      </c>
      <c r="M76" t="str">
        <f>IF(Revv_bike_sales_data[[#This Row],[delivery_days]]&lt;=7, "Yes", "No")</f>
        <v>Yes</v>
      </c>
      <c r="N76" t="s">
        <v>16</v>
      </c>
      <c r="O76" s="2">
        <v>28770</v>
      </c>
    </row>
    <row r="77" spans="1:15" x14ac:dyDescent="0.3">
      <c r="A77" s="2">
        <v>67</v>
      </c>
      <c r="B77" s="1">
        <v>44929.75</v>
      </c>
      <c r="C77" s="1" t="str">
        <f t="shared" si="2"/>
        <v>01-2023</v>
      </c>
      <c r="D77" s="2">
        <f t="shared" si="3"/>
        <v>1</v>
      </c>
      <c r="E77" t="s">
        <v>22</v>
      </c>
      <c r="F77" t="s">
        <v>14</v>
      </c>
      <c r="G77" t="s">
        <v>19</v>
      </c>
      <c r="H77" s="2">
        <v>10467</v>
      </c>
      <c r="I77" s="2">
        <v>2</v>
      </c>
      <c r="J77" s="2">
        <v>50444</v>
      </c>
      <c r="K77" s="2">
        <v>24442</v>
      </c>
      <c r="L77" s="2">
        <v>4</v>
      </c>
      <c r="M77" t="str">
        <f>IF(Revv_bike_sales_data[[#This Row],[delivery_days]]&lt;=7, "Yes", "No")</f>
        <v>Yes</v>
      </c>
      <c r="N77" t="s">
        <v>16</v>
      </c>
      <c r="O77" s="2">
        <v>26002</v>
      </c>
    </row>
    <row r="78" spans="1:15" x14ac:dyDescent="0.3">
      <c r="A78" s="2">
        <v>68</v>
      </c>
      <c r="B78" s="1">
        <v>44929.791666666664</v>
      </c>
      <c r="C78" s="1" t="str">
        <f t="shared" si="2"/>
        <v>01-2023</v>
      </c>
      <c r="D78" s="2">
        <f t="shared" si="3"/>
        <v>1</v>
      </c>
      <c r="E78" t="s">
        <v>22</v>
      </c>
      <c r="F78" t="s">
        <v>14</v>
      </c>
      <c r="G78" t="s">
        <v>15</v>
      </c>
      <c r="H78" s="2">
        <v>82254</v>
      </c>
      <c r="I78" s="2">
        <v>8</v>
      </c>
      <c r="J78" s="2">
        <v>131081</v>
      </c>
      <c r="K78" s="2">
        <v>71437</v>
      </c>
      <c r="L78" s="2">
        <v>13</v>
      </c>
      <c r="M78" t="str">
        <f>IF(Revv_bike_sales_data[[#This Row],[delivery_days]]&lt;=7, "Yes", "No")</f>
        <v>No</v>
      </c>
      <c r="N78" t="s">
        <v>24</v>
      </c>
      <c r="O78" s="2">
        <v>59644</v>
      </c>
    </row>
    <row r="79" spans="1:15" x14ac:dyDescent="0.3">
      <c r="A79" s="2">
        <v>69</v>
      </c>
      <c r="B79" s="1">
        <v>44929.833333333336</v>
      </c>
      <c r="C79" s="1" t="str">
        <f t="shared" si="2"/>
        <v>01-2023</v>
      </c>
      <c r="D79" s="2">
        <f t="shared" si="3"/>
        <v>1</v>
      </c>
      <c r="E79" t="s">
        <v>13</v>
      </c>
      <c r="F79" t="s">
        <v>14</v>
      </c>
      <c r="G79" t="s">
        <v>15</v>
      </c>
      <c r="H79" s="2">
        <v>43720</v>
      </c>
      <c r="I79" s="2">
        <v>4</v>
      </c>
      <c r="J79" s="2">
        <v>87497</v>
      </c>
      <c r="K79" s="2">
        <v>75342</v>
      </c>
      <c r="L79" s="2">
        <v>11</v>
      </c>
      <c r="M79" t="str">
        <f>IF(Revv_bike_sales_data[[#This Row],[delivery_days]]&lt;=7, "Yes", "No")</f>
        <v>No</v>
      </c>
      <c r="N79" t="s">
        <v>16</v>
      </c>
      <c r="O79" s="2">
        <v>12155</v>
      </c>
    </row>
    <row r="80" spans="1:15" x14ac:dyDescent="0.3">
      <c r="A80" s="2">
        <v>70</v>
      </c>
      <c r="B80" s="1">
        <v>44929.875</v>
      </c>
      <c r="C80" s="1" t="str">
        <f t="shared" si="2"/>
        <v>01-2023</v>
      </c>
      <c r="D80" s="2">
        <f t="shared" si="3"/>
        <v>1</v>
      </c>
      <c r="E80" t="s">
        <v>13</v>
      </c>
      <c r="F80" t="s">
        <v>14</v>
      </c>
      <c r="G80" t="s">
        <v>21</v>
      </c>
      <c r="H80" s="2">
        <v>74663</v>
      </c>
      <c r="I80" s="2">
        <v>8</v>
      </c>
      <c r="J80" s="2">
        <v>30362</v>
      </c>
      <c r="K80" s="2">
        <v>93179</v>
      </c>
      <c r="L80" s="2">
        <v>14</v>
      </c>
      <c r="M80" t="str">
        <f>IF(Revv_bike_sales_data[[#This Row],[delivery_days]]&lt;=7, "Yes", "No")</f>
        <v>No</v>
      </c>
      <c r="N80" t="s">
        <v>16</v>
      </c>
      <c r="O80" s="2">
        <v>-62817</v>
      </c>
    </row>
    <row r="81" spans="1:15" x14ac:dyDescent="0.3">
      <c r="A81" s="2">
        <v>71</v>
      </c>
      <c r="B81" s="1">
        <v>44929.916666666664</v>
      </c>
      <c r="C81" s="1" t="str">
        <f t="shared" si="2"/>
        <v>01-2023</v>
      </c>
      <c r="D81" s="2">
        <f t="shared" si="3"/>
        <v>1</v>
      </c>
      <c r="E81" t="s">
        <v>25</v>
      </c>
      <c r="F81" t="s">
        <v>14</v>
      </c>
      <c r="G81" t="s">
        <v>20</v>
      </c>
      <c r="H81" s="2">
        <v>5447</v>
      </c>
      <c r="I81" s="2">
        <v>8</v>
      </c>
      <c r="J81" s="2">
        <v>124254</v>
      </c>
      <c r="K81" s="2">
        <v>50069</v>
      </c>
      <c r="L81" s="2">
        <v>10</v>
      </c>
      <c r="M81" t="str">
        <f>IF(Revv_bike_sales_data[[#This Row],[delivery_days]]&lt;=7, "Yes", "No")</f>
        <v>No</v>
      </c>
      <c r="N81" t="s">
        <v>24</v>
      </c>
      <c r="O81" s="2">
        <v>74185</v>
      </c>
    </row>
    <row r="82" spans="1:15" x14ac:dyDescent="0.3">
      <c r="A82" s="2">
        <v>72</v>
      </c>
      <c r="B82" s="1">
        <v>44929.958333333336</v>
      </c>
      <c r="C82" s="1" t="str">
        <f t="shared" si="2"/>
        <v>01-2023</v>
      </c>
      <c r="D82" s="2">
        <f t="shared" si="3"/>
        <v>1</v>
      </c>
      <c r="E82" t="s">
        <v>17</v>
      </c>
      <c r="F82" t="s">
        <v>14</v>
      </c>
      <c r="G82" t="s">
        <v>21</v>
      </c>
      <c r="H82" s="2">
        <v>39919</v>
      </c>
      <c r="I82" s="2">
        <v>5</v>
      </c>
      <c r="J82" s="2">
        <v>164322</v>
      </c>
      <c r="K82" s="2">
        <v>88246</v>
      </c>
      <c r="L82" s="2">
        <v>9</v>
      </c>
      <c r="M82" t="str">
        <f>IF(Revv_bike_sales_data[[#This Row],[delivery_days]]&lt;=7, "Yes", "No")</f>
        <v>No</v>
      </c>
      <c r="N82" t="s">
        <v>16</v>
      </c>
      <c r="O82" s="2">
        <v>76076</v>
      </c>
    </row>
    <row r="83" spans="1:15" x14ac:dyDescent="0.3">
      <c r="A83" s="2">
        <v>73</v>
      </c>
      <c r="B83" s="1">
        <v>44930</v>
      </c>
      <c r="C83" s="1" t="str">
        <f t="shared" si="2"/>
        <v>01-2023</v>
      </c>
      <c r="D83" s="2">
        <f t="shared" si="3"/>
        <v>1</v>
      </c>
      <c r="E83" t="s">
        <v>17</v>
      </c>
      <c r="F83" t="s">
        <v>14</v>
      </c>
      <c r="G83" t="s">
        <v>21</v>
      </c>
      <c r="H83" s="2">
        <v>56631</v>
      </c>
      <c r="I83" s="2">
        <v>0</v>
      </c>
      <c r="J83" s="2">
        <v>93354</v>
      </c>
      <c r="K83" s="2">
        <v>53560</v>
      </c>
      <c r="L83" s="2">
        <v>13</v>
      </c>
      <c r="M83" t="str">
        <f>IF(Revv_bike_sales_data[[#This Row],[delivery_days]]&lt;=7, "Yes", "No")</f>
        <v>No</v>
      </c>
      <c r="N83" t="s">
        <v>16</v>
      </c>
      <c r="O83" s="2">
        <v>39794</v>
      </c>
    </row>
    <row r="84" spans="1:15" x14ac:dyDescent="0.3">
      <c r="A84" s="2">
        <v>74</v>
      </c>
      <c r="B84" s="1">
        <v>44930.041666666664</v>
      </c>
      <c r="C84" s="1" t="str">
        <f t="shared" si="2"/>
        <v>01-2023</v>
      </c>
      <c r="D84" s="2">
        <f t="shared" si="3"/>
        <v>1</v>
      </c>
      <c r="E84" t="s">
        <v>22</v>
      </c>
      <c r="F84" t="s">
        <v>14</v>
      </c>
      <c r="G84" t="s">
        <v>20</v>
      </c>
      <c r="H84" s="2">
        <v>89214</v>
      </c>
      <c r="I84" s="2">
        <v>9</v>
      </c>
      <c r="J84" s="2">
        <v>61368</v>
      </c>
      <c r="K84" s="2">
        <v>73070</v>
      </c>
      <c r="L84" s="2">
        <v>3</v>
      </c>
      <c r="M84" t="str">
        <f>IF(Revv_bike_sales_data[[#This Row],[delivery_days]]&lt;=7, "Yes", "No")</f>
        <v>Yes</v>
      </c>
      <c r="N84" t="s">
        <v>16</v>
      </c>
      <c r="O84" s="2">
        <v>-11702</v>
      </c>
    </row>
    <row r="85" spans="1:15" x14ac:dyDescent="0.3">
      <c r="A85" s="2">
        <v>75</v>
      </c>
      <c r="B85" s="1">
        <v>44930.083333333336</v>
      </c>
      <c r="C85" s="1" t="str">
        <f t="shared" si="2"/>
        <v>01-2023</v>
      </c>
      <c r="D85" s="2">
        <f t="shared" si="3"/>
        <v>1</v>
      </c>
      <c r="E85" t="s">
        <v>17</v>
      </c>
      <c r="F85" t="s">
        <v>14</v>
      </c>
      <c r="G85" t="s">
        <v>20</v>
      </c>
      <c r="H85" s="2">
        <v>29376</v>
      </c>
      <c r="I85" s="2">
        <v>6</v>
      </c>
      <c r="J85" s="2">
        <v>69109</v>
      </c>
      <c r="K85" s="2">
        <v>57427</v>
      </c>
      <c r="L85" s="2">
        <v>6</v>
      </c>
      <c r="M85" t="str">
        <f>IF(Revv_bike_sales_data[[#This Row],[delivery_days]]&lt;=7, "Yes", "No")</f>
        <v>Yes</v>
      </c>
      <c r="N85" t="s">
        <v>16</v>
      </c>
      <c r="O85" s="2">
        <v>11682</v>
      </c>
    </row>
    <row r="86" spans="1:15" x14ac:dyDescent="0.3">
      <c r="A86" s="2">
        <v>76</v>
      </c>
      <c r="B86" s="1">
        <v>44930.125</v>
      </c>
      <c r="C86" s="1" t="str">
        <f t="shared" si="2"/>
        <v>01-2023</v>
      </c>
      <c r="D86" s="2">
        <f t="shared" si="3"/>
        <v>1</v>
      </c>
      <c r="E86" t="s">
        <v>22</v>
      </c>
      <c r="F86" t="s">
        <v>14</v>
      </c>
      <c r="G86" t="s">
        <v>15</v>
      </c>
      <c r="H86" s="2">
        <v>88944</v>
      </c>
      <c r="I86" s="2">
        <v>5</v>
      </c>
      <c r="J86" s="2">
        <v>52426</v>
      </c>
      <c r="K86" s="2">
        <v>75496</v>
      </c>
      <c r="L86" s="2">
        <v>11</v>
      </c>
      <c r="M86" t="str">
        <f>IF(Revv_bike_sales_data[[#This Row],[delivery_days]]&lt;=7, "Yes", "No")</f>
        <v>No</v>
      </c>
      <c r="N86" t="s">
        <v>16</v>
      </c>
      <c r="O86" s="2">
        <v>-23070</v>
      </c>
    </row>
    <row r="87" spans="1:15" x14ac:dyDescent="0.3">
      <c r="A87" s="2">
        <v>77</v>
      </c>
      <c r="B87" s="1">
        <v>44930.166666666664</v>
      </c>
      <c r="C87" s="1" t="str">
        <f t="shared" si="2"/>
        <v>01-2023</v>
      </c>
      <c r="D87" s="2">
        <f t="shared" si="3"/>
        <v>1</v>
      </c>
      <c r="E87" t="s">
        <v>25</v>
      </c>
      <c r="F87" t="s">
        <v>14</v>
      </c>
      <c r="G87" t="s">
        <v>15</v>
      </c>
      <c r="H87" s="2">
        <v>20471</v>
      </c>
      <c r="I87" s="2">
        <v>8</v>
      </c>
      <c r="J87" s="2">
        <v>142632</v>
      </c>
      <c r="K87" s="2">
        <v>79557</v>
      </c>
      <c r="L87" s="2">
        <v>7</v>
      </c>
      <c r="M87" t="str">
        <f>IF(Revv_bike_sales_data[[#This Row],[delivery_days]]&lt;=7, "Yes", "No")</f>
        <v>Yes</v>
      </c>
      <c r="N87" t="s">
        <v>24</v>
      </c>
      <c r="O87" s="2">
        <v>63075</v>
      </c>
    </row>
    <row r="88" spans="1:15" x14ac:dyDescent="0.3">
      <c r="A88" s="2">
        <v>78</v>
      </c>
      <c r="B88" s="1">
        <v>44930.208333333336</v>
      </c>
      <c r="C88" s="1" t="str">
        <f t="shared" si="2"/>
        <v>01-2023</v>
      </c>
      <c r="D88" s="2">
        <f t="shared" si="3"/>
        <v>1</v>
      </c>
      <c r="E88" t="s">
        <v>13</v>
      </c>
      <c r="F88" t="s">
        <v>23</v>
      </c>
      <c r="G88" t="s">
        <v>19</v>
      </c>
      <c r="H88" s="2">
        <v>63039</v>
      </c>
      <c r="I88" s="2">
        <v>6</v>
      </c>
      <c r="J88" s="2">
        <v>137637</v>
      </c>
      <c r="K88" s="2">
        <v>87752</v>
      </c>
      <c r="L88" s="2">
        <v>3</v>
      </c>
      <c r="M88" t="str">
        <f>IF(Revv_bike_sales_data[[#This Row],[delivery_days]]&lt;=7, "Yes", "No")</f>
        <v>Yes</v>
      </c>
      <c r="N88" t="s">
        <v>16</v>
      </c>
      <c r="O88" s="2">
        <v>49885</v>
      </c>
    </row>
    <row r="89" spans="1:15" x14ac:dyDescent="0.3">
      <c r="A89" s="2">
        <v>79</v>
      </c>
      <c r="B89" s="1">
        <v>44930.25</v>
      </c>
      <c r="C89" s="1" t="str">
        <f t="shared" si="2"/>
        <v>01-2023</v>
      </c>
      <c r="D89" s="2">
        <f t="shared" si="3"/>
        <v>1</v>
      </c>
      <c r="E89" t="s">
        <v>13</v>
      </c>
      <c r="F89" t="s">
        <v>14</v>
      </c>
      <c r="G89" t="s">
        <v>21</v>
      </c>
      <c r="H89" s="2">
        <v>98620</v>
      </c>
      <c r="I89" s="2">
        <v>3</v>
      </c>
      <c r="J89" s="2">
        <v>64023</v>
      </c>
      <c r="K89" s="2">
        <v>92248</v>
      </c>
      <c r="L89" s="2">
        <v>1</v>
      </c>
      <c r="M89" t="str">
        <f>IF(Revv_bike_sales_data[[#This Row],[delivery_days]]&lt;=7, "Yes", "No")</f>
        <v>Yes</v>
      </c>
      <c r="N89" t="s">
        <v>16</v>
      </c>
      <c r="O89" s="2">
        <v>-28225</v>
      </c>
    </row>
    <row r="90" spans="1:15" x14ac:dyDescent="0.3">
      <c r="A90" s="2">
        <v>80</v>
      </c>
      <c r="B90" s="1">
        <v>44930.291666666664</v>
      </c>
      <c r="C90" s="1" t="str">
        <f t="shared" si="2"/>
        <v>01-2023</v>
      </c>
      <c r="D90" s="2">
        <f t="shared" si="3"/>
        <v>1</v>
      </c>
      <c r="E90" t="s">
        <v>13</v>
      </c>
      <c r="F90" t="s">
        <v>14</v>
      </c>
      <c r="G90" t="s">
        <v>20</v>
      </c>
      <c r="H90" s="2">
        <v>49728</v>
      </c>
      <c r="I90" s="2">
        <v>6</v>
      </c>
      <c r="J90" s="2">
        <v>147268</v>
      </c>
      <c r="K90" s="2">
        <v>85441</v>
      </c>
      <c r="L90" s="2">
        <v>2</v>
      </c>
      <c r="M90" t="str">
        <f>IF(Revv_bike_sales_data[[#This Row],[delivery_days]]&lt;=7, "Yes", "No")</f>
        <v>Yes</v>
      </c>
      <c r="N90" t="s">
        <v>16</v>
      </c>
      <c r="O90" s="2">
        <v>61827</v>
      </c>
    </row>
    <row r="91" spans="1:15" x14ac:dyDescent="0.3">
      <c r="A91" s="2">
        <v>81</v>
      </c>
      <c r="B91" s="1">
        <v>44930.333333333336</v>
      </c>
      <c r="C91" s="1" t="str">
        <f t="shared" si="2"/>
        <v>01-2023</v>
      </c>
      <c r="D91" s="2">
        <f t="shared" si="3"/>
        <v>1</v>
      </c>
      <c r="E91" t="s">
        <v>17</v>
      </c>
      <c r="F91" t="s">
        <v>14</v>
      </c>
      <c r="G91" t="s">
        <v>15</v>
      </c>
      <c r="H91" s="2">
        <v>74995</v>
      </c>
      <c r="I91" s="2">
        <v>1</v>
      </c>
      <c r="J91" s="2">
        <v>134211</v>
      </c>
      <c r="K91" s="2">
        <v>63534</v>
      </c>
      <c r="L91" s="2">
        <v>11</v>
      </c>
      <c r="M91" t="str">
        <f>IF(Revv_bike_sales_data[[#This Row],[delivery_days]]&lt;=7, "Yes", "No")</f>
        <v>No</v>
      </c>
      <c r="N91" t="s">
        <v>16</v>
      </c>
      <c r="O91" s="2">
        <v>70677</v>
      </c>
    </row>
    <row r="92" spans="1:15" x14ac:dyDescent="0.3">
      <c r="A92" s="2">
        <v>82</v>
      </c>
      <c r="B92" s="1">
        <v>44930.375</v>
      </c>
      <c r="C92" s="1" t="str">
        <f t="shared" si="2"/>
        <v>01-2023</v>
      </c>
      <c r="D92" s="2">
        <f t="shared" si="3"/>
        <v>1</v>
      </c>
      <c r="E92" t="s">
        <v>25</v>
      </c>
      <c r="F92" t="s">
        <v>14</v>
      </c>
      <c r="G92" t="s">
        <v>20</v>
      </c>
      <c r="H92" s="2">
        <v>28761</v>
      </c>
      <c r="I92" s="2">
        <v>5</v>
      </c>
      <c r="J92" s="2">
        <v>119897</v>
      </c>
      <c r="K92" s="2">
        <v>119303</v>
      </c>
      <c r="L92" s="2">
        <v>14</v>
      </c>
      <c r="M92" t="str">
        <f>IF(Revv_bike_sales_data[[#This Row],[delivery_days]]&lt;=7, "Yes", "No")</f>
        <v>No</v>
      </c>
      <c r="N92" t="s">
        <v>16</v>
      </c>
      <c r="O92" s="2">
        <v>594</v>
      </c>
    </row>
    <row r="93" spans="1:15" x14ac:dyDescent="0.3">
      <c r="A93" s="2">
        <v>83</v>
      </c>
      <c r="B93" s="1">
        <v>44930.416666666664</v>
      </c>
      <c r="C93" s="1" t="str">
        <f t="shared" si="2"/>
        <v>01-2023</v>
      </c>
      <c r="D93" s="2">
        <f t="shared" si="3"/>
        <v>1</v>
      </c>
      <c r="E93" t="s">
        <v>17</v>
      </c>
      <c r="F93" t="s">
        <v>14</v>
      </c>
      <c r="G93" t="s">
        <v>15</v>
      </c>
      <c r="H93" s="2">
        <v>61760</v>
      </c>
      <c r="I93" s="2">
        <v>5</v>
      </c>
      <c r="J93" s="2">
        <v>172079</v>
      </c>
      <c r="K93" s="2">
        <v>42930</v>
      </c>
      <c r="L93" s="2">
        <v>10</v>
      </c>
      <c r="M93" t="str">
        <f>IF(Revv_bike_sales_data[[#This Row],[delivery_days]]&lt;=7, "Yes", "No")</f>
        <v>No</v>
      </c>
      <c r="N93" t="s">
        <v>16</v>
      </c>
      <c r="O93" s="2">
        <v>129149</v>
      </c>
    </row>
    <row r="94" spans="1:15" x14ac:dyDescent="0.3">
      <c r="A94" s="2">
        <v>84</v>
      </c>
      <c r="B94" s="1">
        <v>44930.458333333336</v>
      </c>
      <c r="C94" s="1" t="str">
        <f t="shared" si="2"/>
        <v>01-2023</v>
      </c>
      <c r="D94" s="2">
        <f t="shared" si="3"/>
        <v>1</v>
      </c>
      <c r="E94" t="s">
        <v>17</v>
      </c>
      <c r="F94" t="s">
        <v>14</v>
      </c>
      <c r="G94" t="s">
        <v>19</v>
      </c>
      <c r="H94" s="2">
        <v>81871</v>
      </c>
      <c r="I94" s="2">
        <v>1</v>
      </c>
      <c r="J94" s="2">
        <v>104777</v>
      </c>
      <c r="K94" s="2">
        <v>111728</v>
      </c>
      <c r="L94" s="2">
        <v>7</v>
      </c>
      <c r="M94" t="str">
        <f>IF(Revv_bike_sales_data[[#This Row],[delivery_days]]&lt;=7, "Yes", "No")</f>
        <v>Yes</v>
      </c>
      <c r="N94" t="s">
        <v>16</v>
      </c>
      <c r="O94" s="2">
        <v>-6951</v>
      </c>
    </row>
    <row r="95" spans="1:15" x14ac:dyDescent="0.3">
      <c r="A95" s="2">
        <v>85</v>
      </c>
      <c r="B95" s="1">
        <v>44930.5</v>
      </c>
      <c r="C95" s="1" t="str">
        <f t="shared" si="2"/>
        <v>01-2023</v>
      </c>
      <c r="D95" s="2">
        <f t="shared" si="3"/>
        <v>1</v>
      </c>
      <c r="E95" t="s">
        <v>25</v>
      </c>
      <c r="F95" t="s">
        <v>14</v>
      </c>
      <c r="G95" t="s">
        <v>19</v>
      </c>
      <c r="H95" s="2">
        <v>85293</v>
      </c>
      <c r="I95" s="2">
        <v>3</v>
      </c>
      <c r="J95" s="2">
        <v>69858</v>
      </c>
      <c r="K95" s="2">
        <v>138295</v>
      </c>
      <c r="L95" s="2">
        <v>7</v>
      </c>
      <c r="M95" t="str">
        <f>IF(Revv_bike_sales_data[[#This Row],[delivery_days]]&lt;=7, "Yes", "No")</f>
        <v>Yes</v>
      </c>
      <c r="N95" t="s">
        <v>16</v>
      </c>
      <c r="O95" s="2">
        <v>-68437</v>
      </c>
    </row>
    <row r="96" spans="1:15" x14ac:dyDescent="0.3">
      <c r="A96" s="2">
        <v>86</v>
      </c>
      <c r="B96" s="1">
        <v>44930.541666666664</v>
      </c>
      <c r="C96" s="1" t="str">
        <f t="shared" si="2"/>
        <v>01-2023</v>
      </c>
      <c r="D96" s="2">
        <f t="shared" si="3"/>
        <v>1</v>
      </c>
      <c r="E96" t="s">
        <v>25</v>
      </c>
      <c r="F96" t="s">
        <v>14</v>
      </c>
      <c r="G96" t="s">
        <v>20</v>
      </c>
      <c r="H96" s="2">
        <v>3846</v>
      </c>
      <c r="I96" s="2">
        <v>7</v>
      </c>
      <c r="J96" s="2">
        <v>115042</v>
      </c>
      <c r="K96" s="2">
        <v>104042</v>
      </c>
      <c r="L96" s="2">
        <v>12</v>
      </c>
      <c r="M96" t="str">
        <f>IF(Revv_bike_sales_data[[#This Row],[delivery_days]]&lt;=7, "Yes", "No")</f>
        <v>No</v>
      </c>
      <c r="N96" t="s">
        <v>16</v>
      </c>
      <c r="O96" s="2">
        <v>11000</v>
      </c>
    </row>
    <row r="97" spans="1:15" x14ac:dyDescent="0.3">
      <c r="A97" s="2">
        <v>87</v>
      </c>
      <c r="B97" s="1">
        <v>44930.583333333336</v>
      </c>
      <c r="C97" s="1" t="str">
        <f t="shared" si="2"/>
        <v>01-2023</v>
      </c>
      <c r="D97" s="2">
        <f t="shared" si="3"/>
        <v>1</v>
      </c>
      <c r="E97" t="s">
        <v>25</v>
      </c>
      <c r="F97" t="s">
        <v>23</v>
      </c>
      <c r="G97" t="s">
        <v>19</v>
      </c>
      <c r="H97" s="2">
        <v>96843</v>
      </c>
      <c r="I97" s="2">
        <v>7</v>
      </c>
      <c r="J97" s="2">
        <v>108098</v>
      </c>
      <c r="K97" s="2">
        <v>130287</v>
      </c>
      <c r="L97" s="2">
        <v>1</v>
      </c>
      <c r="M97" t="str">
        <f>IF(Revv_bike_sales_data[[#This Row],[delivery_days]]&lt;=7, "Yes", "No")</f>
        <v>Yes</v>
      </c>
      <c r="N97" t="s">
        <v>16</v>
      </c>
      <c r="O97" s="2">
        <v>-22189</v>
      </c>
    </row>
    <row r="98" spans="1:15" x14ac:dyDescent="0.3">
      <c r="A98" s="2">
        <v>88</v>
      </c>
      <c r="B98" s="1">
        <v>44930.625</v>
      </c>
      <c r="C98" s="1" t="str">
        <f t="shared" si="2"/>
        <v>01-2023</v>
      </c>
      <c r="D98" s="2">
        <f t="shared" si="3"/>
        <v>1</v>
      </c>
      <c r="E98" t="s">
        <v>25</v>
      </c>
      <c r="F98" t="s">
        <v>23</v>
      </c>
      <c r="G98" t="s">
        <v>20</v>
      </c>
      <c r="H98" s="2">
        <v>96454</v>
      </c>
      <c r="I98" s="2">
        <v>7</v>
      </c>
      <c r="J98" s="2">
        <v>45239</v>
      </c>
      <c r="K98" s="2">
        <v>22288</v>
      </c>
      <c r="L98" s="2">
        <v>10</v>
      </c>
      <c r="M98" t="str">
        <f>IF(Revv_bike_sales_data[[#This Row],[delivery_days]]&lt;=7, "Yes", "No")</f>
        <v>No</v>
      </c>
      <c r="N98" t="s">
        <v>16</v>
      </c>
      <c r="O98" s="2">
        <v>22951</v>
      </c>
    </row>
    <row r="99" spans="1:15" x14ac:dyDescent="0.3">
      <c r="A99" s="2">
        <v>89</v>
      </c>
      <c r="B99" s="1">
        <v>44930.666666666664</v>
      </c>
      <c r="C99" s="1" t="str">
        <f t="shared" si="2"/>
        <v>01-2023</v>
      </c>
      <c r="D99" s="2">
        <f t="shared" si="3"/>
        <v>1</v>
      </c>
      <c r="E99" t="s">
        <v>13</v>
      </c>
      <c r="F99" t="s">
        <v>14</v>
      </c>
      <c r="G99" t="s">
        <v>15</v>
      </c>
      <c r="H99" s="2">
        <v>56676</v>
      </c>
      <c r="I99" s="2">
        <v>7</v>
      </c>
      <c r="J99" s="2">
        <v>169137</v>
      </c>
      <c r="K99" s="2">
        <v>124570</v>
      </c>
      <c r="L99" s="2">
        <v>7</v>
      </c>
      <c r="M99" t="str">
        <f>IF(Revv_bike_sales_data[[#This Row],[delivery_days]]&lt;=7, "Yes", "No")</f>
        <v>Yes</v>
      </c>
      <c r="N99" t="s">
        <v>16</v>
      </c>
      <c r="O99" s="2">
        <v>44567</v>
      </c>
    </row>
    <row r="100" spans="1:15" x14ac:dyDescent="0.3">
      <c r="A100" s="2">
        <v>90</v>
      </c>
      <c r="B100" s="1">
        <v>44930.708333333336</v>
      </c>
      <c r="C100" s="1" t="str">
        <f t="shared" si="2"/>
        <v>01-2023</v>
      </c>
      <c r="D100" s="2">
        <f t="shared" si="3"/>
        <v>1</v>
      </c>
      <c r="E100" t="s">
        <v>18</v>
      </c>
      <c r="F100" t="s">
        <v>14</v>
      </c>
      <c r="G100" t="s">
        <v>21</v>
      </c>
      <c r="H100" s="2">
        <v>52800</v>
      </c>
      <c r="I100" s="2">
        <v>0</v>
      </c>
      <c r="J100" s="2">
        <v>135951</v>
      </c>
      <c r="K100" s="2">
        <v>110547</v>
      </c>
      <c r="L100" s="2">
        <v>10</v>
      </c>
      <c r="M100" t="str">
        <f>IF(Revv_bike_sales_data[[#This Row],[delivery_days]]&lt;=7, "Yes", "No")</f>
        <v>No</v>
      </c>
      <c r="N100" t="s">
        <v>24</v>
      </c>
      <c r="O100" s="2">
        <v>25404</v>
      </c>
    </row>
    <row r="101" spans="1:15" x14ac:dyDescent="0.3">
      <c r="A101" s="2">
        <v>91</v>
      </c>
      <c r="B101" s="1">
        <v>44930.75</v>
      </c>
      <c r="C101" s="1" t="str">
        <f t="shared" si="2"/>
        <v>01-2023</v>
      </c>
      <c r="D101" s="2">
        <f t="shared" si="3"/>
        <v>1</v>
      </c>
      <c r="E101" t="s">
        <v>18</v>
      </c>
      <c r="F101" t="s">
        <v>14</v>
      </c>
      <c r="G101" t="s">
        <v>19</v>
      </c>
      <c r="H101" s="2">
        <v>11840</v>
      </c>
      <c r="I101" s="2">
        <v>1</v>
      </c>
      <c r="J101" s="2">
        <v>66291</v>
      </c>
      <c r="K101" s="2">
        <v>96122</v>
      </c>
      <c r="L101" s="2">
        <v>11</v>
      </c>
      <c r="M101" t="str">
        <f>IF(Revv_bike_sales_data[[#This Row],[delivery_days]]&lt;=7, "Yes", "No")</f>
        <v>No</v>
      </c>
      <c r="N101" t="s">
        <v>16</v>
      </c>
      <c r="O101" s="2">
        <v>-29831</v>
      </c>
    </row>
    <row r="102" spans="1:15" x14ac:dyDescent="0.3">
      <c r="A102" s="2">
        <v>92</v>
      </c>
      <c r="B102" s="1">
        <v>44930.791666666664</v>
      </c>
      <c r="C102" s="1" t="str">
        <f t="shared" si="2"/>
        <v>01-2023</v>
      </c>
      <c r="D102" s="2">
        <f t="shared" si="3"/>
        <v>1</v>
      </c>
      <c r="E102" t="s">
        <v>25</v>
      </c>
      <c r="F102" t="s">
        <v>14</v>
      </c>
      <c r="G102" t="s">
        <v>15</v>
      </c>
      <c r="H102" s="2">
        <v>33512</v>
      </c>
      <c r="I102" s="2">
        <v>3</v>
      </c>
      <c r="J102" s="2">
        <v>63805</v>
      </c>
      <c r="K102" s="2">
        <v>76518</v>
      </c>
      <c r="L102" s="2">
        <v>6</v>
      </c>
      <c r="M102" t="str">
        <f>IF(Revv_bike_sales_data[[#This Row],[delivery_days]]&lt;=7, "Yes", "No")</f>
        <v>Yes</v>
      </c>
      <c r="N102" t="s">
        <v>16</v>
      </c>
      <c r="O102" s="2">
        <v>-12713</v>
      </c>
    </row>
    <row r="103" spans="1:15" x14ac:dyDescent="0.3">
      <c r="A103" s="2">
        <v>93</v>
      </c>
      <c r="B103" s="1">
        <v>44930.833333333336</v>
      </c>
      <c r="C103" s="1" t="str">
        <f t="shared" si="2"/>
        <v>01-2023</v>
      </c>
      <c r="D103" s="2">
        <f t="shared" si="3"/>
        <v>1</v>
      </c>
      <c r="E103" t="s">
        <v>18</v>
      </c>
      <c r="F103" t="s">
        <v>14</v>
      </c>
      <c r="G103" t="s">
        <v>21</v>
      </c>
      <c r="H103" s="2">
        <v>35893</v>
      </c>
      <c r="I103" s="2">
        <v>8</v>
      </c>
      <c r="J103" s="2">
        <v>123831</v>
      </c>
      <c r="K103" s="2">
        <v>47400</v>
      </c>
      <c r="L103" s="2">
        <v>11</v>
      </c>
      <c r="M103" t="str">
        <f>IF(Revv_bike_sales_data[[#This Row],[delivery_days]]&lt;=7, "Yes", "No")</f>
        <v>No</v>
      </c>
      <c r="N103" t="s">
        <v>16</v>
      </c>
      <c r="O103" s="2">
        <v>76431</v>
      </c>
    </row>
    <row r="104" spans="1:15" x14ac:dyDescent="0.3">
      <c r="A104" s="2">
        <v>94</v>
      </c>
      <c r="B104" s="1">
        <v>44930.875</v>
      </c>
      <c r="C104" s="1" t="str">
        <f t="shared" si="2"/>
        <v>01-2023</v>
      </c>
      <c r="D104" s="2">
        <f t="shared" si="3"/>
        <v>1</v>
      </c>
      <c r="E104" t="s">
        <v>18</v>
      </c>
      <c r="F104" t="s">
        <v>14</v>
      </c>
      <c r="G104" t="s">
        <v>21</v>
      </c>
      <c r="H104" s="2">
        <v>75633</v>
      </c>
      <c r="I104" s="2">
        <v>2</v>
      </c>
      <c r="J104" s="2">
        <v>174515</v>
      </c>
      <c r="K104" s="2">
        <v>137609</v>
      </c>
      <c r="L104" s="2">
        <v>6</v>
      </c>
      <c r="M104" t="str">
        <f>IF(Revv_bike_sales_data[[#This Row],[delivery_days]]&lt;=7, "Yes", "No")</f>
        <v>Yes</v>
      </c>
      <c r="N104" t="s">
        <v>16</v>
      </c>
      <c r="O104" s="2">
        <v>36906</v>
      </c>
    </row>
    <row r="105" spans="1:15" x14ac:dyDescent="0.3">
      <c r="A105" s="2">
        <v>95</v>
      </c>
      <c r="B105" s="1">
        <v>44930.916666666664</v>
      </c>
      <c r="C105" s="1" t="str">
        <f t="shared" si="2"/>
        <v>01-2023</v>
      </c>
      <c r="D105" s="2">
        <f t="shared" si="3"/>
        <v>1</v>
      </c>
      <c r="E105" t="s">
        <v>25</v>
      </c>
      <c r="F105" t="s">
        <v>14</v>
      </c>
      <c r="G105" t="s">
        <v>21</v>
      </c>
      <c r="H105" s="2">
        <v>26057</v>
      </c>
      <c r="I105" s="2">
        <v>5</v>
      </c>
      <c r="J105" s="2">
        <v>34290</v>
      </c>
      <c r="K105" s="2">
        <v>16567</v>
      </c>
      <c r="L105" s="2">
        <v>7</v>
      </c>
      <c r="M105" t="str">
        <f>IF(Revv_bike_sales_data[[#This Row],[delivery_days]]&lt;=7, "Yes", "No")</f>
        <v>Yes</v>
      </c>
      <c r="N105" t="s">
        <v>16</v>
      </c>
      <c r="O105" s="2">
        <v>17723</v>
      </c>
    </row>
    <row r="106" spans="1:15" x14ac:dyDescent="0.3">
      <c r="A106" s="2">
        <v>96</v>
      </c>
      <c r="B106" s="1">
        <v>44930.958333333336</v>
      </c>
      <c r="C106" s="1" t="str">
        <f t="shared" si="2"/>
        <v>01-2023</v>
      </c>
      <c r="D106" s="2">
        <f t="shared" si="3"/>
        <v>1</v>
      </c>
      <c r="E106" t="s">
        <v>18</v>
      </c>
      <c r="F106" t="s">
        <v>14</v>
      </c>
      <c r="G106" t="s">
        <v>15</v>
      </c>
      <c r="H106" s="2">
        <v>64704</v>
      </c>
      <c r="I106" s="2">
        <v>6</v>
      </c>
      <c r="J106" s="2">
        <v>156283</v>
      </c>
      <c r="K106" s="2">
        <v>62878</v>
      </c>
      <c r="L106" s="2">
        <v>7</v>
      </c>
      <c r="M106" t="str">
        <f>IF(Revv_bike_sales_data[[#This Row],[delivery_days]]&lt;=7, "Yes", "No")</f>
        <v>Yes</v>
      </c>
      <c r="N106" t="s">
        <v>16</v>
      </c>
      <c r="O106" s="2">
        <v>93405</v>
      </c>
    </row>
    <row r="107" spans="1:15" x14ac:dyDescent="0.3">
      <c r="A107" s="2">
        <v>97</v>
      </c>
      <c r="B107" s="1">
        <v>44931</v>
      </c>
      <c r="C107" s="1" t="str">
        <f t="shared" si="2"/>
        <v>01-2023</v>
      </c>
      <c r="D107" s="2">
        <f t="shared" si="3"/>
        <v>1</v>
      </c>
      <c r="E107" t="s">
        <v>17</v>
      </c>
      <c r="F107" t="s">
        <v>14</v>
      </c>
      <c r="G107" t="s">
        <v>15</v>
      </c>
      <c r="H107" s="2">
        <v>73773</v>
      </c>
      <c r="I107" s="2">
        <v>7</v>
      </c>
      <c r="J107" s="2">
        <v>108634</v>
      </c>
      <c r="K107" s="2">
        <v>63850</v>
      </c>
      <c r="L107" s="2">
        <v>1</v>
      </c>
      <c r="M107" t="str">
        <f>IF(Revv_bike_sales_data[[#This Row],[delivery_days]]&lt;=7, "Yes", "No")</f>
        <v>Yes</v>
      </c>
      <c r="N107" t="s">
        <v>16</v>
      </c>
      <c r="O107" s="2">
        <v>44784</v>
      </c>
    </row>
    <row r="108" spans="1:15" x14ac:dyDescent="0.3">
      <c r="A108" s="2">
        <v>98</v>
      </c>
      <c r="B108" s="1">
        <v>44931.041666666664</v>
      </c>
      <c r="C108" s="1" t="str">
        <f t="shared" si="2"/>
        <v>01-2023</v>
      </c>
      <c r="D108" s="2">
        <f t="shared" si="3"/>
        <v>1</v>
      </c>
      <c r="E108" t="s">
        <v>22</v>
      </c>
      <c r="F108" t="s">
        <v>23</v>
      </c>
      <c r="G108" t="s">
        <v>20</v>
      </c>
      <c r="H108" s="2">
        <v>17776</v>
      </c>
      <c r="I108" s="2">
        <v>6</v>
      </c>
      <c r="J108" s="2">
        <v>44072</v>
      </c>
      <c r="K108" s="2">
        <v>16094</v>
      </c>
      <c r="L108" s="2">
        <v>10</v>
      </c>
      <c r="M108" t="str">
        <f>IF(Revv_bike_sales_data[[#This Row],[delivery_days]]&lt;=7, "Yes", "No")</f>
        <v>No</v>
      </c>
      <c r="N108" t="s">
        <v>16</v>
      </c>
      <c r="O108" s="2">
        <v>27978</v>
      </c>
    </row>
    <row r="109" spans="1:15" x14ac:dyDescent="0.3">
      <c r="A109" s="2">
        <v>99</v>
      </c>
      <c r="B109" s="1">
        <v>44931.083333333336</v>
      </c>
      <c r="C109" s="1" t="str">
        <f t="shared" si="2"/>
        <v>01-2023</v>
      </c>
      <c r="D109" s="2">
        <f t="shared" si="3"/>
        <v>1</v>
      </c>
      <c r="E109" t="s">
        <v>22</v>
      </c>
      <c r="F109" t="s">
        <v>23</v>
      </c>
      <c r="G109" t="s">
        <v>21</v>
      </c>
      <c r="H109" s="2">
        <v>55139</v>
      </c>
      <c r="I109" s="2">
        <v>2</v>
      </c>
      <c r="J109" s="2">
        <v>68290</v>
      </c>
      <c r="K109" s="2">
        <v>26135</v>
      </c>
      <c r="L109" s="2">
        <v>5</v>
      </c>
      <c r="M109" t="str">
        <f>IF(Revv_bike_sales_data[[#This Row],[delivery_days]]&lt;=7, "Yes", "No")</f>
        <v>Yes</v>
      </c>
      <c r="N109" t="s">
        <v>24</v>
      </c>
      <c r="O109" s="2">
        <v>42155</v>
      </c>
    </row>
    <row r="110" spans="1:15" x14ac:dyDescent="0.3">
      <c r="A110" s="2">
        <v>100</v>
      </c>
      <c r="B110" s="1">
        <v>44931.125</v>
      </c>
      <c r="C110" s="1" t="str">
        <f t="shared" si="2"/>
        <v>01-2023</v>
      </c>
      <c r="D110" s="2">
        <f t="shared" si="3"/>
        <v>1</v>
      </c>
      <c r="E110" t="s">
        <v>25</v>
      </c>
      <c r="F110" t="s">
        <v>14</v>
      </c>
      <c r="G110" t="s">
        <v>21</v>
      </c>
      <c r="H110" s="2">
        <v>7810</v>
      </c>
      <c r="I110" s="2">
        <v>5</v>
      </c>
      <c r="J110" s="2">
        <v>110186</v>
      </c>
      <c r="K110" s="2">
        <v>94044</v>
      </c>
      <c r="L110" s="2">
        <v>14</v>
      </c>
      <c r="M110" t="str">
        <f>IF(Revv_bike_sales_data[[#This Row],[delivery_days]]&lt;=7, "Yes", "No")</f>
        <v>No</v>
      </c>
      <c r="N110" t="s">
        <v>16</v>
      </c>
      <c r="O110" s="2">
        <v>16142</v>
      </c>
    </row>
    <row r="111" spans="1:15" x14ac:dyDescent="0.3">
      <c r="A111" s="2">
        <v>101</v>
      </c>
      <c r="B111" s="1">
        <v>44931.166666666664</v>
      </c>
      <c r="C111" s="1" t="str">
        <f t="shared" si="2"/>
        <v>01-2023</v>
      </c>
      <c r="D111" s="2">
        <f t="shared" si="3"/>
        <v>1</v>
      </c>
      <c r="E111" t="s">
        <v>13</v>
      </c>
      <c r="F111" t="s">
        <v>14</v>
      </c>
      <c r="G111" t="s">
        <v>21</v>
      </c>
      <c r="H111" s="2">
        <v>35667</v>
      </c>
      <c r="I111" s="2">
        <v>4</v>
      </c>
      <c r="J111" s="2">
        <v>40115</v>
      </c>
      <c r="K111" s="2">
        <v>60113</v>
      </c>
      <c r="L111" s="2">
        <v>14</v>
      </c>
      <c r="M111" t="str">
        <f>IF(Revv_bike_sales_data[[#This Row],[delivery_days]]&lt;=7, "Yes", "No")</f>
        <v>No</v>
      </c>
      <c r="N111" t="s">
        <v>16</v>
      </c>
      <c r="O111" s="2">
        <v>-19998</v>
      </c>
    </row>
    <row r="112" spans="1:15" x14ac:dyDescent="0.3">
      <c r="A112" s="2">
        <v>102</v>
      </c>
      <c r="B112" s="1">
        <v>44931.208333333336</v>
      </c>
      <c r="C112" s="1" t="str">
        <f t="shared" si="2"/>
        <v>01-2023</v>
      </c>
      <c r="D112" s="2">
        <f t="shared" si="3"/>
        <v>1</v>
      </c>
      <c r="E112" t="s">
        <v>25</v>
      </c>
      <c r="F112" t="s">
        <v>23</v>
      </c>
      <c r="G112" t="s">
        <v>20</v>
      </c>
      <c r="H112" s="2">
        <v>85380</v>
      </c>
      <c r="I112" s="2">
        <v>9</v>
      </c>
      <c r="J112" s="2">
        <v>30149</v>
      </c>
      <c r="K112" s="2">
        <v>73791</v>
      </c>
      <c r="L112" s="2">
        <v>8</v>
      </c>
      <c r="M112" t="str">
        <f>IF(Revv_bike_sales_data[[#This Row],[delivery_days]]&lt;=7, "Yes", "No")</f>
        <v>No</v>
      </c>
      <c r="N112" t="s">
        <v>16</v>
      </c>
      <c r="O112" s="2">
        <v>-43642</v>
      </c>
    </row>
    <row r="113" spans="1:15" x14ac:dyDescent="0.3">
      <c r="A113" s="2">
        <v>103</v>
      </c>
      <c r="B113" s="1">
        <v>44931.25</v>
      </c>
      <c r="C113" s="1" t="str">
        <f t="shared" si="2"/>
        <v>01-2023</v>
      </c>
      <c r="D113" s="2">
        <f t="shared" si="3"/>
        <v>1</v>
      </c>
      <c r="E113" t="s">
        <v>13</v>
      </c>
      <c r="F113" t="s">
        <v>14</v>
      </c>
      <c r="G113" t="s">
        <v>21</v>
      </c>
      <c r="H113" s="2">
        <v>10891</v>
      </c>
      <c r="I113" s="2">
        <v>3</v>
      </c>
      <c r="J113" s="2">
        <v>66992</v>
      </c>
      <c r="K113" s="2">
        <v>24684</v>
      </c>
      <c r="L113" s="2">
        <v>8</v>
      </c>
      <c r="M113" t="str">
        <f>IF(Revv_bike_sales_data[[#This Row],[delivery_days]]&lt;=7, "Yes", "No")</f>
        <v>No</v>
      </c>
      <c r="N113" t="s">
        <v>16</v>
      </c>
      <c r="O113" s="2">
        <v>42308</v>
      </c>
    </row>
    <row r="114" spans="1:15" x14ac:dyDescent="0.3">
      <c r="A114" s="2">
        <v>104</v>
      </c>
      <c r="B114" s="1">
        <v>44931.291666666664</v>
      </c>
      <c r="C114" s="1" t="str">
        <f t="shared" si="2"/>
        <v>01-2023</v>
      </c>
      <c r="D114" s="2">
        <f t="shared" si="3"/>
        <v>1</v>
      </c>
      <c r="E114" t="s">
        <v>22</v>
      </c>
      <c r="F114" t="s">
        <v>14</v>
      </c>
      <c r="G114" t="s">
        <v>15</v>
      </c>
      <c r="H114" s="2">
        <v>51121</v>
      </c>
      <c r="I114" s="2">
        <v>0</v>
      </c>
      <c r="J114" s="2">
        <v>42716</v>
      </c>
      <c r="K114" s="2">
        <v>107783</v>
      </c>
      <c r="L114" s="2">
        <v>3</v>
      </c>
      <c r="M114" t="str">
        <f>IF(Revv_bike_sales_data[[#This Row],[delivery_days]]&lt;=7, "Yes", "No")</f>
        <v>Yes</v>
      </c>
      <c r="N114" t="s">
        <v>16</v>
      </c>
      <c r="O114" s="2">
        <v>-65067</v>
      </c>
    </row>
    <row r="115" spans="1:15" x14ac:dyDescent="0.3">
      <c r="A115" s="2">
        <v>105</v>
      </c>
      <c r="B115" s="1">
        <v>44931.333333333336</v>
      </c>
      <c r="C115" s="1" t="str">
        <f t="shared" si="2"/>
        <v>01-2023</v>
      </c>
      <c r="D115" s="2">
        <f t="shared" si="3"/>
        <v>1</v>
      </c>
      <c r="E115" t="s">
        <v>25</v>
      </c>
      <c r="F115" t="s">
        <v>14</v>
      </c>
      <c r="G115" t="s">
        <v>21</v>
      </c>
      <c r="H115" s="2">
        <v>11392</v>
      </c>
      <c r="I115" s="2">
        <v>6</v>
      </c>
      <c r="J115" s="2">
        <v>122724</v>
      </c>
      <c r="K115" s="2">
        <v>86727</v>
      </c>
      <c r="L115" s="2">
        <v>3</v>
      </c>
      <c r="M115" t="str">
        <f>IF(Revv_bike_sales_data[[#This Row],[delivery_days]]&lt;=7, "Yes", "No")</f>
        <v>Yes</v>
      </c>
      <c r="N115" t="s">
        <v>16</v>
      </c>
      <c r="O115" s="2">
        <v>35997</v>
      </c>
    </row>
    <row r="116" spans="1:15" x14ac:dyDescent="0.3">
      <c r="A116" s="2">
        <v>106</v>
      </c>
      <c r="B116" s="1">
        <v>44931.375</v>
      </c>
      <c r="C116" s="1" t="str">
        <f t="shared" si="2"/>
        <v>01-2023</v>
      </c>
      <c r="D116" s="2">
        <f t="shared" si="3"/>
        <v>1</v>
      </c>
      <c r="E116" t="s">
        <v>17</v>
      </c>
      <c r="F116" t="s">
        <v>14</v>
      </c>
      <c r="G116" t="s">
        <v>19</v>
      </c>
      <c r="H116" s="2">
        <v>77233</v>
      </c>
      <c r="I116" s="2">
        <v>7</v>
      </c>
      <c r="J116" s="2">
        <v>38621</v>
      </c>
      <c r="K116" s="2">
        <v>98378</v>
      </c>
      <c r="L116" s="2">
        <v>7</v>
      </c>
      <c r="M116" t="str">
        <f>IF(Revv_bike_sales_data[[#This Row],[delivery_days]]&lt;=7, "Yes", "No")</f>
        <v>Yes</v>
      </c>
      <c r="N116" t="s">
        <v>16</v>
      </c>
      <c r="O116" s="2">
        <v>-59757</v>
      </c>
    </row>
    <row r="117" spans="1:15" x14ac:dyDescent="0.3">
      <c r="A117" s="2">
        <v>107</v>
      </c>
      <c r="B117" s="1">
        <v>44931.416666666664</v>
      </c>
      <c r="C117" s="1" t="str">
        <f t="shared" si="2"/>
        <v>01-2023</v>
      </c>
      <c r="D117" s="2">
        <f t="shared" si="3"/>
        <v>1</v>
      </c>
      <c r="E117" t="s">
        <v>18</v>
      </c>
      <c r="F117" t="s">
        <v>14</v>
      </c>
      <c r="G117" t="s">
        <v>15</v>
      </c>
      <c r="H117" s="2">
        <v>79086</v>
      </c>
      <c r="I117" s="2">
        <v>1</v>
      </c>
      <c r="J117" s="2">
        <v>162892</v>
      </c>
      <c r="K117" s="2">
        <v>73552</v>
      </c>
      <c r="L117" s="2">
        <v>4</v>
      </c>
      <c r="M117" t="str">
        <f>IF(Revv_bike_sales_data[[#This Row],[delivery_days]]&lt;=7, "Yes", "No")</f>
        <v>Yes</v>
      </c>
      <c r="N117" t="s">
        <v>16</v>
      </c>
      <c r="O117" s="2">
        <v>89340</v>
      </c>
    </row>
    <row r="118" spans="1:15" x14ac:dyDescent="0.3">
      <c r="A118" s="2">
        <v>108</v>
      </c>
      <c r="B118" s="1">
        <v>44931.458333333336</v>
      </c>
      <c r="C118" s="1" t="str">
        <f t="shared" si="2"/>
        <v>01-2023</v>
      </c>
      <c r="D118" s="2">
        <f t="shared" si="3"/>
        <v>1</v>
      </c>
      <c r="E118" t="s">
        <v>13</v>
      </c>
      <c r="F118" t="s">
        <v>23</v>
      </c>
      <c r="G118" t="s">
        <v>20</v>
      </c>
      <c r="H118" s="2">
        <v>36642</v>
      </c>
      <c r="I118" s="2">
        <v>6</v>
      </c>
      <c r="J118" s="2">
        <v>138065</v>
      </c>
      <c r="K118" s="2">
        <v>23046</v>
      </c>
      <c r="L118" s="2">
        <v>6</v>
      </c>
      <c r="M118" t="str">
        <f>IF(Revv_bike_sales_data[[#This Row],[delivery_days]]&lt;=7, "Yes", "No")</f>
        <v>Yes</v>
      </c>
      <c r="N118" t="s">
        <v>16</v>
      </c>
      <c r="O118" s="2">
        <v>115019</v>
      </c>
    </row>
    <row r="119" spans="1:15" x14ac:dyDescent="0.3">
      <c r="A119" s="2">
        <v>109</v>
      </c>
      <c r="B119" s="1">
        <v>44931.5</v>
      </c>
      <c r="C119" s="1" t="str">
        <f t="shared" si="2"/>
        <v>01-2023</v>
      </c>
      <c r="D119" s="2">
        <f t="shared" si="3"/>
        <v>1</v>
      </c>
      <c r="E119" t="s">
        <v>18</v>
      </c>
      <c r="F119" t="s">
        <v>23</v>
      </c>
      <c r="G119" t="s">
        <v>21</v>
      </c>
      <c r="H119" s="2">
        <v>46179</v>
      </c>
      <c r="I119" s="2">
        <v>5</v>
      </c>
      <c r="J119" s="2">
        <v>55399</v>
      </c>
      <c r="K119" s="2">
        <v>19934</v>
      </c>
      <c r="L119" s="2">
        <v>9</v>
      </c>
      <c r="M119" t="str">
        <f>IF(Revv_bike_sales_data[[#This Row],[delivery_days]]&lt;=7, "Yes", "No")</f>
        <v>No</v>
      </c>
      <c r="N119" t="s">
        <v>16</v>
      </c>
      <c r="O119" s="2">
        <v>35465</v>
      </c>
    </row>
    <row r="120" spans="1:15" x14ac:dyDescent="0.3">
      <c r="A120" s="2">
        <v>110</v>
      </c>
      <c r="B120" s="1">
        <v>44931.541666666664</v>
      </c>
      <c r="C120" s="1" t="str">
        <f t="shared" si="2"/>
        <v>01-2023</v>
      </c>
      <c r="D120" s="2">
        <f t="shared" si="3"/>
        <v>1</v>
      </c>
      <c r="E120" t="s">
        <v>18</v>
      </c>
      <c r="F120" t="s">
        <v>14</v>
      </c>
      <c r="G120" t="s">
        <v>19</v>
      </c>
      <c r="H120" s="2">
        <v>42115</v>
      </c>
      <c r="I120" s="2">
        <v>4</v>
      </c>
      <c r="J120" s="2">
        <v>144374</v>
      </c>
      <c r="K120" s="2">
        <v>74556</v>
      </c>
      <c r="L120" s="2">
        <v>10</v>
      </c>
      <c r="M120" t="str">
        <f>IF(Revv_bike_sales_data[[#This Row],[delivery_days]]&lt;=7, "Yes", "No")</f>
        <v>No</v>
      </c>
      <c r="N120" t="s">
        <v>16</v>
      </c>
      <c r="O120" s="2">
        <v>69818</v>
      </c>
    </row>
    <row r="121" spans="1:15" x14ac:dyDescent="0.3">
      <c r="A121" s="2">
        <v>111</v>
      </c>
      <c r="B121" s="1">
        <v>44931.583333333336</v>
      </c>
      <c r="C121" s="1" t="str">
        <f t="shared" si="2"/>
        <v>01-2023</v>
      </c>
      <c r="D121" s="2">
        <f t="shared" si="3"/>
        <v>1</v>
      </c>
      <c r="E121" t="s">
        <v>25</v>
      </c>
      <c r="F121" t="s">
        <v>14</v>
      </c>
      <c r="G121" t="s">
        <v>20</v>
      </c>
      <c r="H121" s="2">
        <v>48053</v>
      </c>
      <c r="I121" s="2">
        <v>3</v>
      </c>
      <c r="J121" s="2">
        <v>170074</v>
      </c>
      <c r="K121" s="2">
        <v>61806</v>
      </c>
      <c r="L121" s="2">
        <v>2</v>
      </c>
      <c r="M121" t="str">
        <f>IF(Revv_bike_sales_data[[#This Row],[delivery_days]]&lt;=7, "Yes", "No")</f>
        <v>Yes</v>
      </c>
      <c r="N121" t="s">
        <v>16</v>
      </c>
      <c r="O121" s="2">
        <v>108268</v>
      </c>
    </row>
    <row r="122" spans="1:15" x14ac:dyDescent="0.3">
      <c r="A122" s="2">
        <v>112</v>
      </c>
      <c r="B122" s="1">
        <v>44931.625</v>
      </c>
      <c r="C122" s="1" t="str">
        <f t="shared" si="2"/>
        <v>01-2023</v>
      </c>
      <c r="D122" s="2">
        <f t="shared" si="3"/>
        <v>1</v>
      </c>
      <c r="E122" t="s">
        <v>18</v>
      </c>
      <c r="F122" t="s">
        <v>23</v>
      </c>
      <c r="G122" t="s">
        <v>20</v>
      </c>
      <c r="H122" s="2">
        <v>79571</v>
      </c>
      <c r="I122" s="2">
        <v>1</v>
      </c>
      <c r="J122" s="2">
        <v>68098</v>
      </c>
      <c r="K122" s="2">
        <v>16354</v>
      </c>
      <c r="L122" s="2">
        <v>2</v>
      </c>
      <c r="M122" t="str">
        <f>IF(Revv_bike_sales_data[[#This Row],[delivery_days]]&lt;=7, "Yes", "No")</f>
        <v>Yes</v>
      </c>
      <c r="N122" t="s">
        <v>24</v>
      </c>
      <c r="O122" s="2">
        <v>51744</v>
      </c>
    </row>
    <row r="123" spans="1:15" x14ac:dyDescent="0.3">
      <c r="A123" s="2">
        <v>113</v>
      </c>
      <c r="B123" s="1">
        <v>44931.666666666664</v>
      </c>
      <c r="C123" s="1" t="str">
        <f t="shared" si="2"/>
        <v>01-2023</v>
      </c>
      <c r="D123" s="2">
        <f t="shared" si="3"/>
        <v>1</v>
      </c>
      <c r="E123" t="s">
        <v>17</v>
      </c>
      <c r="F123" t="s">
        <v>14</v>
      </c>
      <c r="G123" t="s">
        <v>15</v>
      </c>
      <c r="H123" s="2">
        <v>41502</v>
      </c>
      <c r="I123" s="2">
        <v>9</v>
      </c>
      <c r="J123" s="2">
        <v>70511</v>
      </c>
      <c r="K123" s="2">
        <v>119777</v>
      </c>
      <c r="L123" s="2">
        <v>6</v>
      </c>
      <c r="M123" t="str">
        <f>IF(Revv_bike_sales_data[[#This Row],[delivery_days]]&lt;=7, "Yes", "No")</f>
        <v>Yes</v>
      </c>
      <c r="N123" t="s">
        <v>16</v>
      </c>
      <c r="O123" s="2">
        <v>-49266</v>
      </c>
    </row>
    <row r="124" spans="1:15" x14ac:dyDescent="0.3">
      <c r="A124" s="2">
        <v>114</v>
      </c>
      <c r="B124" s="1">
        <v>44931.708333333336</v>
      </c>
      <c r="C124" s="1" t="str">
        <f t="shared" si="2"/>
        <v>01-2023</v>
      </c>
      <c r="D124" s="2">
        <f t="shared" si="3"/>
        <v>1</v>
      </c>
      <c r="E124" t="s">
        <v>18</v>
      </c>
      <c r="F124" t="s">
        <v>23</v>
      </c>
      <c r="G124" t="s">
        <v>20</v>
      </c>
      <c r="H124" s="2">
        <v>71158</v>
      </c>
      <c r="I124" s="2">
        <v>5</v>
      </c>
      <c r="J124" s="2">
        <v>78243</v>
      </c>
      <c r="K124" s="2">
        <v>110352</v>
      </c>
      <c r="L124" s="2">
        <v>3</v>
      </c>
      <c r="M124" t="str">
        <f>IF(Revv_bike_sales_data[[#This Row],[delivery_days]]&lt;=7, "Yes", "No")</f>
        <v>Yes</v>
      </c>
      <c r="N124" t="s">
        <v>16</v>
      </c>
      <c r="O124" s="2">
        <v>-32109</v>
      </c>
    </row>
    <row r="125" spans="1:15" x14ac:dyDescent="0.3">
      <c r="A125" s="2">
        <v>115</v>
      </c>
      <c r="B125" s="1">
        <v>44931.75</v>
      </c>
      <c r="C125" s="1" t="str">
        <f t="shared" si="2"/>
        <v>01-2023</v>
      </c>
      <c r="D125" s="2">
        <f t="shared" si="3"/>
        <v>1</v>
      </c>
      <c r="E125" t="s">
        <v>25</v>
      </c>
      <c r="F125" t="s">
        <v>14</v>
      </c>
      <c r="G125" t="s">
        <v>20</v>
      </c>
      <c r="H125" s="2">
        <v>10352</v>
      </c>
      <c r="I125" s="2">
        <v>4</v>
      </c>
      <c r="J125" s="2">
        <v>140131</v>
      </c>
      <c r="K125" s="2">
        <v>138092</v>
      </c>
      <c r="L125" s="2">
        <v>1</v>
      </c>
      <c r="M125" t="str">
        <f>IF(Revv_bike_sales_data[[#This Row],[delivery_days]]&lt;=7, "Yes", "No")</f>
        <v>Yes</v>
      </c>
      <c r="N125" t="s">
        <v>16</v>
      </c>
      <c r="O125" s="2">
        <v>2039</v>
      </c>
    </row>
    <row r="126" spans="1:15" x14ac:dyDescent="0.3">
      <c r="A126" s="2">
        <v>116</v>
      </c>
      <c r="B126" s="1">
        <v>44931.791666666664</v>
      </c>
      <c r="C126" s="1" t="str">
        <f t="shared" si="2"/>
        <v>01-2023</v>
      </c>
      <c r="D126" s="2">
        <f t="shared" si="3"/>
        <v>1</v>
      </c>
      <c r="E126" t="s">
        <v>17</v>
      </c>
      <c r="F126" t="s">
        <v>14</v>
      </c>
      <c r="G126" t="s">
        <v>20</v>
      </c>
      <c r="H126" s="2">
        <v>5887</v>
      </c>
      <c r="I126" s="2">
        <v>1</v>
      </c>
      <c r="J126" s="2">
        <v>53750</v>
      </c>
      <c r="K126" s="2">
        <v>68046</v>
      </c>
      <c r="L126" s="2">
        <v>2</v>
      </c>
      <c r="M126" t="str">
        <f>IF(Revv_bike_sales_data[[#This Row],[delivery_days]]&lt;=7, "Yes", "No")</f>
        <v>Yes</v>
      </c>
      <c r="N126" t="s">
        <v>16</v>
      </c>
      <c r="O126" s="2">
        <v>-14296</v>
      </c>
    </row>
    <row r="127" spans="1:15" x14ac:dyDescent="0.3">
      <c r="A127" s="2">
        <v>117</v>
      </c>
      <c r="B127" s="1">
        <v>44931.833333333336</v>
      </c>
      <c r="C127" s="1" t="str">
        <f t="shared" si="2"/>
        <v>01-2023</v>
      </c>
      <c r="D127" s="2">
        <f t="shared" si="3"/>
        <v>1</v>
      </c>
      <c r="E127" t="s">
        <v>22</v>
      </c>
      <c r="F127" t="s">
        <v>14</v>
      </c>
      <c r="G127" t="s">
        <v>20</v>
      </c>
      <c r="H127" s="2">
        <v>97795</v>
      </c>
      <c r="I127" s="2">
        <v>9</v>
      </c>
      <c r="J127" s="2">
        <v>173382</v>
      </c>
      <c r="K127" s="2">
        <v>126098</v>
      </c>
      <c r="L127" s="2">
        <v>14</v>
      </c>
      <c r="M127" t="str">
        <f>IF(Revv_bike_sales_data[[#This Row],[delivery_days]]&lt;=7, "Yes", "No")</f>
        <v>No</v>
      </c>
      <c r="N127" t="s">
        <v>16</v>
      </c>
      <c r="O127" s="2">
        <v>47284</v>
      </c>
    </row>
    <row r="128" spans="1:15" x14ac:dyDescent="0.3">
      <c r="A128" s="2">
        <v>118</v>
      </c>
      <c r="B128" s="1">
        <v>44931.875</v>
      </c>
      <c r="C128" s="1" t="str">
        <f t="shared" si="2"/>
        <v>01-2023</v>
      </c>
      <c r="D128" s="2">
        <f t="shared" si="3"/>
        <v>1</v>
      </c>
      <c r="E128" t="s">
        <v>18</v>
      </c>
      <c r="F128" t="s">
        <v>14</v>
      </c>
      <c r="G128" t="s">
        <v>21</v>
      </c>
      <c r="H128" s="2">
        <v>40494</v>
      </c>
      <c r="I128" s="2">
        <v>6</v>
      </c>
      <c r="J128" s="2">
        <v>80398</v>
      </c>
      <c r="K128" s="2">
        <v>80064</v>
      </c>
      <c r="L128" s="2">
        <v>13</v>
      </c>
      <c r="M128" t="str">
        <f>IF(Revv_bike_sales_data[[#This Row],[delivery_days]]&lt;=7, "Yes", "No")</f>
        <v>No</v>
      </c>
      <c r="N128" t="s">
        <v>16</v>
      </c>
      <c r="O128" s="2">
        <v>334</v>
      </c>
    </row>
    <row r="129" spans="1:15" x14ac:dyDescent="0.3">
      <c r="A129" s="2">
        <v>119</v>
      </c>
      <c r="B129" s="1">
        <v>44931.916666666664</v>
      </c>
      <c r="C129" s="1" t="str">
        <f t="shared" si="2"/>
        <v>01-2023</v>
      </c>
      <c r="D129" s="2">
        <f t="shared" si="3"/>
        <v>1</v>
      </c>
      <c r="E129" t="s">
        <v>25</v>
      </c>
      <c r="F129" t="s">
        <v>14</v>
      </c>
      <c r="G129" t="s">
        <v>21</v>
      </c>
      <c r="H129" s="2">
        <v>34225</v>
      </c>
      <c r="I129" s="2">
        <v>5</v>
      </c>
      <c r="J129" s="2">
        <v>69345</v>
      </c>
      <c r="K129" s="2">
        <v>72184</v>
      </c>
      <c r="L129" s="2">
        <v>7</v>
      </c>
      <c r="M129" t="str">
        <f>IF(Revv_bike_sales_data[[#This Row],[delivery_days]]&lt;=7, "Yes", "No")</f>
        <v>Yes</v>
      </c>
      <c r="N129" t="s">
        <v>16</v>
      </c>
      <c r="O129" s="2">
        <v>-2839</v>
      </c>
    </row>
    <row r="130" spans="1:15" x14ac:dyDescent="0.3">
      <c r="A130" s="2">
        <v>120</v>
      </c>
      <c r="B130" s="1">
        <v>44931.958333333336</v>
      </c>
      <c r="C130" s="1" t="str">
        <f t="shared" si="2"/>
        <v>01-2023</v>
      </c>
      <c r="D130" s="2">
        <f t="shared" si="3"/>
        <v>1</v>
      </c>
      <c r="E130" t="s">
        <v>22</v>
      </c>
      <c r="F130" t="s">
        <v>14</v>
      </c>
      <c r="G130" t="s">
        <v>21</v>
      </c>
      <c r="H130" s="2">
        <v>73182</v>
      </c>
      <c r="I130" s="2">
        <v>8</v>
      </c>
      <c r="J130" s="2">
        <v>118430</v>
      </c>
      <c r="K130" s="2">
        <v>17963</v>
      </c>
      <c r="L130" s="2">
        <v>4</v>
      </c>
      <c r="M130" t="str">
        <f>IF(Revv_bike_sales_data[[#This Row],[delivery_days]]&lt;=7, "Yes", "No")</f>
        <v>Yes</v>
      </c>
      <c r="N130" t="s">
        <v>16</v>
      </c>
      <c r="O130" s="2">
        <v>100467</v>
      </c>
    </row>
    <row r="131" spans="1:15" x14ac:dyDescent="0.3">
      <c r="A131" s="2">
        <v>121</v>
      </c>
      <c r="B131" s="1">
        <v>44932</v>
      </c>
      <c r="C131" s="1" t="str">
        <f t="shared" si="2"/>
        <v>01-2023</v>
      </c>
      <c r="D131" s="2">
        <f t="shared" si="3"/>
        <v>1</v>
      </c>
      <c r="E131" t="s">
        <v>22</v>
      </c>
      <c r="F131" t="s">
        <v>14</v>
      </c>
      <c r="G131" t="s">
        <v>21</v>
      </c>
      <c r="H131" s="2">
        <v>1060</v>
      </c>
      <c r="I131" s="2">
        <v>9</v>
      </c>
      <c r="J131" s="2">
        <v>139921</v>
      </c>
      <c r="K131" s="2">
        <v>42424</v>
      </c>
      <c r="L131" s="2">
        <v>12</v>
      </c>
      <c r="M131" t="str">
        <f>IF(Revv_bike_sales_data[[#This Row],[delivery_days]]&lt;=7, "Yes", "No")</f>
        <v>No</v>
      </c>
      <c r="N131" t="s">
        <v>16</v>
      </c>
      <c r="O131" s="2">
        <v>97497</v>
      </c>
    </row>
    <row r="132" spans="1:15" x14ac:dyDescent="0.3">
      <c r="A132" s="2">
        <v>122</v>
      </c>
      <c r="B132" s="1">
        <v>44932.041666666664</v>
      </c>
      <c r="C132" s="1" t="str">
        <f t="shared" si="2"/>
        <v>01-2023</v>
      </c>
      <c r="D132" s="2">
        <f t="shared" si="3"/>
        <v>1</v>
      </c>
      <c r="E132" t="s">
        <v>13</v>
      </c>
      <c r="F132" t="s">
        <v>14</v>
      </c>
      <c r="G132" t="s">
        <v>19</v>
      </c>
      <c r="H132" s="2">
        <v>57065</v>
      </c>
      <c r="I132" s="2">
        <v>4</v>
      </c>
      <c r="J132" s="2">
        <v>116729</v>
      </c>
      <c r="K132" s="2">
        <v>95039</v>
      </c>
      <c r="L132" s="2">
        <v>2</v>
      </c>
      <c r="M132" t="str">
        <f>IF(Revv_bike_sales_data[[#This Row],[delivery_days]]&lt;=7, "Yes", "No")</f>
        <v>Yes</v>
      </c>
      <c r="N132" t="s">
        <v>16</v>
      </c>
      <c r="O132" s="2">
        <v>21690</v>
      </c>
    </row>
    <row r="133" spans="1:15" x14ac:dyDescent="0.3">
      <c r="A133" s="2">
        <v>123</v>
      </c>
      <c r="B133" s="1">
        <v>44932.083333333336</v>
      </c>
      <c r="C133" s="1" t="str">
        <f t="shared" si="2"/>
        <v>01-2023</v>
      </c>
      <c r="D133" s="2">
        <f t="shared" si="3"/>
        <v>1</v>
      </c>
      <c r="E133" t="s">
        <v>17</v>
      </c>
      <c r="F133" t="s">
        <v>14</v>
      </c>
      <c r="G133" t="s">
        <v>21</v>
      </c>
      <c r="H133" s="2">
        <v>1812</v>
      </c>
      <c r="I133" s="2">
        <v>8</v>
      </c>
      <c r="J133" s="2">
        <v>76843</v>
      </c>
      <c r="K133" s="2">
        <v>18042</v>
      </c>
      <c r="L133" s="2">
        <v>11</v>
      </c>
      <c r="M133" t="str">
        <f>IF(Revv_bike_sales_data[[#This Row],[delivery_days]]&lt;=7, "Yes", "No")</f>
        <v>No</v>
      </c>
      <c r="N133" t="s">
        <v>16</v>
      </c>
      <c r="O133" s="2">
        <v>58801</v>
      </c>
    </row>
    <row r="134" spans="1:15" x14ac:dyDescent="0.3">
      <c r="A134" s="2">
        <v>124</v>
      </c>
      <c r="B134" s="1">
        <v>44932.125</v>
      </c>
      <c r="C134" s="1" t="str">
        <f t="shared" si="2"/>
        <v>01-2023</v>
      </c>
      <c r="D134" s="2">
        <f t="shared" si="3"/>
        <v>1</v>
      </c>
      <c r="E134" t="s">
        <v>18</v>
      </c>
      <c r="F134" t="s">
        <v>23</v>
      </c>
      <c r="G134" t="s">
        <v>20</v>
      </c>
      <c r="H134" s="2">
        <v>18705</v>
      </c>
      <c r="I134" s="2">
        <v>8</v>
      </c>
      <c r="J134" s="2">
        <v>166294</v>
      </c>
      <c r="K134" s="2">
        <v>110777</v>
      </c>
      <c r="L134" s="2">
        <v>12</v>
      </c>
      <c r="M134" t="str">
        <f>IF(Revv_bike_sales_data[[#This Row],[delivery_days]]&lt;=7, "Yes", "No")</f>
        <v>No</v>
      </c>
      <c r="N134" t="s">
        <v>16</v>
      </c>
      <c r="O134" s="2">
        <v>55517</v>
      </c>
    </row>
    <row r="135" spans="1:15" x14ac:dyDescent="0.3">
      <c r="A135" s="2">
        <v>125</v>
      </c>
      <c r="B135" s="1">
        <v>44932.166666666664</v>
      </c>
      <c r="C135" s="1" t="str">
        <f t="shared" si="2"/>
        <v>01-2023</v>
      </c>
      <c r="D135" s="2">
        <f t="shared" si="3"/>
        <v>1</v>
      </c>
      <c r="E135" t="s">
        <v>25</v>
      </c>
      <c r="F135" t="s">
        <v>23</v>
      </c>
      <c r="G135" t="s">
        <v>21</v>
      </c>
      <c r="H135" s="2">
        <v>12095</v>
      </c>
      <c r="I135" s="2">
        <v>0</v>
      </c>
      <c r="J135" s="2">
        <v>156458</v>
      </c>
      <c r="K135" s="2">
        <v>120277</v>
      </c>
      <c r="L135" s="2">
        <v>12</v>
      </c>
      <c r="M135" t="str">
        <f>IF(Revv_bike_sales_data[[#This Row],[delivery_days]]&lt;=7, "Yes", "No")</f>
        <v>No</v>
      </c>
      <c r="N135" t="s">
        <v>16</v>
      </c>
      <c r="O135" s="2">
        <v>36181</v>
      </c>
    </row>
    <row r="136" spans="1:15" x14ac:dyDescent="0.3">
      <c r="A136" s="2">
        <v>126</v>
      </c>
      <c r="B136" s="1">
        <v>44932.208333333336</v>
      </c>
      <c r="C136" s="1" t="str">
        <f t="shared" si="2"/>
        <v>01-2023</v>
      </c>
      <c r="D136" s="2">
        <f t="shared" si="3"/>
        <v>1</v>
      </c>
      <c r="E136" t="s">
        <v>13</v>
      </c>
      <c r="F136" t="s">
        <v>14</v>
      </c>
      <c r="G136" t="s">
        <v>21</v>
      </c>
      <c r="H136" s="2">
        <v>88066</v>
      </c>
      <c r="I136" s="2">
        <v>4</v>
      </c>
      <c r="J136" s="2">
        <v>89334</v>
      </c>
      <c r="K136" s="2">
        <v>22139</v>
      </c>
      <c r="L136" s="2">
        <v>8</v>
      </c>
      <c r="M136" t="str">
        <f>IF(Revv_bike_sales_data[[#This Row],[delivery_days]]&lt;=7, "Yes", "No")</f>
        <v>No</v>
      </c>
      <c r="N136" t="s">
        <v>16</v>
      </c>
      <c r="O136" s="2">
        <v>67195</v>
      </c>
    </row>
    <row r="137" spans="1:15" x14ac:dyDescent="0.3">
      <c r="A137" s="2">
        <v>127</v>
      </c>
      <c r="B137" s="1">
        <v>44932.25</v>
      </c>
      <c r="C137" s="1" t="str">
        <f t="shared" si="2"/>
        <v>01-2023</v>
      </c>
      <c r="D137" s="2">
        <f t="shared" si="3"/>
        <v>1</v>
      </c>
      <c r="E137" t="s">
        <v>17</v>
      </c>
      <c r="F137" t="s">
        <v>14</v>
      </c>
      <c r="G137" t="s">
        <v>15</v>
      </c>
      <c r="H137" s="2">
        <v>21829</v>
      </c>
      <c r="I137" s="2">
        <v>8</v>
      </c>
      <c r="J137" s="2">
        <v>92170</v>
      </c>
      <c r="K137" s="2">
        <v>26226</v>
      </c>
      <c r="L137" s="2">
        <v>4</v>
      </c>
      <c r="M137" t="str">
        <f>IF(Revv_bike_sales_data[[#This Row],[delivery_days]]&lt;=7, "Yes", "No")</f>
        <v>Yes</v>
      </c>
      <c r="N137" t="s">
        <v>16</v>
      </c>
      <c r="O137" s="2">
        <v>65944</v>
      </c>
    </row>
    <row r="138" spans="1:15" x14ac:dyDescent="0.3">
      <c r="A138" s="2">
        <v>128</v>
      </c>
      <c r="B138" s="1">
        <v>44932.291666666664</v>
      </c>
      <c r="C138" s="1" t="str">
        <f t="shared" si="2"/>
        <v>01-2023</v>
      </c>
      <c r="D138" s="2">
        <f t="shared" si="3"/>
        <v>1</v>
      </c>
      <c r="E138" t="s">
        <v>13</v>
      </c>
      <c r="F138" t="s">
        <v>14</v>
      </c>
      <c r="G138" t="s">
        <v>20</v>
      </c>
      <c r="H138" s="2">
        <v>68687</v>
      </c>
      <c r="I138" s="2">
        <v>6</v>
      </c>
      <c r="J138" s="2">
        <v>65878</v>
      </c>
      <c r="K138" s="2">
        <v>120234</v>
      </c>
      <c r="L138" s="2">
        <v>4</v>
      </c>
      <c r="M138" t="str">
        <f>IF(Revv_bike_sales_data[[#This Row],[delivery_days]]&lt;=7, "Yes", "No")</f>
        <v>Yes</v>
      </c>
      <c r="N138" t="s">
        <v>16</v>
      </c>
      <c r="O138" s="2">
        <v>-54356</v>
      </c>
    </row>
    <row r="139" spans="1:15" x14ac:dyDescent="0.3">
      <c r="A139" s="2">
        <v>129</v>
      </c>
      <c r="B139" s="1">
        <v>44932.333333333336</v>
      </c>
      <c r="C139" s="1" t="str">
        <f t="shared" ref="C139:C202" si="4">TEXT(B139,"mm-yyyy")</f>
        <v>01-2023</v>
      </c>
      <c r="D139" s="2">
        <f t="shared" ref="D139:D202" si="5">WEEKNUM(B139)</f>
        <v>1</v>
      </c>
      <c r="E139" t="s">
        <v>17</v>
      </c>
      <c r="F139" t="s">
        <v>14</v>
      </c>
      <c r="G139" t="s">
        <v>21</v>
      </c>
      <c r="H139" s="2">
        <v>76042</v>
      </c>
      <c r="I139" s="2">
        <v>5</v>
      </c>
      <c r="J139" s="2">
        <v>178024</v>
      </c>
      <c r="K139" s="2">
        <v>95298</v>
      </c>
      <c r="L139" s="2">
        <v>2</v>
      </c>
      <c r="M139" t="str">
        <f>IF(Revv_bike_sales_data[[#This Row],[delivery_days]]&lt;=7, "Yes", "No")</f>
        <v>Yes</v>
      </c>
      <c r="N139" t="s">
        <v>16</v>
      </c>
      <c r="O139" s="2">
        <v>82726</v>
      </c>
    </row>
    <row r="140" spans="1:15" x14ac:dyDescent="0.3">
      <c r="A140" s="2">
        <v>130</v>
      </c>
      <c r="B140" s="1">
        <v>44932.375</v>
      </c>
      <c r="C140" s="1" t="str">
        <f t="shared" si="4"/>
        <v>01-2023</v>
      </c>
      <c r="D140" s="2">
        <f t="shared" si="5"/>
        <v>1</v>
      </c>
      <c r="E140" t="s">
        <v>17</v>
      </c>
      <c r="F140" t="s">
        <v>23</v>
      </c>
      <c r="G140" t="s">
        <v>21</v>
      </c>
      <c r="H140" s="2">
        <v>36145</v>
      </c>
      <c r="I140" s="2">
        <v>5</v>
      </c>
      <c r="J140" s="2">
        <v>115352</v>
      </c>
      <c r="K140" s="2">
        <v>98652</v>
      </c>
      <c r="L140" s="2">
        <v>14</v>
      </c>
      <c r="M140" t="str">
        <f>IF(Revv_bike_sales_data[[#This Row],[delivery_days]]&lt;=7, "Yes", "No")</f>
        <v>No</v>
      </c>
      <c r="N140" t="s">
        <v>16</v>
      </c>
      <c r="O140" s="2">
        <v>16700</v>
      </c>
    </row>
    <row r="141" spans="1:15" x14ac:dyDescent="0.3">
      <c r="A141" s="2">
        <v>131</v>
      </c>
      <c r="B141" s="1">
        <v>44932.416666666664</v>
      </c>
      <c r="C141" s="1" t="str">
        <f t="shared" si="4"/>
        <v>01-2023</v>
      </c>
      <c r="D141" s="2">
        <f t="shared" si="5"/>
        <v>1</v>
      </c>
      <c r="E141" t="s">
        <v>18</v>
      </c>
      <c r="F141" t="s">
        <v>14</v>
      </c>
      <c r="G141" t="s">
        <v>21</v>
      </c>
      <c r="H141" s="2">
        <v>88002</v>
      </c>
      <c r="I141" s="2">
        <v>6</v>
      </c>
      <c r="J141" s="2">
        <v>177601</v>
      </c>
      <c r="K141" s="2">
        <v>137558</v>
      </c>
      <c r="L141" s="2">
        <v>1</v>
      </c>
      <c r="M141" t="str">
        <f>IF(Revv_bike_sales_data[[#This Row],[delivery_days]]&lt;=7, "Yes", "No")</f>
        <v>Yes</v>
      </c>
      <c r="N141" t="s">
        <v>16</v>
      </c>
      <c r="O141" s="2">
        <v>40043</v>
      </c>
    </row>
    <row r="142" spans="1:15" x14ac:dyDescent="0.3">
      <c r="A142" s="2">
        <v>132</v>
      </c>
      <c r="B142" s="1">
        <v>44932.458333333336</v>
      </c>
      <c r="C142" s="1" t="str">
        <f t="shared" si="4"/>
        <v>01-2023</v>
      </c>
      <c r="D142" s="2">
        <f t="shared" si="5"/>
        <v>1</v>
      </c>
      <c r="E142" t="s">
        <v>17</v>
      </c>
      <c r="F142" t="s">
        <v>14</v>
      </c>
      <c r="G142" t="s">
        <v>19</v>
      </c>
      <c r="H142" s="2">
        <v>93882</v>
      </c>
      <c r="I142" s="2">
        <v>0</v>
      </c>
      <c r="J142" s="2">
        <v>43383</v>
      </c>
      <c r="K142" s="2">
        <v>53108</v>
      </c>
      <c r="L142" s="2">
        <v>1</v>
      </c>
      <c r="M142" t="str">
        <f>IF(Revv_bike_sales_data[[#This Row],[delivery_days]]&lt;=7, "Yes", "No")</f>
        <v>Yes</v>
      </c>
      <c r="N142" t="s">
        <v>24</v>
      </c>
      <c r="O142" s="2">
        <v>-9725</v>
      </c>
    </row>
    <row r="143" spans="1:15" x14ac:dyDescent="0.3">
      <c r="A143" s="2">
        <v>133</v>
      </c>
      <c r="B143" s="1">
        <v>44932.5</v>
      </c>
      <c r="C143" s="1" t="str">
        <f t="shared" si="4"/>
        <v>01-2023</v>
      </c>
      <c r="D143" s="2">
        <f t="shared" si="5"/>
        <v>1</v>
      </c>
      <c r="E143" t="s">
        <v>13</v>
      </c>
      <c r="F143" t="s">
        <v>23</v>
      </c>
      <c r="G143" t="s">
        <v>21</v>
      </c>
      <c r="H143" s="2">
        <v>87810</v>
      </c>
      <c r="I143" s="2">
        <v>3</v>
      </c>
      <c r="J143" s="2">
        <v>160973</v>
      </c>
      <c r="K143" s="2">
        <v>85647</v>
      </c>
      <c r="L143" s="2">
        <v>3</v>
      </c>
      <c r="M143" t="str">
        <f>IF(Revv_bike_sales_data[[#This Row],[delivery_days]]&lt;=7, "Yes", "No")</f>
        <v>Yes</v>
      </c>
      <c r="N143" t="s">
        <v>16</v>
      </c>
      <c r="O143" s="2">
        <v>75326</v>
      </c>
    </row>
    <row r="144" spans="1:15" x14ac:dyDescent="0.3">
      <c r="A144" s="2">
        <v>134</v>
      </c>
      <c r="B144" s="1">
        <v>44932.541666666664</v>
      </c>
      <c r="C144" s="1" t="str">
        <f t="shared" si="4"/>
        <v>01-2023</v>
      </c>
      <c r="D144" s="2">
        <f t="shared" si="5"/>
        <v>1</v>
      </c>
      <c r="E144" t="s">
        <v>17</v>
      </c>
      <c r="F144" t="s">
        <v>14</v>
      </c>
      <c r="G144" t="s">
        <v>15</v>
      </c>
      <c r="H144" s="2">
        <v>70119</v>
      </c>
      <c r="I144" s="2">
        <v>0</v>
      </c>
      <c r="J144" s="2">
        <v>67889</v>
      </c>
      <c r="K144" s="2">
        <v>83617</v>
      </c>
      <c r="L144" s="2">
        <v>6</v>
      </c>
      <c r="M144" t="str">
        <f>IF(Revv_bike_sales_data[[#This Row],[delivery_days]]&lt;=7, "Yes", "No")</f>
        <v>Yes</v>
      </c>
      <c r="N144" t="s">
        <v>16</v>
      </c>
      <c r="O144" s="2">
        <v>-15728</v>
      </c>
    </row>
    <row r="145" spans="1:15" x14ac:dyDescent="0.3">
      <c r="A145" s="2">
        <v>135</v>
      </c>
      <c r="B145" s="1">
        <v>44932.583333333336</v>
      </c>
      <c r="C145" s="1" t="str">
        <f t="shared" si="4"/>
        <v>01-2023</v>
      </c>
      <c r="D145" s="2">
        <f t="shared" si="5"/>
        <v>1</v>
      </c>
      <c r="E145" t="s">
        <v>18</v>
      </c>
      <c r="F145" t="s">
        <v>14</v>
      </c>
      <c r="G145" t="s">
        <v>20</v>
      </c>
      <c r="H145" s="2">
        <v>34013</v>
      </c>
      <c r="I145" s="2">
        <v>5</v>
      </c>
      <c r="J145" s="2">
        <v>39633</v>
      </c>
      <c r="K145" s="2">
        <v>44815</v>
      </c>
      <c r="L145" s="2">
        <v>7</v>
      </c>
      <c r="M145" t="str">
        <f>IF(Revv_bike_sales_data[[#This Row],[delivery_days]]&lt;=7, "Yes", "No")</f>
        <v>Yes</v>
      </c>
      <c r="N145" t="s">
        <v>16</v>
      </c>
      <c r="O145" s="2">
        <v>-5182</v>
      </c>
    </row>
    <row r="146" spans="1:15" x14ac:dyDescent="0.3">
      <c r="A146" s="2">
        <v>136</v>
      </c>
      <c r="B146" s="1">
        <v>44932.625</v>
      </c>
      <c r="C146" s="1" t="str">
        <f t="shared" si="4"/>
        <v>01-2023</v>
      </c>
      <c r="D146" s="2">
        <f t="shared" si="5"/>
        <v>1</v>
      </c>
      <c r="E146" t="s">
        <v>18</v>
      </c>
      <c r="F146" t="s">
        <v>23</v>
      </c>
      <c r="G146" t="s">
        <v>20</v>
      </c>
      <c r="H146" s="2">
        <v>9249</v>
      </c>
      <c r="I146" s="2">
        <v>3</v>
      </c>
      <c r="J146" s="2">
        <v>87244</v>
      </c>
      <c r="K146" s="2">
        <v>22802</v>
      </c>
      <c r="L146" s="2">
        <v>13</v>
      </c>
      <c r="M146" t="str">
        <f>IF(Revv_bike_sales_data[[#This Row],[delivery_days]]&lt;=7, "Yes", "No")</f>
        <v>No</v>
      </c>
      <c r="N146" t="s">
        <v>16</v>
      </c>
      <c r="O146" s="2">
        <v>64442</v>
      </c>
    </row>
    <row r="147" spans="1:15" x14ac:dyDescent="0.3">
      <c r="A147" s="2">
        <v>137</v>
      </c>
      <c r="B147" s="1">
        <v>44932.666666666664</v>
      </c>
      <c r="C147" s="1" t="str">
        <f t="shared" si="4"/>
        <v>01-2023</v>
      </c>
      <c r="D147" s="2">
        <f t="shared" si="5"/>
        <v>1</v>
      </c>
      <c r="E147" t="s">
        <v>13</v>
      </c>
      <c r="F147" t="s">
        <v>14</v>
      </c>
      <c r="G147" t="s">
        <v>21</v>
      </c>
      <c r="H147" s="2">
        <v>31283</v>
      </c>
      <c r="I147" s="2">
        <v>0</v>
      </c>
      <c r="J147" s="2">
        <v>154177</v>
      </c>
      <c r="K147" s="2">
        <v>57230</v>
      </c>
      <c r="L147" s="2">
        <v>9</v>
      </c>
      <c r="M147" t="str">
        <f>IF(Revv_bike_sales_data[[#This Row],[delivery_days]]&lt;=7, "Yes", "No")</f>
        <v>No</v>
      </c>
      <c r="N147" t="s">
        <v>16</v>
      </c>
      <c r="O147" s="2">
        <v>96947</v>
      </c>
    </row>
    <row r="148" spans="1:15" x14ac:dyDescent="0.3">
      <c r="A148" s="2">
        <v>138</v>
      </c>
      <c r="B148" s="1">
        <v>44932.708333333336</v>
      </c>
      <c r="C148" s="1" t="str">
        <f t="shared" si="4"/>
        <v>01-2023</v>
      </c>
      <c r="D148" s="2">
        <f t="shared" si="5"/>
        <v>1</v>
      </c>
      <c r="E148" t="s">
        <v>22</v>
      </c>
      <c r="F148" t="s">
        <v>23</v>
      </c>
      <c r="G148" t="s">
        <v>21</v>
      </c>
      <c r="H148" s="2">
        <v>61145</v>
      </c>
      <c r="I148" s="2">
        <v>8</v>
      </c>
      <c r="J148" s="2">
        <v>175235</v>
      </c>
      <c r="K148" s="2">
        <v>137215</v>
      </c>
      <c r="L148" s="2">
        <v>5</v>
      </c>
      <c r="M148" t="str">
        <f>IF(Revv_bike_sales_data[[#This Row],[delivery_days]]&lt;=7, "Yes", "No")</f>
        <v>Yes</v>
      </c>
      <c r="N148" t="s">
        <v>16</v>
      </c>
      <c r="O148" s="2">
        <v>38020</v>
      </c>
    </row>
    <row r="149" spans="1:15" x14ac:dyDescent="0.3">
      <c r="A149" s="2">
        <v>139</v>
      </c>
      <c r="B149" s="1">
        <v>44932.75</v>
      </c>
      <c r="C149" s="1" t="str">
        <f t="shared" si="4"/>
        <v>01-2023</v>
      </c>
      <c r="D149" s="2">
        <f t="shared" si="5"/>
        <v>1</v>
      </c>
      <c r="E149" t="s">
        <v>22</v>
      </c>
      <c r="F149" t="s">
        <v>14</v>
      </c>
      <c r="G149" t="s">
        <v>21</v>
      </c>
      <c r="H149" s="2">
        <v>83361</v>
      </c>
      <c r="I149" s="2">
        <v>3</v>
      </c>
      <c r="J149" s="2">
        <v>166779</v>
      </c>
      <c r="K149" s="2">
        <v>78372</v>
      </c>
      <c r="L149" s="2">
        <v>9</v>
      </c>
      <c r="M149" t="str">
        <f>IF(Revv_bike_sales_data[[#This Row],[delivery_days]]&lt;=7, "Yes", "No")</f>
        <v>No</v>
      </c>
      <c r="N149" t="s">
        <v>16</v>
      </c>
      <c r="O149" s="2">
        <v>88407</v>
      </c>
    </row>
    <row r="150" spans="1:15" x14ac:dyDescent="0.3">
      <c r="A150" s="2">
        <v>140</v>
      </c>
      <c r="B150" s="1">
        <v>44932.791666666664</v>
      </c>
      <c r="C150" s="1" t="str">
        <f t="shared" si="4"/>
        <v>01-2023</v>
      </c>
      <c r="D150" s="2">
        <f t="shared" si="5"/>
        <v>1</v>
      </c>
      <c r="E150" t="s">
        <v>17</v>
      </c>
      <c r="F150" t="s">
        <v>14</v>
      </c>
      <c r="G150" t="s">
        <v>20</v>
      </c>
      <c r="H150" s="2">
        <v>53675</v>
      </c>
      <c r="I150" s="2">
        <v>5</v>
      </c>
      <c r="J150" s="2">
        <v>108597</v>
      </c>
      <c r="K150" s="2">
        <v>128884</v>
      </c>
      <c r="L150" s="2">
        <v>8</v>
      </c>
      <c r="M150" t="str">
        <f>IF(Revv_bike_sales_data[[#This Row],[delivery_days]]&lt;=7, "Yes", "No")</f>
        <v>No</v>
      </c>
      <c r="N150" t="s">
        <v>16</v>
      </c>
      <c r="O150" s="2">
        <v>-20287</v>
      </c>
    </row>
    <row r="151" spans="1:15" x14ac:dyDescent="0.3">
      <c r="A151" s="2">
        <v>141</v>
      </c>
      <c r="B151" s="1">
        <v>44932.833333333336</v>
      </c>
      <c r="C151" s="1" t="str">
        <f t="shared" si="4"/>
        <v>01-2023</v>
      </c>
      <c r="D151" s="2">
        <f t="shared" si="5"/>
        <v>1</v>
      </c>
      <c r="E151" t="s">
        <v>25</v>
      </c>
      <c r="F151" t="s">
        <v>14</v>
      </c>
      <c r="G151" t="s">
        <v>20</v>
      </c>
      <c r="H151" s="2">
        <v>84716</v>
      </c>
      <c r="I151" s="2">
        <v>6</v>
      </c>
      <c r="J151" s="2">
        <v>40115</v>
      </c>
      <c r="K151" s="2">
        <v>69020</v>
      </c>
      <c r="L151" s="2">
        <v>1</v>
      </c>
      <c r="M151" t="str">
        <f>IF(Revv_bike_sales_data[[#This Row],[delivery_days]]&lt;=7, "Yes", "No")</f>
        <v>Yes</v>
      </c>
      <c r="N151" t="s">
        <v>16</v>
      </c>
      <c r="O151" s="2">
        <v>-28905</v>
      </c>
    </row>
    <row r="152" spans="1:15" x14ac:dyDescent="0.3">
      <c r="A152" s="2">
        <v>142</v>
      </c>
      <c r="B152" s="1">
        <v>44932.875</v>
      </c>
      <c r="C152" s="1" t="str">
        <f t="shared" si="4"/>
        <v>01-2023</v>
      </c>
      <c r="D152" s="2">
        <f t="shared" si="5"/>
        <v>1</v>
      </c>
      <c r="E152" t="s">
        <v>17</v>
      </c>
      <c r="F152" t="s">
        <v>23</v>
      </c>
      <c r="G152" t="s">
        <v>19</v>
      </c>
      <c r="H152" s="2">
        <v>63209</v>
      </c>
      <c r="I152" s="2">
        <v>7</v>
      </c>
      <c r="J152" s="2">
        <v>100379</v>
      </c>
      <c r="K152" s="2">
        <v>98449</v>
      </c>
      <c r="L152" s="2">
        <v>11</v>
      </c>
      <c r="M152" t="str">
        <f>IF(Revv_bike_sales_data[[#This Row],[delivery_days]]&lt;=7, "Yes", "No")</f>
        <v>No</v>
      </c>
      <c r="N152" t="s">
        <v>16</v>
      </c>
      <c r="O152" s="2">
        <v>1930</v>
      </c>
    </row>
    <row r="153" spans="1:15" x14ac:dyDescent="0.3">
      <c r="A153" s="2">
        <v>143</v>
      </c>
      <c r="B153" s="1">
        <v>44932.916666666664</v>
      </c>
      <c r="C153" s="1" t="str">
        <f t="shared" si="4"/>
        <v>01-2023</v>
      </c>
      <c r="D153" s="2">
        <f t="shared" si="5"/>
        <v>1</v>
      </c>
      <c r="E153" t="s">
        <v>13</v>
      </c>
      <c r="F153" t="s">
        <v>14</v>
      </c>
      <c r="G153" t="s">
        <v>15</v>
      </c>
      <c r="H153" s="2">
        <v>17823</v>
      </c>
      <c r="I153" s="2">
        <v>8</v>
      </c>
      <c r="J153" s="2">
        <v>64979</v>
      </c>
      <c r="K153" s="2">
        <v>32465</v>
      </c>
      <c r="L153" s="2">
        <v>12</v>
      </c>
      <c r="M153" t="str">
        <f>IF(Revv_bike_sales_data[[#This Row],[delivery_days]]&lt;=7, "Yes", "No")</f>
        <v>No</v>
      </c>
      <c r="N153" t="s">
        <v>16</v>
      </c>
      <c r="O153" s="2">
        <v>32514</v>
      </c>
    </row>
    <row r="154" spans="1:15" x14ac:dyDescent="0.3">
      <c r="A154" s="2">
        <v>144</v>
      </c>
      <c r="B154" s="1">
        <v>44932.958333333336</v>
      </c>
      <c r="C154" s="1" t="str">
        <f t="shared" si="4"/>
        <v>01-2023</v>
      </c>
      <c r="D154" s="2">
        <f t="shared" si="5"/>
        <v>1</v>
      </c>
      <c r="E154" t="s">
        <v>13</v>
      </c>
      <c r="F154" t="s">
        <v>14</v>
      </c>
      <c r="G154" t="s">
        <v>19</v>
      </c>
      <c r="H154" s="2">
        <v>51262</v>
      </c>
      <c r="I154" s="2">
        <v>8</v>
      </c>
      <c r="J154" s="2">
        <v>94377</v>
      </c>
      <c r="K154" s="2">
        <v>22994</v>
      </c>
      <c r="L154" s="2">
        <v>3</v>
      </c>
      <c r="M154" t="str">
        <f>IF(Revv_bike_sales_data[[#This Row],[delivery_days]]&lt;=7, "Yes", "No")</f>
        <v>Yes</v>
      </c>
      <c r="N154" t="s">
        <v>16</v>
      </c>
      <c r="O154" s="2">
        <v>71383</v>
      </c>
    </row>
    <row r="155" spans="1:15" x14ac:dyDescent="0.3">
      <c r="A155" s="2">
        <v>145</v>
      </c>
      <c r="B155" s="1">
        <v>44933</v>
      </c>
      <c r="C155" s="1" t="str">
        <f t="shared" si="4"/>
        <v>01-2023</v>
      </c>
      <c r="D155" s="2">
        <f t="shared" si="5"/>
        <v>1</v>
      </c>
      <c r="E155" t="s">
        <v>13</v>
      </c>
      <c r="F155" t="s">
        <v>14</v>
      </c>
      <c r="G155" t="s">
        <v>15</v>
      </c>
      <c r="H155" s="2">
        <v>88720</v>
      </c>
      <c r="I155" s="2">
        <v>7</v>
      </c>
      <c r="J155" s="2">
        <v>31416</v>
      </c>
      <c r="K155" s="2">
        <v>18531</v>
      </c>
      <c r="L155" s="2">
        <v>8</v>
      </c>
      <c r="M155" t="str">
        <f>IF(Revv_bike_sales_data[[#This Row],[delivery_days]]&lt;=7, "Yes", "No")</f>
        <v>No</v>
      </c>
      <c r="N155" t="s">
        <v>16</v>
      </c>
      <c r="O155" s="2">
        <v>12885</v>
      </c>
    </row>
    <row r="156" spans="1:15" x14ac:dyDescent="0.3">
      <c r="A156" s="2">
        <v>146</v>
      </c>
      <c r="B156" s="1">
        <v>44933.041666666664</v>
      </c>
      <c r="C156" s="1" t="str">
        <f t="shared" si="4"/>
        <v>01-2023</v>
      </c>
      <c r="D156" s="2">
        <f t="shared" si="5"/>
        <v>1</v>
      </c>
      <c r="E156" t="s">
        <v>13</v>
      </c>
      <c r="F156" t="s">
        <v>14</v>
      </c>
      <c r="G156" t="s">
        <v>19</v>
      </c>
      <c r="H156" s="2">
        <v>64722</v>
      </c>
      <c r="I156" s="2">
        <v>9</v>
      </c>
      <c r="J156" s="2">
        <v>166705</v>
      </c>
      <c r="K156" s="2">
        <v>24343</v>
      </c>
      <c r="L156" s="2">
        <v>9</v>
      </c>
      <c r="M156" t="str">
        <f>IF(Revv_bike_sales_data[[#This Row],[delivery_days]]&lt;=7, "Yes", "No")</f>
        <v>No</v>
      </c>
      <c r="N156" t="s">
        <v>16</v>
      </c>
      <c r="O156" s="2">
        <v>142362</v>
      </c>
    </row>
    <row r="157" spans="1:15" x14ac:dyDescent="0.3">
      <c r="A157" s="2">
        <v>147</v>
      </c>
      <c r="B157" s="1">
        <v>44933.083333333336</v>
      </c>
      <c r="C157" s="1" t="str">
        <f t="shared" si="4"/>
        <v>01-2023</v>
      </c>
      <c r="D157" s="2">
        <f t="shared" si="5"/>
        <v>1</v>
      </c>
      <c r="E157" t="s">
        <v>13</v>
      </c>
      <c r="F157" t="s">
        <v>14</v>
      </c>
      <c r="G157" t="s">
        <v>20</v>
      </c>
      <c r="H157" s="2">
        <v>34993</v>
      </c>
      <c r="I157" s="2">
        <v>2</v>
      </c>
      <c r="J157" s="2">
        <v>153785</v>
      </c>
      <c r="K157" s="2">
        <v>74066</v>
      </c>
      <c r="L157" s="2">
        <v>14</v>
      </c>
      <c r="M157" t="str">
        <f>IF(Revv_bike_sales_data[[#This Row],[delivery_days]]&lt;=7, "Yes", "No")</f>
        <v>No</v>
      </c>
      <c r="N157" t="s">
        <v>16</v>
      </c>
      <c r="O157" s="2">
        <v>79719</v>
      </c>
    </row>
    <row r="158" spans="1:15" x14ac:dyDescent="0.3">
      <c r="A158" s="2">
        <v>148</v>
      </c>
      <c r="B158" s="1">
        <v>44933.125</v>
      </c>
      <c r="C158" s="1" t="str">
        <f t="shared" si="4"/>
        <v>01-2023</v>
      </c>
      <c r="D158" s="2">
        <f t="shared" si="5"/>
        <v>1</v>
      </c>
      <c r="E158" t="s">
        <v>18</v>
      </c>
      <c r="F158" t="s">
        <v>14</v>
      </c>
      <c r="G158" t="s">
        <v>19</v>
      </c>
      <c r="H158" s="2">
        <v>58828</v>
      </c>
      <c r="I158" s="2">
        <v>1</v>
      </c>
      <c r="J158" s="2">
        <v>156666</v>
      </c>
      <c r="K158" s="2">
        <v>114020</v>
      </c>
      <c r="L158" s="2">
        <v>4</v>
      </c>
      <c r="M158" t="str">
        <f>IF(Revv_bike_sales_data[[#This Row],[delivery_days]]&lt;=7, "Yes", "No")</f>
        <v>Yes</v>
      </c>
      <c r="N158" t="s">
        <v>16</v>
      </c>
      <c r="O158" s="2">
        <v>42646</v>
      </c>
    </row>
    <row r="159" spans="1:15" x14ac:dyDescent="0.3">
      <c r="A159" s="2">
        <v>149</v>
      </c>
      <c r="B159" s="1">
        <v>44933.166666666664</v>
      </c>
      <c r="C159" s="1" t="str">
        <f t="shared" si="4"/>
        <v>01-2023</v>
      </c>
      <c r="D159" s="2">
        <f t="shared" si="5"/>
        <v>1</v>
      </c>
      <c r="E159" t="s">
        <v>22</v>
      </c>
      <c r="F159" t="s">
        <v>14</v>
      </c>
      <c r="G159" t="s">
        <v>15</v>
      </c>
      <c r="H159" s="2">
        <v>12713</v>
      </c>
      <c r="I159" s="2">
        <v>4</v>
      </c>
      <c r="J159" s="2">
        <v>170465</v>
      </c>
      <c r="K159" s="2">
        <v>21229</v>
      </c>
      <c r="L159" s="2">
        <v>14</v>
      </c>
      <c r="M159" t="str">
        <f>IF(Revv_bike_sales_data[[#This Row],[delivery_days]]&lt;=7, "Yes", "No")</f>
        <v>No</v>
      </c>
      <c r="N159" t="s">
        <v>16</v>
      </c>
      <c r="O159" s="2">
        <v>149236</v>
      </c>
    </row>
    <row r="160" spans="1:15" x14ac:dyDescent="0.3">
      <c r="A160" s="2">
        <v>150</v>
      </c>
      <c r="B160" s="1">
        <v>44933.208333333336</v>
      </c>
      <c r="C160" s="1" t="str">
        <f t="shared" si="4"/>
        <v>01-2023</v>
      </c>
      <c r="D160" s="2">
        <f t="shared" si="5"/>
        <v>1</v>
      </c>
      <c r="E160" t="s">
        <v>13</v>
      </c>
      <c r="F160" t="s">
        <v>14</v>
      </c>
      <c r="G160" t="s">
        <v>21</v>
      </c>
      <c r="H160" s="2">
        <v>97867</v>
      </c>
      <c r="I160" s="2">
        <v>0</v>
      </c>
      <c r="J160" s="2">
        <v>155364</v>
      </c>
      <c r="K160" s="2">
        <v>109311</v>
      </c>
      <c r="L160" s="2">
        <v>14</v>
      </c>
      <c r="M160" t="str">
        <f>IF(Revv_bike_sales_data[[#This Row],[delivery_days]]&lt;=7, "Yes", "No")</f>
        <v>No</v>
      </c>
      <c r="N160" t="s">
        <v>16</v>
      </c>
      <c r="O160" s="2">
        <v>46053</v>
      </c>
    </row>
    <row r="161" spans="1:15" x14ac:dyDescent="0.3">
      <c r="A161" s="2">
        <v>151</v>
      </c>
      <c r="B161" s="1">
        <v>44933.25</v>
      </c>
      <c r="C161" s="1" t="str">
        <f t="shared" si="4"/>
        <v>01-2023</v>
      </c>
      <c r="D161" s="2">
        <f t="shared" si="5"/>
        <v>1</v>
      </c>
      <c r="E161" t="s">
        <v>25</v>
      </c>
      <c r="F161" t="s">
        <v>14</v>
      </c>
      <c r="G161" t="s">
        <v>15</v>
      </c>
      <c r="H161" s="2">
        <v>47430</v>
      </c>
      <c r="I161" s="2">
        <v>2</v>
      </c>
      <c r="J161" s="2">
        <v>122507</v>
      </c>
      <c r="K161" s="2">
        <v>107302</v>
      </c>
      <c r="L161" s="2">
        <v>14</v>
      </c>
      <c r="M161" t="str">
        <f>IF(Revv_bike_sales_data[[#This Row],[delivery_days]]&lt;=7, "Yes", "No")</f>
        <v>No</v>
      </c>
      <c r="N161" t="s">
        <v>16</v>
      </c>
      <c r="O161" s="2">
        <v>15205</v>
      </c>
    </row>
    <row r="162" spans="1:15" x14ac:dyDescent="0.3">
      <c r="A162" s="2">
        <v>152</v>
      </c>
      <c r="B162" s="1">
        <v>44933.291666666664</v>
      </c>
      <c r="C162" s="1" t="str">
        <f t="shared" si="4"/>
        <v>01-2023</v>
      </c>
      <c r="D162" s="2">
        <f t="shared" si="5"/>
        <v>1</v>
      </c>
      <c r="E162" t="s">
        <v>25</v>
      </c>
      <c r="F162" t="s">
        <v>14</v>
      </c>
      <c r="G162" t="s">
        <v>21</v>
      </c>
      <c r="H162" s="2">
        <v>28213</v>
      </c>
      <c r="I162" s="2">
        <v>0</v>
      </c>
      <c r="J162" s="2">
        <v>143243</v>
      </c>
      <c r="K162" s="2">
        <v>97124</v>
      </c>
      <c r="L162" s="2">
        <v>12</v>
      </c>
      <c r="M162" t="str">
        <f>IF(Revv_bike_sales_data[[#This Row],[delivery_days]]&lt;=7, "Yes", "No")</f>
        <v>No</v>
      </c>
      <c r="N162" t="s">
        <v>16</v>
      </c>
      <c r="O162" s="2">
        <v>46119</v>
      </c>
    </row>
    <row r="163" spans="1:15" x14ac:dyDescent="0.3">
      <c r="A163" s="2">
        <v>153</v>
      </c>
      <c r="B163" s="1">
        <v>44933.333333333336</v>
      </c>
      <c r="C163" s="1" t="str">
        <f t="shared" si="4"/>
        <v>01-2023</v>
      </c>
      <c r="D163" s="2">
        <f t="shared" si="5"/>
        <v>1</v>
      </c>
      <c r="E163" t="s">
        <v>25</v>
      </c>
      <c r="F163" t="s">
        <v>14</v>
      </c>
      <c r="G163" t="s">
        <v>20</v>
      </c>
      <c r="H163" s="2">
        <v>73223</v>
      </c>
      <c r="I163" s="2">
        <v>2</v>
      </c>
      <c r="J163" s="2">
        <v>160933</v>
      </c>
      <c r="K163" s="2">
        <v>103704</v>
      </c>
      <c r="L163" s="2">
        <v>6</v>
      </c>
      <c r="M163" t="str">
        <f>IF(Revv_bike_sales_data[[#This Row],[delivery_days]]&lt;=7, "Yes", "No")</f>
        <v>Yes</v>
      </c>
      <c r="N163" t="s">
        <v>16</v>
      </c>
      <c r="O163" s="2">
        <v>57229</v>
      </c>
    </row>
    <row r="164" spans="1:15" x14ac:dyDescent="0.3">
      <c r="A164" s="2">
        <v>154</v>
      </c>
      <c r="B164" s="1">
        <v>44933.375</v>
      </c>
      <c r="C164" s="1" t="str">
        <f t="shared" si="4"/>
        <v>01-2023</v>
      </c>
      <c r="D164" s="2">
        <f t="shared" si="5"/>
        <v>1</v>
      </c>
      <c r="E164" t="s">
        <v>25</v>
      </c>
      <c r="F164" t="s">
        <v>23</v>
      </c>
      <c r="G164" t="s">
        <v>15</v>
      </c>
      <c r="H164" s="2">
        <v>98836</v>
      </c>
      <c r="I164" s="2">
        <v>3</v>
      </c>
      <c r="J164" s="2">
        <v>128070</v>
      </c>
      <c r="K164" s="2">
        <v>59789</v>
      </c>
      <c r="L164" s="2">
        <v>4</v>
      </c>
      <c r="M164" t="str">
        <f>IF(Revv_bike_sales_data[[#This Row],[delivery_days]]&lt;=7, "Yes", "No")</f>
        <v>Yes</v>
      </c>
      <c r="N164" t="s">
        <v>24</v>
      </c>
      <c r="O164" s="2">
        <v>68281</v>
      </c>
    </row>
    <row r="165" spans="1:15" x14ac:dyDescent="0.3">
      <c r="A165" s="2">
        <v>155</v>
      </c>
      <c r="B165" s="1">
        <v>44933.416666666664</v>
      </c>
      <c r="C165" s="1" t="str">
        <f t="shared" si="4"/>
        <v>01-2023</v>
      </c>
      <c r="D165" s="2">
        <f t="shared" si="5"/>
        <v>1</v>
      </c>
      <c r="E165" t="s">
        <v>18</v>
      </c>
      <c r="F165" t="s">
        <v>14</v>
      </c>
      <c r="G165" t="s">
        <v>19</v>
      </c>
      <c r="H165" s="2">
        <v>33083</v>
      </c>
      <c r="I165" s="2">
        <v>6</v>
      </c>
      <c r="J165" s="2">
        <v>61126</v>
      </c>
      <c r="K165" s="2">
        <v>59069</v>
      </c>
      <c r="L165" s="2">
        <v>13</v>
      </c>
      <c r="M165" t="str">
        <f>IF(Revv_bike_sales_data[[#This Row],[delivery_days]]&lt;=7, "Yes", "No")</f>
        <v>No</v>
      </c>
      <c r="N165" t="s">
        <v>16</v>
      </c>
      <c r="O165" s="2">
        <v>2057</v>
      </c>
    </row>
    <row r="166" spans="1:15" x14ac:dyDescent="0.3">
      <c r="A166" s="2">
        <v>156</v>
      </c>
      <c r="B166" s="1">
        <v>44933.458333333336</v>
      </c>
      <c r="C166" s="1" t="str">
        <f t="shared" si="4"/>
        <v>01-2023</v>
      </c>
      <c r="D166" s="2">
        <f t="shared" si="5"/>
        <v>1</v>
      </c>
      <c r="E166" t="s">
        <v>25</v>
      </c>
      <c r="F166" t="s">
        <v>23</v>
      </c>
      <c r="G166" t="s">
        <v>15</v>
      </c>
      <c r="H166" s="2">
        <v>80444</v>
      </c>
      <c r="I166" s="2">
        <v>4</v>
      </c>
      <c r="J166" s="2">
        <v>105382</v>
      </c>
      <c r="K166" s="2">
        <v>117398</v>
      </c>
      <c r="L166" s="2">
        <v>9</v>
      </c>
      <c r="M166" t="str">
        <f>IF(Revv_bike_sales_data[[#This Row],[delivery_days]]&lt;=7, "Yes", "No")</f>
        <v>No</v>
      </c>
      <c r="N166" t="s">
        <v>24</v>
      </c>
      <c r="O166" s="2">
        <v>-12016</v>
      </c>
    </row>
    <row r="167" spans="1:15" x14ac:dyDescent="0.3">
      <c r="A167" s="2">
        <v>157</v>
      </c>
      <c r="B167" s="1">
        <v>44933.5</v>
      </c>
      <c r="C167" s="1" t="str">
        <f t="shared" si="4"/>
        <v>01-2023</v>
      </c>
      <c r="D167" s="2">
        <f t="shared" si="5"/>
        <v>1</v>
      </c>
      <c r="E167" t="s">
        <v>13</v>
      </c>
      <c r="F167" t="s">
        <v>14</v>
      </c>
      <c r="G167" t="s">
        <v>21</v>
      </c>
      <c r="H167" s="2">
        <v>22869</v>
      </c>
      <c r="I167" s="2">
        <v>4</v>
      </c>
      <c r="J167" s="2">
        <v>43228</v>
      </c>
      <c r="K167" s="2">
        <v>102402</v>
      </c>
      <c r="L167" s="2">
        <v>2</v>
      </c>
      <c r="M167" t="str">
        <f>IF(Revv_bike_sales_data[[#This Row],[delivery_days]]&lt;=7, "Yes", "No")</f>
        <v>Yes</v>
      </c>
      <c r="N167" t="s">
        <v>16</v>
      </c>
      <c r="O167" s="2">
        <v>-59174</v>
      </c>
    </row>
    <row r="168" spans="1:15" x14ac:dyDescent="0.3">
      <c r="A168" s="2">
        <v>158</v>
      </c>
      <c r="B168" s="1">
        <v>44933.541666666664</v>
      </c>
      <c r="C168" s="1" t="str">
        <f t="shared" si="4"/>
        <v>01-2023</v>
      </c>
      <c r="D168" s="2">
        <f t="shared" si="5"/>
        <v>1</v>
      </c>
      <c r="E168" t="s">
        <v>17</v>
      </c>
      <c r="F168" t="s">
        <v>14</v>
      </c>
      <c r="G168" t="s">
        <v>20</v>
      </c>
      <c r="H168" s="2">
        <v>48428</v>
      </c>
      <c r="I168" s="2">
        <v>0</v>
      </c>
      <c r="J168" s="2">
        <v>49009</v>
      </c>
      <c r="K168" s="2">
        <v>135428</v>
      </c>
      <c r="L168" s="2">
        <v>6</v>
      </c>
      <c r="M168" t="str">
        <f>IF(Revv_bike_sales_data[[#This Row],[delivery_days]]&lt;=7, "Yes", "No")</f>
        <v>Yes</v>
      </c>
      <c r="N168" t="s">
        <v>16</v>
      </c>
      <c r="O168" s="2">
        <v>-86419</v>
      </c>
    </row>
    <row r="169" spans="1:15" x14ac:dyDescent="0.3">
      <c r="A169" s="2">
        <v>159</v>
      </c>
      <c r="B169" s="1">
        <v>44933.583333333336</v>
      </c>
      <c r="C169" s="1" t="str">
        <f t="shared" si="4"/>
        <v>01-2023</v>
      </c>
      <c r="D169" s="2">
        <f t="shared" si="5"/>
        <v>1</v>
      </c>
      <c r="E169" t="s">
        <v>25</v>
      </c>
      <c r="F169" t="s">
        <v>14</v>
      </c>
      <c r="G169" t="s">
        <v>19</v>
      </c>
      <c r="H169" s="2">
        <v>69450</v>
      </c>
      <c r="I169" s="2">
        <v>7</v>
      </c>
      <c r="J169" s="2">
        <v>25094</v>
      </c>
      <c r="K169" s="2">
        <v>24524</v>
      </c>
      <c r="L169" s="2">
        <v>11</v>
      </c>
      <c r="M169" t="str">
        <f>IF(Revv_bike_sales_data[[#This Row],[delivery_days]]&lt;=7, "Yes", "No")</f>
        <v>No</v>
      </c>
      <c r="N169" t="s">
        <v>16</v>
      </c>
      <c r="O169" s="2">
        <v>570</v>
      </c>
    </row>
    <row r="170" spans="1:15" x14ac:dyDescent="0.3">
      <c r="A170" s="2">
        <v>160</v>
      </c>
      <c r="B170" s="1">
        <v>44933.625</v>
      </c>
      <c r="C170" s="1" t="str">
        <f t="shared" si="4"/>
        <v>01-2023</v>
      </c>
      <c r="D170" s="2">
        <f t="shared" si="5"/>
        <v>1</v>
      </c>
      <c r="E170" t="s">
        <v>18</v>
      </c>
      <c r="F170" t="s">
        <v>14</v>
      </c>
      <c r="G170" t="s">
        <v>15</v>
      </c>
      <c r="H170" s="2">
        <v>20010</v>
      </c>
      <c r="I170" s="2">
        <v>3</v>
      </c>
      <c r="J170" s="2">
        <v>105636</v>
      </c>
      <c r="K170" s="2">
        <v>136907</v>
      </c>
      <c r="L170" s="2">
        <v>13</v>
      </c>
      <c r="M170" t="str">
        <f>IF(Revv_bike_sales_data[[#This Row],[delivery_days]]&lt;=7, "Yes", "No")</f>
        <v>No</v>
      </c>
      <c r="N170" t="s">
        <v>16</v>
      </c>
      <c r="O170" s="2">
        <v>-31271</v>
      </c>
    </row>
    <row r="171" spans="1:15" x14ac:dyDescent="0.3">
      <c r="A171" s="2">
        <v>161</v>
      </c>
      <c r="B171" s="1">
        <v>44933.666666666664</v>
      </c>
      <c r="C171" s="1" t="str">
        <f t="shared" si="4"/>
        <v>01-2023</v>
      </c>
      <c r="D171" s="2">
        <f t="shared" si="5"/>
        <v>1</v>
      </c>
      <c r="E171" t="s">
        <v>18</v>
      </c>
      <c r="F171" t="s">
        <v>14</v>
      </c>
      <c r="G171" t="s">
        <v>21</v>
      </c>
      <c r="H171" s="2">
        <v>12620</v>
      </c>
      <c r="I171" s="2">
        <v>9</v>
      </c>
      <c r="J171" s="2">
        <v>123453</v>
      </c>
      <c r="K171" s="2">
        <v>139928</v>
      </c>
      <c r="L171" s="2">
        <v>3</v>
      </c>
      <c r="M171" t="str">
        <f>IF(Revv_bike_sales_data[[#This Row],[delivery_days]]&lt;=7, "Yes", "No")</f>
        <v>Yes</v>
      </c>
      <c r="N171" t="s">
        <v>16</v>
      </c>
      <c r="O171" s="2">
        <v>-16475</v>
      </c>
    </row>
    <row r="172" spans="1:15" x14ac:dyDescent="0.3">
      <c r="A172" s="2">
        <v>162</v>
      </c>
      <c r="B172" s="1">
        <v>44933.708333333336</v>
      </c>
      <c r="C172" s="1" t="str">
        <f t="shared" si="4"/>
        <v>01-2023</v>
      </c>
      <c r="D172" s="2">
        <f t="shared" si="5"/>
        <v>1</v>
      </c>
      <c r="E172" t="s">
        <v>25</v>
      </c>
      <c r="F172" t="s">
        <v>14</v>
      </c>
      <c r="G172" t="s">
        <v>19</v>
      </c>
      <c r="H172" s="2">
        <v>99075</v>
      </c>
      <c r="I172" s="2">
        <v>4</v>
      </c>
      <c r="J172" s="2">
        <v>173502</v>
      </c>
      <c r="K172" s="2">
        <v>103074</v>
      </c>
      <c r="L172" s="2">
        <v>10</v>
      </c>
      <c r="M172" t="str">
        <f>IF(Revv_bike_sales_data[[#This Row],[delivery_days]]&lt;=7, "Yes", "No")</f>
        <v>No</v>
      </c>
      <c r="N172" t="s">
        <v>16</v>
      </c>
      <c r="O172" s="2">
        <v>70428</v>
      </c>
    </row>
    <row r="173" spans="1:15" x14ac:dyDescent="0.3">
      <c r="A173" s="2">
        <v>163</v>
      </c>
      <c r="B173" s="1">
        <v>44933.75</v>
      </c>
      <c r="C173" s="1" t="str">
        <f t="shared" si="4"/>
        <v>01-2023</v>
      </c>
      <c r="D173" s="2">
        <f t="shared" si="5"/>
        <v>1</v>
      </c>
      <c r="E173" t="s">
        <v>17</v>
      </c>
      <c r="F173" t="s">
        <v>14</v>
      </c>
      <c r="G173" t="s">
        <v>20</v>
      </c>
      <c r="H173" s="2">
        <v>5795</v>
      </c>
      <c r="I173" s="2">
        <v>1</v>
      </c>
      <c r="J173" s="2">
        <v>79486</v>
      </c>
      <c r="K173" s="2">
        <v>123345</v>
      </c>
      <c r="L173" s="2">
        <v>4</v>
      </c>
      <c r="M173" t="str">
        <f>IF(Revv_bike_sales_data[[#This Row],[delivery_days]]&lt;=7, "Yes", "No")</f>
        <v>Yes</v>
      </c>
      <c r="N173" t="s">
        <v>16</v>
      </c>
      <c r="O173" s="2">
        <v>-43859</v>
      </c>
    </row>
    <row r="174" spans="1:15" x14ac:dyDescent="0.3">
      <c r="A174" s="2">
        <v>164</v>
      </c>
      <c r="B174" s="1">
        <v>44933.791666666664</v>
      </c>
      <c r="C174" s="1" t="str">
        <f t="shared" si="4"/>
        <v>01-2023</v>
      </c>
      <c r="D174" s="2">
        <f t="shared" si="5"/>
        <v>1</v>
      </c>
      <c r="E174" t="s">
        <v>25</v>
      </c>
      <c r="F174" t="s">
        <v>14</v>
      </c>
      <c r="G174" t="s">
        <v>19</v>
      </c>
      <c r="H174" s="2">
        <v>20960</v>
      </c>
      <c r="I174" s="2">
        <v>0</v>
      </c>
      <c r="J174" s="2">
        <v>115510</v>
      </c>
      <c r="K174" s="2">
        <v>101762</v>
      </c>
      <c r="L174" s="2">
        <v>2</v>
      </c>
      <c r="M174" t="str">
        <f>IF(Revv_bike_sales_data[[#This Row],[delivery_days]]&lt;=7, "Yes", "No")</f>
        <v>Yes</v>
      </c>
      <c r="N174" t="s">
        <v>16</v>
      </c>
      <c r="O174" s="2">
        <v>13748</v>
      </c>
    </row>
    <row r="175" spans="1:15" x14ac:dyDescent="0.3">
      <c r="A175" s="2">
        <v>165</v>
      </c>
      <c r="B175" s="1">
        <v>44933.833333333336</v>
      </c>
      <c r="C175" s="1" t="str">
        <f t="shared" si="4"/>
        <v>01-2023</v>
      </c>
      <c r="D175" s="2">
        <f t="shared" si="5"/>
        <v>1</v>
      </c>
      <c r="E175" t="s">
        <v>18</v>
      </c>
      <c r="F175" t="s">
        <v>14</v>
      </c>
      <c r="G175" t="s">
        <v>20</v>
      </c>
      <c r="H175" s="2">
        <v>15463</v>
      </c>
      <c r="I175" s="2">
        <v>8</v>
      </c>
      <c r="J175" s="2">
        <v>45860</v>
      </c>
      <c r="K175" s="2">
        <v>78103</v>
      </c>
      <c r="L175" s="2">
        <v>11</v>
      </c>
      <c r="M175" t="str">
        <f>IF(Revv_bike_sales_data[[#This Row],[delivery_days]]&lt;=7, "Yes", "No")</f>
        <v>No</v>
      </c>
      <c r="N175" t="s">
        <v>16</v>
      </c>
      <c r="O175" s="2">
        <v>-32243</v>
      </c>
    </row>
    <row r="176" spans="1:15" x14ac:dyDescent="0.3">
      <c r="A176" s="2">
        <v>166</v>
      </c>
      <c r="B176" s="1">
        <v>44933.875</v>
      </c>
      <c r="C176" s="1" t="str">
        <f t="shared" si="4"/>
        <v>01-2023</v>
      </c>
      <c r="D176" s="2">
        <f t="shared" si="5"/>
        <v>1</v>
      </c>
      <c r="E176" t="s">
        <v>22</v>
      </c>
      <c r="F176" t="s">
        <v>14</v>
      </c>
      <c r="G176" t="s">
        <v>19</v>
      </c>
      <c r="H176" s="2">
        <v>77616</v>
      </c>
      <c r="I176" s="2">
        <v>1</v>
      </c>
      <c r="J176" s="2">
        <v>97812</v>
      </c>
      <c r="K176" s="2">
        <v>23103</v>
      </c>
      <c r="L176" s="2">
        <v>8</v>
      </c>
      <c r="M176" t="str">
        <f>IF(Revv_bike_sales_data[[#This Row],[delivery_days]]&lt;=7, "Yes", "No")</f>
        <v>No</v>
      </c>
      <c r="N176" t="s">
        <v>16</v>
      </c>
      <c r="O176" s="2">
        <v>74709</v>
      </c>
    </row>
    <row r="177" spans="1:15" x14ac:dyDescent="0.3">
      <c r="A177" s="2">
        <v>167</v>
      </c>
      <c r="B177" s="1">
        <v>44933.916666666664</v>
      </c>
      <c r="C177" s="1" t="str">
        <f t="shared" si="4"/>
        <v>01-2023</v>
      </c>
      <c r="D177" s="2">
        <f t="shared" si="5"/>
        <v>1</v>
      </c>
      <c r="E177" t="s">
        <v>13</v>
      </c>
      <c r="F177" t="s">
        <v>14</v>
      </c>
      <c r="G177" t="s">
        <v>15</v>
      </c>
      <c r="H177" s="2">
        <v>88322</v>
      </c>
      <c r="I177" s="2">
        <v>5</v>
      </c>
      <c r="J177" s="2">
        <v>91087</v>
      </c>
      <c r="K177" s="2">
        <v>73581</v>
      </c>
      <c r="L177" s="2">
        <v>10</v>
      </c>
      <c r="M177" t="str">
        <f>IF(Revv_bike_sales_data[[#This Row],[delivery_days]]&lt;=7, "Yes", "No")</f>
        <v>No</v>
      </c>
      <c r="N177" t="s">
        <v>16</v>
      </c>
      <c r="O177" s="2">
        <v>17506</v>
      </c>
    </row>
    <row r="178" spans="1:15" x14ac:dyDescent="0.3">
      <c r="A178" s="2">
        <v>168</v>
      </c>
      <c r="B178" s="1">
        <v>44933.958333333336</v>
      </c>
      <c r="C178" s="1" t="str">
        <f t="shared" si="4"/>
        <v>01-2023</v>
      </c>
      <c r="D178" s="2">
        <f t="shared" si="5"/>
        <v>1</v>
      </c>
      <c r="E178" t="s">
        <v>18</v>
      </c>
      <c r="F178" t="s">
        <v>14</v>
      </c>
      <c r="G178" t="s">
        <v>21</v>
      </c>
      <c r="H178" s="2">
        <v>27828</v>
      </c>
      <c r="I178" s="2">
        <v>0</v>
      </c>
      <c r="J178" s="2">
        <v>164558</v>
      </c>
      <c r="K178" s="2">
        <v>98938</v>
      </c>
      <c r="L178" s="2">
        <v>8</v>
      </c>
      <c r="M178" t="str">
        <f>IF(Revv_bike_sales_data[[#This Row],[delivery_days]]&lt;=7, "Yes", "No")</f>
        <v>No</v>
      </c>
      <c r="N178" t="s">
        <v>16</v>
      </c>
      <c r="O178" s="2">
        <v>65620</v>
      </c>
    </row>
    <row r="179" spans="1:15" x14ac:dyDescent="0.3">
      <c r="A179" s="2">
        <v>169</v>
      </c>
      <c r="B179" s="1">
        <v>44934</v>
      </c>
      <c r="C179" s="1" t="str">
        <f t="shared" si="4"/>
        <v>01-2023</v>
      </c>
      <c r="D179" s="2">
        <f t="shared" si="5"/>
        <v>2</v>
      </c>
      <c r="E179" t="s">
        <v>25</v>
      </c>
      <c r="F179" t="s">
        <v>14</v>
      </c>
      <c r="G179" t="s">
        <v>15</v>
      </c>
      <c r="H179" s="2">
        <v>85129</v>
      </c>
      <c r="I179" s="2">
        <v>0</v>
      </c>
      <c r="J179" s="2">
        <v>74607</v>
      </c>
      <c r="K179" s="2">
        <v>69203</v>
      </c>
      <c r="L179" s="2">
        <v>1</v>
      </c>
      <c r="M179" t="str">
        <f>IF(Revv_bike_sales_data[[#This Row],[delivery_days]]&lt;=7, "Yes", "No")</f>
        <v>Yes</v>
      </c>
      <c r="N179" t="s">
        <v>16</v>
      </c>
      <c r="O179" s="2">
        <v>5404</v>
      </c>
    </row>
    <row r="180" spans="1:15" x14ac:dyDescent="0.3">
      <c r="A180" s="2">
        <v>170</v>
      </c>
      <c r="B180" s="1">
        <v>44934.041666666664</v>
      </c>
      <c r="C180" s="1" t="str">
        <f t="shared" si="4"/>
        <v>01-2023</v>
      </c>
      <c r="D180" s="2">
        <f t="shared" si="5"/>
        <v>2</v>
      </c>
      <c r="E180" t="s">
        <v>13</v>
      </c>
      <c r="F180" t="s">
        <v>14</v>
      </c>
      <c r="G180" t="s">
        <v>15</v>
      </c>
      <c r="H180" s="2">
        <v>22105</v>
      </c>
      <c r="I180" s="2">
        <v>8</v>
      </c>
      <c r="J180" s="2">
        <v>165817</v>
      </c>
      <c r="K180" s="2">
        <v>30090</v>
      </c>
      <c r="L180" s="2">
        <v>10</v>
      </c>
      <c r="M180" t="str">
        <f>IF(Revv_bike_sales_data[[#This Row],[delivery_days]]&lt;=7, "Yes", "No")</f>
        <v>No</v>
      </c>
      <c r="N180" t="s">
        <v>16</v>
      </c>
      <c r="O180" s="2">
        <v>135727</v>
      </c>
    </row>
    <row r="181" spans="1:15" x14ac:dyDescent="0.3">
      <c r="A181" s="2">
        <v>171</v>
      </c>
      <c r="B181" s="1">
        <v>44934.083333333336</v>
      </c>
      <c r="C181" s="1" t="str">
        <f t="shared" si="4"/>
        <v>01-2023</v>
      </c>
      <c r="D181" s="2">
        <f t="shared" si="5"/>
        <v>2</v>
      </c>
      <c r="E181" t="s">
        <v>25</v>
      </c>
      <c r="F181" t="s">
        <v>14</v>
      </c>
      <c r="G181" t="s">
        <v>20</v>
      </c>
      <c r="H181" s="2">
        <v>45313</v>
      </c>
      <c r="I181" s="2">
        <v>3</v>
      </c>
      <c r="J181" s="2">
        <v>131664</v>
      </c>
      <c r="K181" s="2">
        <v>30915</v>
      </c>
      <c r="L181" s="2">
        <v>6</v>
      </c>
      <c r="M181" t="str">
        <f>IF(Revv_bike_sales_data[[#This Row],[delivery_days]]&lt;=7, "Yes", "No")</f>
        <v>Yes</v>
      </c>
      <c r="N181" t="s">
        <v>16</v>
      </c>
      <c r="O181" s="2">
        <v>100749</v>
      </c>
    </row>
    <row r="182" spans="1:15" x14ac:dyDescent="0.3">
      <c r="A182" s="2">
        <v>172</v>
      </c>
      <c r="B182" s="1">
        <v>44934.125</v>
      </c>
      <c r="C182" s="1" t="str">
        <f t="shared" si="4"/>
        <v>01-2023</v>
      </c>
      <c r="D182" s="2">
        <f t="shared" si="5"/>
        <v>2</v>
      </c>
      <c r="E182" t="s">
        <v>25</v>
      </c>
      <c r="F182" t="s">
        <v>14</v>
      </c>
      <c r="G182" t="s">
        <v>20</v>
      </c>
      <c r="H182" s="2">
        <v>46871</v>
      </c>
      <c r="I182" s="2">
        <v>8</v>
      </c>
      <c r="J182" s="2">
        <v>43330</v>
      </c>
      <c r="K182" s="2">
        <v>56477</v>
      </c>
      <c r="L182" s="2">
        <v>1</v>
      </c>
      <c r="M182" t="str">
        <f>IF(Revv_bike_sales_data[[#This Row],[delivery_days]]&lt;=7, "Yes", "No")</f>
        <v>Yes</v>
      </c>
      <c r="N182" t="s">
        <v>16</v>
      </c>
      <c r="O182" s="2">
        <v>-13147</v>
      </c>
    </row>
    <row r="183" spans="1:15" x14ac:dyDescent="0.3">
      <c r="A183" s="2">
        <v>173</v>
      </c>
      <c r="B183" s="1">
        <v>44934.166666666664</v>
      </c>
      <c r="C183" s="1" t="str">
        <f t="shared" si="4"/>
        <v>01-2023</v>
      </c>
      <c r="D183" s="2">
        <f t="shared" si="5"/>
        <v>2</v>
      </c>
      <c r="E183" t="s">
        <v>22</v>
      </c>
      <c r="F183" t="s">
        <v>14</v>
      </c>
      <c r="G183" t="s">
        <v>20</v>
      </c>
      <c r="H183" s="2">
        <v>48098</v>
      </c>
      <c r="I183" s="2">
        <v>4</v>
      </c>
      <c r="J183" s="2">
        <v>145803</v>
      </c>
      <c r="K183" s="2">
        <v>71987</v>
      </c>
      <c r="L183" s="2">
        <v>6</v>
      </c>
      <c r="M183" t="str">
        <f>IF(Revv_bike_sales_data[[#This Row],[delivery_days]]&lt;=7, "Yes", "No")</f>
        <v>Yes</v>
      </c>
      <c r="N183" t="s">
        <v>16</v>
      </c>
      <c r="O183" s="2">
        <v>73816</v>
      </c>
    </row>
    <row r="184" spans="1:15" x14ac:dyDescent="0.3">
      <c r="A184" s="2">
        <v>174</v>
      </c>
      <c r="B184" s="1">
        <v>44934.208333333336</v>
      </c>
      <c r="C184" s="1" t="str">
        <f t="shared" si="4"/>
        <v>01-2023</v>
      </c>
      <c r="D184" s="2">
        <f t="shared" si="5"/>
        <v>2</v>
      </c>
      <c r="E184" t="s">
        <v>13</v>
      </c>
      <c r="F184" t="s">
        <v>14</v>
      </c>
      <c r="G184" t="s">
        <v>15</v>
      </c>
      <c r="H184" s="2">
        <v>61276</v>
      </c>
      <c r="I184" s="2">
        <v>6</v>
      </c>
      <c r="J184" s="2">
        <v>68336</v>
      </c>
      <c r="K184" s="2">
        <v>114742</v>
      </c>
      <c r="L184" s="2">
        <v>7</v>
      </c>
      <c r="M184" t="str">
        <f>IF(Revv_bike_sales_data[[#This Row],[delivery_days]]&lt;=7, "Yes", "No")</f>
        <v>Yes</v>
      </c>
      <c r="N184" t="s">
        <v>16</v>
      </c>
      <c r="O184" s="2">
        <v>-46406</v>
      </c>
    </row>
    <row r="185" spans="1:15" x14ac:dyDescent="0.3">
      <c r="A185" s="2">
        <v>175</v>
      </c>
      <c r="B185" s="1">
        <v>44934.25</v>
      </c>
      <c r="C185" s="1" t="str">
        <f t="shared" si="4"/>
        <v>01-2023</v>
      </c>
      <c r="D185" s="2">
        <f t="shared" si="5"/>
        <v>2</v>
      </c>
      <c r="E185" t="s">
        <v>13</v>
      </c>
      <c r="F185" t="s">
        <v>14</v>
      </c>
      <c r="G185" t="s">
        <v>19</v>
      </c>
      <c r="H185" s="2">
        <v>72758</v>
      </c>
      <c r="I185" s="2">
        <v>0</v>
      </c>
      <c r="J185" s="2">
        <v>33070</v>
      </c>
      <c r="K185" s="2">
        <v>68238</v>
      </c>
      <c r="L185" s="2">
        <v>2</v>
      </c>
      <c r="M185" t="str">
        <f>IF(Revv_bike_sales_data[[#This Row],[delivery_days]]&lt;=7, "Yes", "No")</f>
        <v>Yes</v>
      </c>
      <c r="N185" t="s">
        <v>16</v>
      </c>
      <c r="O185" s="2">
        <v>-35168</v>
      </c>
    </row>
    <row r="186" spans="1:15" x14ac:dyDescent="0.3">
      <c r="A186" s="2">
        <v>176</v>
      </c>
      <c r="B186" s="1">
        <v>44934.291666666664</v>
      </c>
      <c r="C186" s="1" t="str">
        <f t="shared" si="4"/>
        <v>01-2023</v>
      </c>
      <c r="D186" s="2">
        <f t="shared" si="5"/>
        <v>2</v>
      </c>
      <c r="E186" t="s">
        <v>22</v>
      </c>
      <c r="F186" t="s">
        <v>14</v>
      </c>
      <c r="G186" t="s">
        <v>19</v>
      </c>
      <c r="H186" s="2">
        <v>41469</v>
      </c>
      <c r="I186" s="2">
        <v>5</v>
      </c>
      <c r="J186" s="2">
        <v>26320</v>
      </c>
      <c r="K186" s="2">
        <v>102047</v>
      </c>
      <c r="L186" s="2">
        <v>9</v>
      </c>
      <c r="M186" t="str">
        <f>IF(Revv_bike_sales_data[[#This Row],[delivery_days]]&lt;=7, "Yes", "No")</f>
        <v>No</v>
      </c>
      <c r="N186" t="s">
        <v>16</v>
      </c>
      <c r="O186" s="2">
        <v>-75727</v>
      </c>
    </row>
    <row r="187" spans="1:15" x14ac:dyDescent="0.3">
      <c r="A187" s="2">
        <v>177</v>
      </c>
      <c r="B187" s="1">
        <v>44934.333333333336</v>
      </c>
      <c r="C187" s="1" t="str">
        <f t="shared" si="4"/>
        <v>01-2023</v>
      </c>
      <c r="D187" s="2">
        <f t="shared" si="5"/>
        <v>2</v>
      </c>
      <c r="E187" t="s">
        <v>18</v>
      </c>
      <c r="F187" t="s">
        <v>14</v>
      </c>
      <c r="G187" t="s">
        <v>15</v>
      </c>
      <c r="H187" s="2">
        <v>37412</v>
      </c>
      <c r="I187" s="2">
        <v>7</v>
      </c>
      <c r="J187" s="2">
        <v>114043</v>
      </c>
      <c r="K187" s="2">
        <v>131740</v>
      </c>
      <c r="L187" s="2">
        <v>8</v>
      </c>
      <c r="M187" t="str">
        <f>IF(Revv_bike_sales_data[[#This Row],[delivery_days]]&lt;=7, "Yes", "No")</f>
        <v>No</v>
      </c>
      <c r="N187" t="s">
        <v>16</v>
      </c>
      <c r="O187" s="2">
        <v>-17697</v>
      </c>
    </row>
    <row r="188" spans="1:15" x14ac:dyDescent="0.3">
      <c r="A188" s="2">
        <v>178</v>
      </c>
      <c r="B188" s="1">
        <v>44934.375</v>
      </c>
      <c r="C188" s="1" t="str">
        <f t="shared" si="4"/>
        <v>01-2023</v>
      </c>
      <c r="D188" s="2">
        <f t="shared" si="5"/>
        <v>2</v>
      </c>
      <c r="E188" t="s">
        <v>25</v>
      </c>
      <c r="F188" t="s">
        <v>14</v>
      </c>
      <c r="G188" t="s">
        <v>15</v>
      </c>
      <c r="H188" s="2">
        <v>38874</v>
      </c>
      <c r="I188" s="2">
        <v>0</v>
      </c>
      <c r="J188" s="2">
        <v>63921</v>
      </c>
      <c r="K188" s="2">
        <v>137217</v>
      </c>
      <c r="L188" s="2">
        <v>9</v>
      </c>
      <c r="M188" t="str">
        <f>IF(Revv_bike_sales_data[[#This Row],[delivery_days]]&lt;=7, "Yes", "No")</f>
        <v>No</v>
      </c>
      <c r="N188" t="s">
        <v>16</v>
      </c>
      <c r="O188" s="2">
        <v>-73296</v>
      </c>
    </row>
    <row r="189" spans="1:15" x14ac:dyDescent="0.3">
      <c r="A189" s="2">
        <v>179</v>
      </c>
      <c r="B189" s="1">
        <v>44934.416666666664</v>
      </c>
      <c r="C189" s="1" t="str">
        <f t="shared" si="4"/>
        <v>01-2023</v>
      </c>
      <c r="D189" s="2">
        <f t="shared" si="5"/>
        <v>2</v>
      </c>
      <c r="E189" t="s">
        <v>17</v>
      </c>
      <c r="F189" t="s">
        <v>14</v>
      </c>
      <c r="G189" t="s">
        <v>21</v>
      </c>
      <c r="H189" s="2">
        <v>72802</v>
      </c>
      <c r="I189" s="2">
        <v>8</v>
      </c>
      <c r="J189" s="2">
        <v>31589</v>
      </c>
      <c r="K189" s="2">
        <v>30029</v>
      </c>
      <c r="L189" s="2">
        <v>10</v>
      </c>
      <c r="M189" t="str">
        <f>IF(Revv_bike_sales_data[[#This Row],[delivery_days]]&lt;=7, "Yes", "No")</f>
        <v>No</v>
      </c>
      <c r="N189" t="s">
        <v>16</v>
      </c>
      <c r="O189" s="2">
        <v>1560</v>
      </c>
    </row>
    <row r="190" spans="1:15" x14ac:dyDescent="0.3">
      <c r="A190" s="2">
        <v>180</v>
      </c>
      <c r="B190" s="1">
        <v>44934.458333333336</v>
      </c>
      <c r="C190" s="1" t="str">
        <f t="shared" si="4"/>
        <v>01-2023</v>
      </c>
      <c r="D190" s="2">
        <f t="shared" si="5"/>
        <v>2</v>
      </c>
      <c r="E190" t="s">
        <v>25</v>
      </c>
      <c r="F190" t="s">
        <v>23</v>
      </c>
      <c r="G190" t="s">
        <v>20</v>
      </c>
      <c r="H190" s="2">
        <v>63284</v>
      </c>
      <c r="I190" s="2">
        <v>2</v>
      </c>
      <c r="J190" s="2">
        <v>117995</v>
      </c>
      <c r="K190" s="2">
        <v>111367</v>
      </c>
      <c r="L190" s="2">
        <v>13</v>
      </c>
      <c r="M190" t="str">
        <f>IF(Revv_bike_sales_data[[#This Row],[delivery_days]]&lt;=7, "Yes", "No")</f>
        <v>No</v>
      </c>
      <c r="N190" t="s">
        <v>16</v>
      </c>
      <c r="O190" s="2">
        <v>6628</v>
      </c>
    </row>
    <row r="191" spans="1:15" x14ac:dyDescent="0.3">
      <c r="A191" s="2">
        <v>181</v>
      </c>
      <c r="B191" s="1">
        <v>44934.5</v>
      </c>
      <c r="C191" s="1" t="str">
        <f t="shared" si="4"/>
        <v>01-2023</v>
      </c>
      <c r="D191" s="2">
        <f t="shared" si="5"/>
        <v>2</v>
      </c>
      <c r="E191" t="s">
        <v>25</v>
      </c>
      <c r="F191" t="s">
        <v>14</v>
      </c>
      <c r="G191" t="s">
        <v>20</v>
      </c>
      <c r="H191" s="2">
        <v>50382</v>
      </c>
      <c r="I191" s="2">
        <v>0</v>
      </c>
      <c r="J191" s="2">
        <v>40589</v>
      </c>
      <c r="K191" s="2">
        <v>104067</v>
      </c>
      <c r="L191" s="2">
        <v>4</v>
      </c>
      <c r="M191" t="str">
        <f>IF(Revv_bike_sales_data[[#This Row],[delivery_days]]&lt;=7, "Yes", "No")</f>
        <v>Yes</v>
      </c>
      <c r="N191" t="s">
        <v>16</v>
      </c>
      <c r="O191" s="2">
        <v>-63478</v>
      </c>
    </row>
    <row r="192" spans="1:15" x14ac:dyDescent="0.3">
      <c r="A192" s="2">
        <v>182</v>
      </c>
      <c r="B192" s="1">
        <v>44934.541666666664</v>
      </c>
      <c r="C192" s="1" t="str">
        <f t="shared" si="4"/>
        <v>01-2023</v>
      </c>
      <c r="D192" s="2">
        <f t="shared" si="5"/>
        <v>2</v>
      </c>
      <c r="E192" t="s">
        <v>18</v>
      </c>
      <c r="F192" t="s">
        <v>23</v>
      </c>
      <c r="G192" t="s">
        <v>15</v>
      </c>
      <c r="H192" s="2">
        <v>16428</v>
      </c>
      <c r="I192" s="2">
        <v>0</v>
      </c>
      <c r="J192" s="2">
        <v>61375</v>
      </c>
      <c r="K192" s="2">
        <v>68520</v>
      </c>
      <c r="L192" s="2">
        <v>4</v>
      </c>
      <c r="M192" t="str">
        <f>IF(Revv_bike_sales_data[[#This Row],[delivery_days]]&lt;=7, "Yes", "No")</f>
        <v>Yes</v>
      </c>
      <c r="N192" t="s">
        <v>16</v>
      </c>
      <c r="O192" s="2">
        <v>-7145</v>
      </c>
    </row>
    <row r="193" spans="1:15" x14ac:dyDescent="0.3">
      <c r="A193" s="2">
        <v>183</v>
      </c>
      <c r="B193" s="1">
        <v>44934.583333333336</v>
      </c>
      <c r="C193" s="1" t="str">
        <f t="shared" si="4"/>
        <v>01-2023</v>
      </c>
      <c r="D193" s="2">
        <f t="shared" si="5"/>
        <v>2</v>
      </c>
      <c r="E193" t="s">
        <v>25</v>
      </c>
      <c r="F193" t="s">
        <v>14</v>
      </c>
      <c r="G193" t="s">
        <v>15</v>
      </c>
      <c r="H193" s="2">
        <v>21774</v>
      </c>
      <c r="I193" s="2">
        <v>5</v>
      </c>
      <c r="J193" s="2">
        <v>68085</v>
      </c>
      <c r="K193" s="2">
        <v>85053</v>
      </c>
      <c r="L193" s="2">
        <v>12</v>
      </c>
      <c r="M193" t="str">
        <f>IF(Revv_bike_sales_data[[#This Row],[delivery_days]]&lt;=7, "Yes", "No")</f>
        <v>No</v>
      </c>
      <c r="N193" t="s">
        <v>16</v>
      </c>
      <c r="O193" s="2">
        <v>-16968</v>
      </c>
    </row>
    <row r="194" spans="1:15" x14ac:dyDescent="0.3">
      <c r="A194" s="2">
        <v>184</v>
      </c>
      <c r="B194" s="1">
        <v>44934.625</v>
      </c>
      <c r="C194" s="1" t="str">
        <f t="shared" si="4"/>
        <v>01-2023</v>
      </c>
      <c r="D194" s="2">
        <f t="shared" si="5"/>
        <v>2</v>
      </c>
      <c r="E194" t="s">
        <v>22</v>
      </c>
      <c r="F194" t="s">
        <v>14</v>
      </c>
      <c r="G194" t="s">
        <v>19</v>
      </c>
      <c r="H194" s="2">
        <v>34916</v>
      </c>
      <c r="I194" s="2">
        <v>5</v>
      </c>
      <c r="J194" s="2">
        <v>85840</v>
      </c>
      <c r="K194" s="2">
        <v>66464</v>
      </c>
      <c r="L194" s="2">
        <v>8</v>
      </c>
      <c r="M194" t="str">
        <f>IF(Revv_bike_sales_data[[#This Row],[delivery_days]]&lt;=7, "Yes", "No")</f>
        <v>No</v>
      </c>
      <c r="N194" t="s">
        <v>16</v>
      </c>
      <c r="O194" s="2">
        <v>19376</v>
      </c>
    </row>
    <row r="195" spans="1:15" x14ac:dyDescent="0.3">
      <c r="A195" s="2">
        <v>185</v>
      </c>
      <c r="B195" s="1">
        <v>44934.666666666664</v>
      </c>
      <c r="C195" s="1" t="str">
        <f t="shared" si="4"/>
        <v>01-2023</v>
      </c>
      <c r="D195" s="2">
        <f t="shared" si="5"/>
        <v>2</v>
      </c>
      <c r="E195" t="s">
        <v>22</v>
      </c>
      <c r="F195" t="s">
        <v>14</v>
      </c>
      <c r="G195" t="s">
        <v>15</v>
      </c>
      <c r="H195" s="2">
        <v>86648</v>
      </c>
      <c r="I195" s="2">
        <v>0</v>
      </c>
      <c r="J195" s="2">
        <v>123704</v>
      </c>
      <c r="K195" s="2">
        <v>36961</v>
      </c>
      <c r="L195" s="2">
        <v>1</v>
      </c>
      <c r="M195" t="str">
        <f>IF(Revv_bike_sales_data[[#This Row],[delivery_days]]&lt;=7, "Yes", "No")</f>
        <v>Yes</v>
      </c>
      <c r="N195" t="s">
        <v>16</v>
      </c>
      <c r="O195" s="2">
        <v>86743</v>
      </c>
    </row>
    <row r="196" spans="1:15" x14ac:dyDescent="0.3">
      <c r="A196" s="2">
        <v>186</v>
      </c>
      <c r="B196" s="1">
        <v>44934.708333333336</v>
      </c>
      <c r="C196" s="1" t="str">
        <f t="shared" si="4"/>
        <v>01-2023</v>
      </c>
      <c r="D196" s="2">
        <f t="shared" si="5"/>
        <v>2</v>
      </c>
      <c r="E196" t="s">
        <v>13</v>
      </c>
      <c r="F196" t="s">
        <v>14</v>
      </c>
      <c r="G196" t="s">
        <v>19</v>
      </c>
      <c r="H196" s="2">
        <v>61498</v>
      </c>
      <c r="I196" s="2">
        <v>2</v>
      </c>
      <c r="J196" s="2">
        <v>122047</v>
      </c>
      <c r="K196" s="2">
        <v>41835</v>
      </c>
      <c r="L196" s="2">
        <v>8</v>
      </c>
      <c r="M196" t="str">
        <f>IF(Revv_bike_sales_data[[#This Row],[delivery_days]]&lt;=7, "Yes", "No")</f>
        <v>No</v>
      </c>
      <c r="N196" t="s">
        <v>16</v>
      </c>
      <c r="O196" s="2">
        <v>80212</v>
      </c>
    </row>
    <row r="197" spans="1:15" x14ac:dyDescent="0.3">
      <c r="A197" s="2">
        <v>187</v>
      </c>
      <c r="B197" s="1">
        <v>44934.75</v>
      </c>
      <c r="C197" s="1" t="str">
        <f t="shared" si="4"/>
        <v>01-2023</v>
      </c>
      <c r="D197" s="2">
        <f t="shared" si="5"/>
        <v>2</v>
      </c>
      <c r="E197" t="s">
        <v>17</v>
      </c>
      <c r="F197" t="s">
        <v>14</v>
      </c>
      <c r="G197" t="s">
        <v>15</v>
      </c>
      <c r="H197" s="2">
        <v>29547</v>
      </c>
      <c r="I197" s="2">
        <v>6</v>
      </c>
      <c r="J197" s="2">
        <v>178498</v>
      </c>
      <c r="K197" s="2">
        <v>42725</v>
      </c>
      <c r="L197" s="2">
        <v>7</v>
      </c>
      <c r="M197" t="str">
        <f>IF(Revv_bike_sales_data[[#This Row],[delivery_days]]&lt;=7, "Yes", "No")</f>
        <v>Yes</v>
      </c>
      <c r="N197" t="s">
        <v>16</v>
      </c>
      <c r="O197" s="2">
        <v>135773</v>
      </c>
    </row>
    <row r="198" spans="1:15" x14ac:dyDescent="0.3">
      <c r="A198" s="2">
        <v>188</v>
      </c>
      <c r="B198" s="1">
        <v>44934.791666666664</v>
      </c>
      <c r="C198" s="1" t="str">
        <f t="shared" si="4"/>
        <v>01-2023</v>
      </c>
      <c r="D198" s="2">
        <f t="shared" si="5"/>
        <v>2</v>
      </c>
      <c r="E198" t="s">
        <v>25</v>
      </c>
      <c r="F198" t="s">
        <v>14</v>
      </c>
      <c r="G198" t="s">
        <v>21</v>
      </c>
      <c r="H198" s="2">
        <v>43856</v>
      </c>
      <c r="I198" s="2">
        <v>9</v>
      </c>
      <c r="J198" s="2">
        <v>55982</v>
      </c>
      <c r="K198" s="2">
        <v>40357</v>
      </c>
      <c r="L198" s="2">
        <v>12</v>
      </c>
      <c r="M198" t="str">
        <f>IF(Revv_bike_sales_data[[#This Row],[delivery_days]]&lt;=7, "Yes", "No")</f>
        <v>No</v>
      </c>
      <c r="N198" t="s">
        <v>16</v>
      </c>
      <c r="O198" s="2">
        <v>15625</v>
      </c>
    </row>
    <row r="199" spans="1:15" x14ac:dyDescent="0.3">
      <c r="A199" s="2">
        <v>189</v>
      </c>
      <c r="B199" s="1">
        <v>44934.833333333336</v>
      </c>
      <c r="C199" s="1" t="str">
        <f t="shared" si="4"/>
        <v>01-2023</v>
      </c>
      <c r="D199" s="2">
        <f t="shared" si="5"/>
        <v>2</v>
      </c>
      <c r="E199" t="s">
        <v>25</v>
      </c>
      <c r="F199" t="s">
        <v>14</v>
      </c>
      <c r="G199" t="s">
        <v>21</v>
      </c>
      <c r="H199" s="2">
        <v>37634</v>
      </c>
      <c r="I199" s="2">
        <v>2</v>
      </c>
      <c r="J199" s="2">
        <v>84720</v>
      </c>
      <c r="K199" s="2">
        <v>124209</v>
      </c>
      <c r="L199" s="2">
        <v>7</v>
      </c>
      <c r="M199" t="str">
        <f>IF(Revv_bike_sales_data[[#This Row],[delivery_days]]&lt;=7, "Yes", "No")</f>
        <v>Yes</v>
      </c>
      <c r="N199" t="s">
        <v>16</v>
      </c>
      <c r="O199" s="2">
        <v>-39489</v>
      </c>
    </row>
    <row r="200" spans="1:15" x14ac:dyDescent="0.3">
      <c r="A200" s="2">
        <v>190</v>
      </c>
      <c r="B200" s="1">
        <v>44934.875</v>
      </c>
      <c r="C200" s="1" t="str">
        <f t="shared" si="4"/>
        <v>01-2023</v>
      </c>
      <c r="D200" s="2">
        <f t="shared" si="5"/>
        <v>2</v>
      </c>
      <c r="E200" t="s">
        <v>18</v>
      </c>
      <c r="F200" t="s">
        <v>14</v>
      </c>
      <c r="G200" t="s">
        <v>19</v>
      </c>
      <c r="H200" s="2">
        <v>67542</v>
      </c>
      <c r="I200" s="2">
        <v>2</v>
      </c>
      <c r="J200" s="2">
        <v>172818</v>
      </c>
      <c r="K200" s="2">
        <v>16244</v>
      </c>
      <c r="L200" s="2">
        <v>9</v>
      </c>
      <c r="M200" t="str">
        <f>IF(Revv_bike_sales_data[[#This Row],[delivery_days]]&lt;=7, "Yes", "No")</f>
        <v>No</v>
      </c>
      <c r="N200" t="s">
        <v>16</v>
      </c>
      <c r="O200" s="2">
        <v>156574</v>
      </c>
    </row>
    <row r="201" spans="1:15" x14ac:dyDescent="0.3">
      <c r="A201" s="2">
        <v>191</v>
      </c>
      <c r="B201" s="1">
        <v>44934.916666666664</v>
      </c>
      <c r="C201" s="1" t="str">
        <f t="shared" si="4"/>
        <v>01-2023</v>
      </c>
      <c r="D201" s="2">
        <f t="shared" si="5"/>
        <v>2</v>
      </c>
      <c r="E201" t="s">
        <v>22</v>
      </c>
      <c r="F201" t="s">
        <v>14</v>
      </c>
      <c r="G201" t="s">
        <v>20</v>
      </c>
      <c r="H201" s="2">
        <v>51810</v>
      </c>
      <c r="I201" s="2">
        <v>2</v>
      </c>
      <c r="J201" s="2">
        <v>53514</v>
      </c>
      <c r="K201" s="2">
        <v>82952</v>
      </c>
      <c r="L201" s="2">
        <v>13</v>
      </c>
      <c r="M201" t="str">
        <f>IF(Revv_bike_sales_data[[#This Row],[delivery_days]]&lt;=7, "Yes", "No")</f>
        <v>No</v>
      </c>
      <c r="N201" t="s">
        <v>16</v>
      </c>
      <c r="O201" s="2">
        <v>-29438</v>
      </c>
    </row>
    <row r="202" spans="1:15" x14ac:dyDescent="0.3">
      <c r="A202" s="2">
        <v>192</v>
      </c>
      <c r="B202" s="1">
        <v>44934.958333333336</v>
      </c>
      <c r="C202" s="1" t="str">
        <f t="shared" si="4"/>
        <v>01-2023</v>
      </c>
      <c r="D202" s="2">
        <f t="shared" si="5"/>
        <v>2</v>
      </c>
      <c r="E202" t="s">
        <v>17</v>
      </c>
      <c r="F202" t="s">
        <v>14</v>
      </c>
      <c r="G202" t="s">
        <v>21</v>
      </c>
      <c r="H202" s="2">
        <v>81258</v>
      </c>
      <c r="I202" s="2">
        <v>6</v>
      </c>
      <c r="J202" s="2">
        <v>159923</v>
      </c>
      <c r="K202" s="2">
        <v>63061</v>
      </c>
      <c r="L202" s="2">
        <v>10</v>
      </c>
      <c r="M202" t="str">
        <f>IF(Revv_bike_sales_data[[#This Row],[delivery_days]]&lt;=7, "Yes", "No")</f>
        <v>No</v>
      </c>
      <c r="N202" t="s">
        <v>16</v>
      </c>
      <c r="O202" s="2">
        <v>96862</v>
      </c>
    </row>
    <row r="203" spans="1:15" x14ac:dyDescent="0.3">
      <c r="A203" s="2">
        <v>193</v>
      </c>
      <c r="B203" s="1">
        <v>44935</v>
      </c>
      <c r="C203" s="1" t="str">
        <f t="shared" ref="C203:C266" si="6">TEXT(B203,"mm-yyyy")</f>
        <v>01-2023</v>
      </c>
      <c r="D203" s="2">
        <f t="shared" ref="D203:D266" si="7">WEEKNUM(B203)</f>
        <v>2</v>
      </c>
      <c r="E203" t="s">
        <v>13</v>
      </c>
      <c r="F203" t="s">
        <v>14</v>
      </c>
      <c r="G203" t="s">
        <v>19</v>
      </c>
      <c r="H203" s="2">
        <v>12863</v>
      </c>
      <c r="I203" s="2">
        <v>3</v>
      </c>
      <c r="J203" s="2">
        <v>175868</v>
      </c>
      <c r="K203" s="2">
        <v>21490</v>
      </c>
      <c r="L203" s="2">
        <v>7</v>
      </c>
      <c r="M203" t="str">
        <f>IF(Revv_bike_sales_data[[#This Row],[delivery_days]]&lt;=7, "Yes", "No")</f>
        <v>Yes</v>
      </c>
      <c r="N203" t="s">
        <v>16</v>
      </c>
      <c r="O203" s="2">
        <v>154378</v>
      </c>
    </row>
    <row r="204" spans="1:15" x14ac:dyDescent="0.3">
      <c r="A204" s="2">
        <v>194</v>
      </c>
      <c r="B204" s="1">
        <v>44935.041666666664</v>
      </c>
      <c r="C204" s="1" t="str">
        <f t="shared" si="6"/>
        <v>01-2023</v>
      </c>
      <c r="D204" s="2">
        <f t="shared" si="7"/>
        <v>2</v>
      </c>
      <c r="E204" t="s">
        <v>22</v>
      </c>
      <c r="F204" t="s">
        <v>14</v>
      </c>
      <c r="G204" t="s">
        <v>15</v>
      </c>
      <c r="H204" s="2">
        <v>85649</v>
      </c>
      <c r="I204" s="2">
        <v>3</v>
      </c>
      <c r="J204" s="2">
        <v>101034</v>
      </c>
      <c r="K204" s="2">
        <v>135856</v>
      </c>
      <c r="L204" s="2">
        <v>2</v>
      </c>
      <c r="M204" t="str">
        <f>IF(Revv_bike_sales_data[[#This Row],[delivery_days]]&lt;=7, "Yes", "No")</f>
        <v>Yes</v>
      </c>
      <c r="N204" t="s">
        <v>16</v>
      </c>
      <c r="O204" s="2">
        <v>-34822</v>
      </c>
    </row>
    <row r="205" spans="1:15" x14ac:dyDescent="0.3">
      <c r="A205" s="2">
        <v>195</v>
      </c>
      <c r="B205" s="1">
        <v>44935.083333333336</v>
      </c>
      <c r="C205" s="1" t="str">
        <f t="shared" si="6"/>
        <v>01-2023</v>
      </c>
      <c r="D205" s="2">
        <f t="shared" si="7"/>
        <v>2</v>
      </c>
      <c r="E205" t="s">
        <v>13</v>
      </c>
      <c r="F205" t="s">
        <v>14</v>
      </c>
      <c r="G205" t="s">
        <v>15</v>
      </c>
      <c r="H205" s="2">
        <v>45063</v>
      </c>
      <c r="I205" s="2">
        <v>2</v>
      </c>
      <c r="J205" s="2">
        <v>123388</v>
      </c>
      <c r="K205" s="2">
        <v>138855</v>
      </c>
      <c r="L205" s="2">
        <v>1</v>
      </c>
      <c r="M205" t="str">
        <f>IF(Revv_bike_sales_data[[#This Row],[delivery_days]]&lt;=7, "Yes", "No")</f>
        <v>Yes</v>
      </c>
      <c r="N205" t="s">
        <v>16</v>
      </c>
      <c r="O205" s="2">
        <v>-15467</v>
      </c>
    </row>
    <row r="206" spans="1:15" x14ac:dyDescent="0.3">
      <c r="A206" s="2">
        <v>196</v>
      </c>
      <c r="B206" s="1">
        <v>44935.125</v>
      </c>
      <c r="C206" s="1" t="str">
        <f t="shared" si="6"/>
        <v>01-2023</v>
      </c>
      <c r="D206" s="2">
        <f t="shared" si="7"/>
        <v>2</v>
      </c>
      <c r="E206" t="s">
        <v>18</v>
      </c>
      <c r="F206" t="s">
        <v>23</v>
      </c>
      <c r="G206" t="s">
        <v>19</v>
      </c>
      <c r="H206" s="2">
        <v>31128</v>
      </c>
      <c r="I206" s="2">
        <v>9</v>
      </c>
      <c r="J206" s="2">
        <v>69845</v>
      </c>
      <c r="K206" s="2">
        <v>92219</v>
      </c>
      <c r="L206" s="2">
        <v>1</v>
      </c>
      <c r="M206" t="str">
        <f>IF(Revv_bike_sales_data[[#This Row],[delivery_days]]&lt;=7, "Yes", "No")</f>
        <v>Yes</v>
      </c>
      <c r="N206" t="s">
        <v>24</v>
      </c>
      <c r="O206" s="2">
        <v>-22374</v>
      </c>
    </row>
    <row r="207" spans="1:15" x14ac:dyDescent="0.3">
      <c r="A207" s="2">
        <v>197</v>
      </c>
      <c r="B207" s="1">
        <v>44935.166666666664</v>
      </c>
      <c r="C207" s="1" t="str">
        <f t="shared" si="6"/>
        <v>01-2023</v>
      </c>
      <c r="D207" s="2">
        <f t="shared" si="7"/>
        <v>2</v>
      </c>
      <c r="E207" t="s">
        <v>18</v>
      </c>
      <c r="F207" t="s">
        <v>14</v>
      </c>
      <c r="G207" t="s">
        <v>20</v>
      </c>
      <c r="H207" s="2">
        <v>70172</v>
      </c>
      <c r="I207" s="2">
        <v>8</v>
      </c>
      <c r="J207" s="2">
        <v>172002</v>
      </c>
      <c r="K207" s="2">
        <v>20839</v>
      </c>
      <c r="L207" s="2">
        <v>7</v>
      </c>
      <c r="M207" t="str">
        <f>IF(Revv_bike_sales_data[[#This Row],[delivery_days]]&lt;=7, "Yes", "No")</f>
        <v>Yes</v>
      </c>
      <c r="N207" t="s">
        <v>16</v>
      </c>
      <c r="O207" s="2">
        <v>151163</v>
      </c>
    </row>
    <row r="208" spans="1:15" x14ac:dyDescent="0.3">
      <c r="A208" s="2">
        <v>198</v>
      </c>
      <c r="B208" s="1">
        <v>44935.208333333336</v>
      </c>
      <c r="C208" s="1" t="str">
        <f t="shared" si="6"/>
        <v>01-2023</v>
      </c>
      <c r="D208" s="2">
        <f t="shared" si="7"/>
        <v>2</v>
      </c>
      <c r="E208" t="s">
        <v>25</v>
      </c>
      <c r="F208" t="s">
        <v>23</v>
      </c>
      <c r="G208" t="s">
        <v>19</v>
      </c>
      <c r="H208" s="2">
        <v>46746</v>
      </c>
      <c r="I208" s="2">
        <v>1</v>
      </c>
      <c r="J208" s="2">
        <v>135853</v>
      </c>
      <c r="K208" s="2">
        <v>39992</v>
      </c>
      <c r="L208" s="2">
        <v>5</v>
      </c>
      <c r="M208" t="str">
        <f>IF(Revv_bike_sales_data[[#This Row],[delivery_days]]&lt;=7, "Yes", "No")</f>
        <v>Yes</v>
      </c>
      <c r="N208" t="s">
        <v>16</v>
      </c>
      <c r="O208" s="2">
        <v>95861</v>
      </c>
    </row>
    <row r="209" spans="1:15" x14ac:dyDescent="0.3">
      <c r="A209" s="2">
        <v>199</v>
      </c>
      <c r="B209" s="1">
        <v>44935.25</v>
      </c>
      <c r="C209" s="1" t="str">
        <f t="shared" si="6"/>
        <v>01-2023</v>
      </c>
      <c r="D209" s="2">
        <f t="shared" si="7"/>
        <v>2</v>
      </c>
      <c r="E209" t="s">
        <v>17</v>
      </c>
      <c r="F209" t="s">
        <v>14</v>
      </c>
      <c r="G209" t="s">
        <v>19</v>
      </c>
      <c r="H209" s="2">
        <v>11661</v>
      </c>
      <c r="I209" s="2">
        <v>3</v>
      </c>
      <c r="J209" s="2">
        <v>133417</v>
      </c>
      <c r="K209" s="2">
        <v>128154</v>
      </c>
      <c r="L209" s="2">
        <v>4</v>
      </c>
      <c r="M209" t="str">
        <f>IF(Revv_bike_sales_data[[#This Row],[delivery_days]]&lt;=7, "Yes", "No")</f>
        <v>Yes</v>
      </c>
      <c r="N209" t="s">
        <v>16</v>
      </c>
      <c r="O209" s="2">
        <v>5263</v>
      </c>
    </row>
    <row r="210" spans="1:15" x14ac:dyDescent="0.3">
      <c r="A210" s="2">
        <v>200</v>
      </c>
      <c r="B210" s="1">
        <v>44935.291666666664</v>
      </c>
      <c r="C210" s="1" t="str">
        <f t="shared" si="6"/>
        <v>01-2023</v>
      </c>
      <c r="D210" s="2">
        <f t="shared" si="7"/>
        <v>2</v>
      </c>
      <c r="E210" t="s">
        <v>13</v>
      </c>
      <c r="F210" t="s">
        <v>14</v>
      </c>
      <c r="G210" t="s">
        <v>21</v>
      </c>
      <c r="H210" s="2">
        <v>89610</v>
      </c>
      <c r="I210" s="2">
        <v>7</v>
      </c>
      <c r="J210" s="2">
        <v>138436</v>
      </c>
      <c r="K210" s="2">
        <v>138094</v>
      </c>
      <c r="L210" s="2">
        <v>5</v>
      </c>
      <c r="M210" t="str">
        <f>IF(Revv_bike_sales_data[[#This Row],[delivery_days]]&lt;=7, "Yes", "No")</f>
        <v>Yes</v>
      </c>
      <c r="N210" t="s">
        <v>16</v>
      </c>
      <c r="O210" s="2">
        <v>342</v>
      </c>
    </row>
    <row r="211" spans="1:15" x14ac:dyDescent="0.3">
      <c r="A211" s="2">
        <v>201</v>
      </c>
      <c r="B211" s="1">
        <v>44935.333333333336</v>
      </c>
      <c r="C211" s="1" t="str">
        <f t="shared" si="6"/>
        <v>01-2023</v>
      </c>
      <c r="D211" s="2">
        <f t="shared" si="7"/>
        <v>2</v>
      </c>
      <c r="E211" t="s">
        <v>22</v>
      </c>
      <c r="F211" t="s">
        <v>14</v>
      </c>
      <c r="G211" t="s">
        <v>19</v>
      </c>
      <c r="H211" s="2">
        <v>92938</v>
      </c>
      <c r="I211" s="2">
        <v>5</v>
      </c>
      <c r="J211" s="2">
        <v>46159</v>
      </c>
      <c r="K211" s="2">
        <v>59938</v>
      </c>
      <c r="L211" s="2">
        <v>10</v>
      </c>
      <c r="M211" t="str">
        <f>IF(Revv_bike_sales_data[[#This Row],[delivery_days]]&lt;=7, "Yes", "No")</f>
        <v>No</v>
      </c>
      <c r="N211" t="s">
        <v>16</v>
      </c>
      <c r="O211" s="2">
        <v>-13779</v>
      </c>
    </row>
    <row r="212" spans="1:15" x14ac:dyDescent="0.3">
      <c r="A212" s="2">
        <v>202</v>
      </c>
      <c r="B212" s="1">
        <v>44935.375</v>
      </c>
      <c r="C212" s="1" t="str">
        <f t="shared" si="6"/>
        <v>01-2023</v>
      </c>
      <c r="D212" s="2">
        <f t="shared" si="7"/>
        <v>2</v>
      </c>
      <c r="E212" t="s">
        <v>18</v>
      </c>
      <c r="F212" t="s">
        <v>14</v>
      </c>
      <c r="G212" t="s">
        <v>19</v>
      </c>
      <c r="H212" s="2">
        <v>3310</v>
      </c>
      <c r="I212" s="2">
        <v>6</v>
      </c>
      <c r="J212" s="2">
        <v>114788</v>
      </c>
      <c r="K212" s="2">
        <v>139015</v>
      </c>
      <c r="L212" s="2">
        <v>10</v>
      </c>
      <c r="M212" t="str">
        <f>IF(Revv_bike_sales_data[[#This Row],[delivery_days]]&lt;=7, "Yes", "No")</f>
        <v>No</v>
      </c>
      <c r="N212" t="s">
        <v>16</v>
      </c>
      <c r="O212" s="2">
        <v>-24227</v>
      </c>
    </row>
    <row r="213" spans="1:15" x14ac:dyDescent="0.3">
      <c r="A213" s="2">
        <v>203</v>
      </c>
      <c r="B213" s="1">
        <v>44935.416666666664</v>
      </c>
      <c r="C213" s="1" t="str">
        <f t="shared" si="6"/>
        <v>01-2023</v>
      </c>
      <c r="D213" s="2">
        <f t="shared" si="7"/>
        <v>2</v>
      </c>
      <c r="E213" t="s">
        <v>25</v>
      </c>
      <c r="F213" t="s">
        <v>23</v>
      </c>
      <c r="G213" t="s">
        <v>15</v>
      </c>
      <c r="H213" s="2">
        <v>60360</v>
      </c>
      <c r="I213" s="2">
        <v>6</v>
      </c>
      <c r="J213" s="2">
        <v>49003</v>
      </c>
      <c r="K213" s="2">
        <v>71249</v>
      </c>
      <c r="L213" s="2">
        <v>6</v>
      </c>
      <c r="M213" t="str">
        <f>IF(Revv_bike_sales_data[[#This Row],[delivery_days]]&lt;=7, "Yes", "No")</f>
        <v>Yes</v>
      </c>
      <c r="N213" t="s">
        <v>16</v>
      </c>
      <c r="O213" s="2">
        <v>-22246</v>
      </c>
    </row>
    <row r="214" spans="1:15" x14ac:dyDescent="0.3">
      <c r="A214" s="2">
        <v>204</v>
      </c>
      <c r="B214" s="1">
        <v>44935.458333333336</v>
      </c>
      <c r="C214" s="1" t="str">
        <f t="shared" si="6"/>
        <v>01-2023</v>
      </c>
      <c r="D214" s="2">
        <f t="shared" si="7"/>
        <v>2</v>
      </c>
      <c r="E214" t="s">
        <v>25</v>
      </c>
      <c r="F214" t="s">
        <v>14</v>
      </c>
      <c r="G214" t="s">
        <v>21</v>
      </c>
      <c r="H214" s="2">
        <v>77699</v>
      </c>
      <c r="I214" s="2">
        <v>1</v>
      </c>
      <c r="J214" s="2">
        <v>130722</v>
      </c>
      <c r="K214" s="2">
        <v>59735</v>
      </c>
      <c r="L214" s="2">
        <v>12</v>
      </c>
      <c r="M214" t="str">
        <f>IF(Revv_bike_sales_data[[#This Row],[delivery_days]]&lt;=7, "Yes", "No")</f>
        <v>No</v>
      </c>
      <c r="N214" t="s">
        <v>16</v>
      </c>
      <c r="O214" s="2">
        <v>70987</v>
      </c>
    </row>
    <row r="215" spans="1:15" x14ac:dyDescent="0.3">
      <c r="A215" s="2">
        <v>205</v>
      </c>
      <c r="B215" s="1">
        <v>44935.5</v>
      </c>
      <c r="C215" s="1" t="str">
        <f t="shared" si="6"/>
        <v>01-2023</v>
      </c>
      <c r="D215" s="2">
        <f t="shared" si="7"/>
        <v>2</v>
      </c>
      <c r="E215" t="s">
        <v>13</v>
      </c>
      <c r="F215" t="s">
        <v>14</v>
      </c>
      <c r="G215" t="s">
        <v>15</v>
      </c>
      <c r="H215" s="2">
        <v>72188</v>
      </c>
      <c r="I215" s="2">
        <v>3</v>
      </c>
      <c r="J215" s="2">
        <v>60139</v>
      </c>
      <c r="K215" s="2">
        <v>118313</v>
      </c>
      <c r="L215" s="2">
        <v>10</v>
      </c>
      <c r="M215" t="str">
        <f>IF(Revv_bike_sales_data[[#This Row],[delivery_days]]&lt;=7, "Yes", "No")</f>
        <v>No</v>
      </c>
      <c r="N215" t="s">
        <v>24</v>
      </c>
      <c r="O215" s="2">
        <v>-58174</v>
      </c>
    </row>
    <row r="216" spans="1:15" x14ac:dyDescent="0.3">
      <c r="A216" s="2">
        <v>206</v>
      </c>
      <c r="B216" s="1">
        <v>44935.541666666664</v>
      </c>
      <c r="C216" s="1" t="str">
        <f t="shared" si="6"/>
        <v>01-2023</v>
      </c>
      <c r="D216" s="2">
        <f t="shared" si="7"/>
        <v>2</v>
      </c>
      <c r="E216" t="s">
        <v>18</v>
      </c>
      <c r="F216" t="s">
        <v>14</v>
      </c>
      <c r="G216" t="s">
        <v>15</v>
      </c>
      <c r="H216" s="2">
        <v>66048</v>
      </c>
      <c r="I216" s="2">
        <v>9</v>
      </c>
      <c r="J216" s="2">
        <v>77452</v>
      </c>
      <c r="K216" s="2">
        <v>65734</v>
      </c>
      <c r="L216" s="2">
        <v>6</v>
      </c>
      <c r="M216" t="str">
        <f>IF(Revv_bike_sales_data[[#This Row],[delivery_days]]&lt;=7, "Yes", "No")</f>
        <v>Yes</v>
      </c>
      <c r="N216" t="s">
        <v>16</v>
      </c>
      <c r="O216" s="2">
        <v>11718</v>
      </c>
    </row>
    <row r="217" spans="1:15" x14ac:dyDescent="0.3">
      <c r="A217" s="2">
        <v>207</v>
      </c>
      <c r="B217" s="1">
        <v>44935.583333333336</v>
      </c>
      <c r="C217" s="1" t="str">
        <f t="shared" si="6"/>
        <v>01-2023</v>
      </c>
      <c r="D217" s="2">
        <f t="shared" si="7"/>
        <v>2</v>
      </c>
      <c r="E217" t="s">
        <v>17</v>
      </c>
      <c r="F217" t="s">
        <v>14</v>
      </c>
      <c r="G217" t="s">
        <v>20</v>
      </c>
      <c r="H217" s="2">
        <v>62863</v>
      </c>
      <c r="I217" s="2">
        <v>9</v>
      </c>
      <c r="J217" s="2">
        <v>47205</v>
      </c>
      <c r="K217" s="2">
        <v>62080</v>
      </c>
      <c r="L217" s="2">
        <v>1</v>
      </c>
      <c r="M217" t="str">
        <f>IF(Revv_bike_sales_data[[#This Row],[delivery_days]]&lt;=7, "Yes", "No")</f>
        <v>Yes</v>
      </c>
      <c r="N217" t="s">
        <v>16</v>
      </c>
      <c r="O217" s="2">
        <v>-14875</v>
      </c>
    </row>
    <row r="218" spans="1:15" x14ac:dyDescent="0.3">
      <c r="A218" s="2">
        <v>208</v>
      </c>
      <c r="B218" s="1">
        <v>44935.625</v>
      </c>
      <c r="C218" s="1" t="str">
        <f t="shared" si="6"/>
        <v>01-2023</v>
      </c>
      <c r="D218" s="2">
        <f t="shared" si="7"/>
        <v>2</v>
      </c>
      <c r="E218" t="s">
        <v>18</v>
      </c>
      <c r="F218" t="s">
        <v>23</v>
      </c>
      <c r="G218" t="s">
        <v>20</v>
      </c>
      <c r="H218" s="2">
        <v>11662</v>
      </c>
      <c r="I218" s="2">
        <v>5</v>
      </c>
      <c r="J218" s="2">
        <v>81955</v>
      </c>
      <c r="K218" s="2">
        <v>89460</v>
      </c>
      <c r="L218" s="2">
        <v>2</v>
      </c>
      <c r="M218" t="str">
        <f>IF(Revv_bike_sales_data[[#This Row],[delivery_days]]&lt;=7, "Yes", "No")</f>
        <v>Yes</v>
      </c>
      <c r="N218" t="s">
        <v>16</v>
      </c>
      <c r="O218" s="2">
        <v>-7505</v>
      </c>
    </row>
    <row r="219" spans="1:15" x14ac:dyDescent="0.3">
      <c r="A219" s="2">
        <v>209</v>
      </c>
      <c r="B219" s="1">
        <v>44935.666666666664</v>
      </c>
      <c r="C219" s="1" t="str">
        <f t="shared" si="6"/>
        <v>01-2023</v>
      </c>
      <c r="D219" s="2">
        <f t="shared" si="7"/>
        <v>2</v>
      </c>
      <c r="E219" t="s">
        <v>13</v>
      </c>
      <c r="F219" t="s">
        <v>14</v>
      </c>
      <c r="G219" t="s">
        <v>21</v>
      </c>
      <c r="H219" s="2">
        <v>88358</v>
      </c>
      <c r="I219" s="2">
        <v>2</v>
      </c>
      <c r="J219" s="2">
        <v>32464</v>
      </c>
      <c r="K219" s="2">
        <v>96457</v>
      </c>
      <c r="L219" s="2">
        <v>3</v>
      </c>
      <c r="M219" t="str">
        <f>IF(Revv_bike_sales_data[[#This Row],[delivery_days]]&lt;=7, "Yes", "No")</f>
        <v>Yes</v>
      </c>
      <c r="N219" t="s">
        <v>16</v>
      </c>
      <c r="O219" s="2">
        <v>-63993</v>
      </c>
    </row>
    <row r="220" spans="1:15" x14ac:dyDescent="0.3">
      <c r="A220" s="2">
        <v>210</v>
      </c>
      <c r="B220" s="1">
        <v>44935.708333333336</v>
      </c>
      <c r="C220" s="1" t="str">
        <f t="shared" si="6"/>
        <v>01-2023</v>
      </c>
      <c r="D220" s="2">
        <f t="shared" si="7"/>
        <v>2</v>
      </c>
      <c r="E220" t="s">
        <v>13</v>
      </c>
      <c r="F220" t="s">
        <v>14</v>
      </c>
      <c r="G220" t="s">
        <v>21</v>
      </c>
      <c r="H220" s="2">
        <v>74035</v>
      </c>
      <c r="I220" s="2">
        <v>8</v>
      </c>
      <c r="J220" s="2">
        <v>34840</v>
      </c>
      <c r="K220" s="2">
        <v>39260</v>
      </c>
      <c r="L220" s="2">
        <v>4</v>
      </c>
      <c r="M220" t="str">
        <f>IF(Revv_bike_sales_data[[#This Row],[delivery_days]]&lt;=7, "Yes", "No")</f>
        <v>Yes</v>
      </c>
      <c r="N220" t="s">
        <v>16</v>
      </c>
      <c r="O220" s="2">
        <v>-4420</v>
      </c>
    </row>
    <row r="221" spans="1:15" x14ac:dyDescent="0.3">
      <c r="A221" s="2">
        <v>211</v>
      </c>
      <c r="B221" s="1">
        <v>44935.75</v>
      </c>
      <c r="C221" s="1" t="str">
        <f t="shared" si="6"/>
        <v>01-2023</v>
      </c>
      <c r="D221" s="2">
        <f t="shared" si="7"/>
        <v>2</v>
      </c>
      <c r="E221" t="s">
        <v>18</v>
      </c>
      <c r="F221" t="s">
        <v>14</v>
      </c>
      <c r="G221" t="s">
        <v>20</v>
      </c>
      <c r="H221" s="2">
        <v>7719</v>
      </c>
      <c r="I221" s="2">
        <v>3</v>
      </c>
      <c r="J221" s="2">
        <v>65768</v>
      </c>
      <c r="K221" s="2">
        <v>74607</v>
      </c>
      <c r="L221" s="2">
        <v>6</v>
      </c>
      <c r="M221" t="str">
        <f>IF(Revv_bike_sales_data[[#This Row],[delivery_days]]&lt;=7, "Yes", "No")</f>
        <v>Yes</v>
      </c>
      <c r="N221" t="s">
        <v>16</v>
      </c>
      <c r="O221" s="2">
        <v>-8839</v>
      </c>
    </row>
    <row r="222" spans="1:15" x14ac:dyDescent="0.3">
      <c r="A222" s="2">
        <v>212</v>
      </c>
      <c r="B222" s="1">
        <v>44935.791666666664</v>
      </c>
      <c r="C222" s="1" t="str">
        <f t="shared" si="6"/>
        <v>01-2023</v>
      </c>
      <c r="D222" s="2">
        <f t="shared" si="7"/>
        <v>2</v>
      </c>
      <c r="E222" t="s">
        <v>13</v>
      </c>
      <c r="F222" t="s">
        <v>14</v>
      </c>
      <c r="G222" t="s">
        <v>20</v>
      </c>
      <c r="H222" s="2">
        <v>71364</v>
      </c>
      <c r="I222" s="2">
        <v>9</v>
      </c>
      <c r="J222" s="2">
        <v>165533</v>
      </c>
      <c r="K222" s="2">
        <v>76852</v>
      </c>
      <c r="L222" s="2">
        <v>12</v>
      </c>
      <c r="M222" t="str">
        <f>IF(Revv_bike_sales_data[[#This Row],[delivery_days]]&lt;=7, "Yes", "No")</f>
        <v>No</v>
      </c>
      <c r="N222" t="s">
        <v>16</v>
      </c>
      <c r="O222" s="2">
        <v>88681</v>
      </c>
    </row>
    <row r="223" spans="1:15" x14ac:dyDescent="0.3">
      <c r="A223" s="2">
        <v>213</v>
      </c>
      <c r="B223" s="1">
        <v>44935.833333333336</v>
      </c>
      <c r="C223" s="1" t="str">
        <f t="shared" si="6"/>
        <v>01-2023</v>
      </c>
      <c r="D223" s="2">
        <f t="shared" si="7"/>
        <v>2</v>
      </c>
      <c r="E223" t="s">
        <v>18</v>
      </c>
      <c r="F223" t="s">
        <v>14</v>
      </c>
      <c r="G223" t="s">
        <v>20</v>
      </c>
      <c r="H223" s="2">
        <v>4121</v>
      </c>
      <c r="I223" s="2">
        <v>1</v>
      </c>
      <c r="J223" s="2">
        <v>45927</v>
      </c>
      <c r="K223" s="2">
        <v>43380</v>
      </c>
      <c r="L223" s="2">
        <v>12</v>
      </c>
      <c r="M223" t="str">
        <f>IF(Revv_bike_sales_data[[#This Row],[delivery_days]]&lt;=7, "Yes", "No")</f>
        <v>No</v>
      </c>
      <c r="N223" t="s">
        <v>16</v>
      </c>
      <c r="O223" s="2">
        <v>2547</v>
      </c>
    </row>
    <row r="224" spans="1:15" x14ac:dyDescent="0.3">
      <c r="A224" s="2">
        <v>214</v>
      </c>
      <c r="B224" s="1">
        <v>44935.875</v>
      </c>
      <c r="C224" s="1" t="str">
        <f t="shared" si="6"/>
        <v>01-2023</v>
      </c>
      <c r="D224" s="2">
        <f t="shared" si="7"/>
        <v>2</v>
      </c>
      <c r="E224" t="s">
        <v>22</v>
      </c>
      <c r="F224" t="s">
        <v>14</v>
      </c>
      <c r="G224" t="s">
        <v>20</v>
      </c>
      <c r="H224" s="2">
        <v>90292</v>
      </c>
      <c r="I224" s="2">
        <v>5</v>
      </c>
      <c r="J224" s="2">
        <v>123622</v>
      </c>
      <c r="K224" s="2">
        <v>99347</v>
      </c>
      <c r="L224" s="2">
        <v>11</v>
      </c>
      <c r="M224" t="str">
        <f>IF(Revv_bike_sales_data[[#This Row],[delivery_days]]&lt;=7, "Yes", "No")</f>
        <v>No</v>
      </c>
      <c r="N224" t="s">
        <v>16</v>
      </c>
      <c r="O224" s="2">
        <v>24275</v>
      </c>
    </row>
    <row r="225" spans="1:15" x14ac:dyDescent="0.3">
      <c r="A225" s="2">
        <v>215</v>
      </c>
      <c r="B225" s="1">
        <v>44935.916666666664</v>
      </c>
      <c r="C225" s="1" t="str">
        <f t="shared" si="6"/>
        <v>01-2023</v>
      </c>
      <c r="D225" s="2">
        <f t="shared" si="7"/>
        <v>2</v>
      </c>
      <c r="E225" t="s">
        <v>18</v>
      </c>
      <c r="F225" t="s">
        <v>14</v>
      </c>
      <c r="G225" t="s">
        <v>20</v>
      </c>
      <c r="H225" s="2">
        <v>44933</v>
      </c>
      <c r="I225" s="2">
        <v>0</v>
      </c>
      <c r="J225" s="2">
        <v>40329</v>
      </c>
      <c r="K225" s="2">
        <v>86257</v>
      </c>
      <c r="L225" s="2">
        <v>13</v>
      </c>
      <c r="M225" t="str">
        <f>IF(Revv_bike_sales_data[[#This Row],[delivery_days]]&lt;=7, "Yes", "No")</f>
        <v>No</v>
      </c>
      <c r="N225" t="s">
        <v>16</v>
      </c>
      <c r="O225" s="2">
        <v>-45928</v>
      </c>
    </row>
    <row r="226" spans="1:15" x14ac:dyDescent="0.3">
      <c r="A226" s="2">
        <v>216</v>
      </c>
      <c r="B226" s="1">
        <v>44935.958333333336</v>
      </c>
      <c r="C226" s="1" t="str">
        <f t="shared" si="6"/>
        <v>01-2023</v>
      </c>
      <c r="D226" s="2">
        <f t="shared" si="7"/>
        <v>2</v>
      </c>
      <c r="E226" t="s">
        <v>18</v>
      </c>
      <c r="F226" t="s">
        <v>14</v>
      </c>
      <c r="G226" t="s">
        <v>15</v>
      </c>
      <c r="H226" s="2">
        <v>77350</v>
      </c>
      <c r="I226" s="2">
        <v>5</v>
      </c>
      <c r="J226" s="2">
        <v>40791</v>
      </c>
      <c r="K226" s="2">
        <v>56191</v>
      </c>
      <c r="L226" s="2">
        <v>9</v>
      </c>
      <c r="M226" t="str">
        <f>IF(Revv_bike_sales_data[[#This Row],[delivery_days]]&lt;=7, "Yes", "No")</f>
        <v>No</v>
      </c>
      <c r="N226" t="s">
        <v>24</v>
      </c>
      <c r="O226" s="2">
        <v>-15400</v>
      </c>
    </row>
    <row r="227" spans="1:15" x14ac:dyDescent="0.3">
      <c r="A227" s="2">
        <v>217</v>
      </c>
      <c r="B227" s="1">
        <v>44936</v>
      </c>
      <c r="C227" s="1" t="str">
        <f t="shared" si="6"/>
        <v>01-2023</v>
      </c>
      <c r="D227" s="2">
        <f t="shared" si="7"/>
        <v>2</v>
      </c>
      <c r="E227" t="s">
        <v>13</v>
      </c>
      <c r="F227" t="s">
        <v>14</v>
      </c>
      <c r="G227" t="s">
        <v>21</v>
      </c>
      <c r="H227" s="2">
        <v>66688</v>
      </c>
      <c r="I227" s="2">
        <v>9</v>
      </c>
      <c r="J227" s="2">
        <v>77627</v>
      </c>
      <c r="K227" s="2">
        <v>19930</v>
      </c>
      <c r="L227" s="2">
        <v>12</v>
      </c>
      <c r="M227" t="str">
        <f>IF(Revv_bike_sales_data[[#This Row],[delivery_days]]&lt;=7, "Yes", "No")</f>
        <v>No</v>
      </c>
      <c r="N227" t="s">
        <v>16</v>
      </c>
      <c r="O227" s="2">
        <v>57697</v>
      </c>
    </row>
    <row r="228" spans="1:15" x14ac:dyDescent="0.3">
      <c r="A228" s="2">
        <v>218</v>
      </c>
      <c r="B228" s="1">
        <v>44936.041666666664</v>
      </c>
      <c r="C228" s="1" t="str">
        <f t="shared" si="6"/>
        <v>01-2023</v>
      </c>
      <c r="D228" s="2">
        <f t="shared" si="7"/>
        <v>2</v>
      </c>
      <c r="E228" t="s">
        <v>13</v>
      </c>
      <c r="F228" t="s">
        <v>14</v>
      </c>
      <c r="G228" t="s">
        <v>15</v>
      </c>
      <c r="H228" s="2">
        <v>55451</v>
      </c>
      <c r="I228" s="2">
        <v>0</v>
      </c>
      <c r="J228" s="2">
        <v>153885</v>
      </c>
      <c r="K228" s="2">
        <v>19353</v>
      </c>
      <c r="L228" s="2">
        <v>2</v>
      </c>
      <c r="M228" t="str">
        <f>IF(Revv_bike_sales_data[[#This Row],[delivery_days]]&lt;=7, "Yes", "No")</f>
        <v>Yes</v>
      </c>
      <c r="N228" t="s">
        <v>16</v>
      </c>
      <c r="O228" s="2">
        <v>134532</v>
      </c>
    </row>
    <row r="229" spans="1:15" x14ac:dyDescent="0.3">
      <c r="A229" s="2">
        <v>219</v>
      </c>
      <c r="B229" s="1">
        <v>44936.083333333336</v>
      </c>
      <c r="C229" s="1" t="str">
        <f t="shared" si="6"/>
        <v>01-2023</v>
      </c>
      <c r="D229" s="2">
        <f t="shared" si="7"/>
        <v>2</v>
      </c>
      <c r="E229" t="s">
        <v>25</v>
      </c>
      <c r="F229" t="s">
        <v>14</v>
      </c>
      <c r="G229" t="s">
        <v>15</v>
      </c>
      <c r="H229" s="2">
        <v>82218</v>
      </c>
      <c r="I229" s="2">
        <v>7</v>
      </c>
      <c r="J229" s="2">
        <v>170444</v>
      </c>
      <c r="K229" s="2">
        <v>22832</v>
      </c>
      <c r="L229" s="2">
        <v>8</v>
      </c>
      <c r="M229" t="str">
        <f>IF(Revv_bike_sales_data[[#This Row],[delivery_days]]&lt;=7, "Yes", "No")</f>
        <v>No</v>
      </c>
      <c r="N229" t="s">
        <v>16</v>
      </c>
      <c r="O229" s="2">
        <v>147612</v>
      </c>
    </row>
    <row r="230" spans="1:15" x14ac:dyDescent="0.3">
      <c r="A230" s="2">
        <v>220</v>
      </c>
      <c r="B230" s="1">
        <v>44936.125</v>
      </c>
      <c r="C230" s="1" t="str">
        <f t="shared" si="6"/>
        <v>01-2023</v>
      </c>
      <c r="D230" s="2">
        <f t="shared" si="7"/>
        <v>2</v>
      </c>
      <c r="E230" t="s">
        <v>25</v>
      </c>
      <c r="F230" t="s">
        <v>14</v>
      </c>
      <c r="G230" t="s">
        <v>19</v>
      </c>
      <c r="H230" s="2">
        <v>37058</v>
      </c>
      <c r="I230" s="2">
        <v>4</v>
      </c>
      <c r="J230" s="2">
        <v>134554</v>
      </c>
      <c r="K230" s="2">
        <v>135063</v>
      </c>
      <c r="L230" s="2">
        <v>9</v>
      </c>
      <c r="M230" t="str">
        <f>IF(Revv_bike_sales_data[[#This Row],[delivery_days]]&lt;=7, "Yes", "No")</f>
        <v>No</v>
      </c>
      <c r="N230" t="s">
        <v>16</v>
      </c>
      <c r="O230" s="2">
        <v>-509</v>
      </c>
    </row>
    <row r="231" spans="1:15" x14ac:dyDescent="0.3">
      <c r="A231" s="2">
        <v>221</v>
      </c>
      <c r="B231" s="1">
        <v>44936.166666666664</v>
      </c>
      <c r="C231" s="1" t="str">
        <f t="shared" si="6"/>
        <v>01-2023</v>
      </c>
      <c r="D231" s="2">
        <f t="shared" si="7"/>
        <v>2</v>
      </c>
      <c r="E231" t="s">
        <v>22</v>
      </c>
      <c r="F231" t="s">
        <v>14</v>
      </c>
      <c r="G231" t="s">
        <v>15</v>
      </c>
      <c r="H231" s="2">
        <v>16159</v>
      </c>
      <c r="I231" s="2">
        <v>5</v>
      </c>
      <c r="J231" s="2">
        <v>155436</v>
      </c>
      <c r="K231" s="2">
        <v>64554</v>
      </c>
      <c r="L231" s="2">
        <v>2</v>
      </c>
      <c r="M231" t="str">
        <f>IF(Revv_bike_sales_data[[#This Row],[delivery_days]]&lt;=7, "Yes", "No")</f>
        <v>Yes</v>
      </c>
      <c r="N231" t="s">
        <v>16</v>
      </c>
      <c r="O231" s="2">
        <v>90882</v>
      </c>
    </row>
    <row r="232" spans="1:15" x14ac:dyDescent="0.3">
      <c r="A232" s="2">
        <v>222</v>
      </c>
      <c r="B232" s="1">
        <v>44936.208333333336</v>
      </c>
      <c r="C232" s="1" t="str">
        <f t="shared" si="6"/>
        <v>01-2023</v>
      </c>
      <c r="D232" s="2">
        <f t="shared" si="7"/>
        <v>2</v>
      </c>
      <c r="E232" t="s">
        <v>25</v>
      </c>
      <c r="F232" t="s">
        <v>14</v>
      </c>
      <c r="G232" t="s">
        <v>20</v>
      </c>
      <c r="H232" s="2">
        <v>34913</v>
      </c>
      <c r="I232" s="2">
        <v>1</v>
      </c>
      <c r="J232" s="2">
        <v>112073</v>
      </c>
      <c r="K232" s="2">
        <v>103487</v>
      </c>
      <c r="L232" s="2">
        <v>9</v>
      </c>
      <c r="M232" t="str">
        <f>IF(Revv_bike_sales_data[[#This Row],[delivery_days]]&lt;=7, "Yes", "No")</f>
        <v>No</v>
      </c>
      <c r="N232" t="s">
        <v>16</v>
      </c>
      <c r="O232" s="2">
        <v>8586</v>
      </c>
    </row>
    <row r="233" spans="1:15" x14ac:dyDescent="0.3">
      <c r="A233" s="2">
        <v>223</v>
      </c>
      <c r="B233" s="1">
        <v>44936.25</v>
      </c>
      <c r="C233" s="1" t="str">
        <f t="shared" si="6"/>
        <v>01-2023</v>
      </c>
      <c r="D233" s="2">
        <f t="shared" si="7"/>
        <v>2</v>
      </c>
      <c r="E233" t="s">
        <v>18</v>
      </c>
      <c r="F233" t="s">
        <v>14</v>
      </c>
      <c r="G233" t="s">
        <v>20</v>
      </c>
      <c r="H233" s="2">
        <v>10935</v>
      </c>
      <c r="I233" s="2">
        <v>1</v>
      </c>
      <c r="J233" s="2">
        <v>59370</v>
      </c>
      <c r="K233" s="2">
        <v>69017</v>
      </c>
      <c r="L233" s="2">
        <v>7</v>
      </c>
      <c r="M233" t="str">
        <f>IF(Revv_bike_sales_data[[#This Row],[delivery_days]]&lt;=7, "Yes", "No")</f>
        <v>Yes</v>
      </c>
      <c r="N233" t="s">
        <v>16</v>
      </c>
      <c r="O233" s="2">
        <v>-9647</v>
      </c>
    </row>
    <row r="234" spans="1:15" x14ac:dyDescent="0.3">
      <c r="A234" s="2">
        <v>224</v>
      </c>
      <c r="B234" s="1">
        <v>44936.291666666664</v>
      </c>
      <c r="C234" s="1" t="str">
        <f t="shared" si="6"/>
        <v>01-2023</v>
      </c>
      <c r="D234" s="2">
        <f t="shared" si="7"/>
        <v>2</v>
      </c>
      <c r="E234" t="s">
        <v>13</v>
      </c>
      <c r="F234" t="s">
        <v>14</v>
      </c>
      <c r="G234" t="s">
        <v>19</v>
      </c>
      <c r="H234" s="2">
        <v>54411</v>
      </c>
      <c r="I234" s="2">
        <v>8</v>
      </c>
      <c r="J234" s="2">
        <v>76408</v>
      </c>
      <c r="K234" s="2">
        <v>72298</v>
      </c>
      <c r="L234" s="2">
        <v>9</v>
      </c>
      <c r="M234" t="str">
        <f>IF(Revv_bike_sales_data[[#This Row],[delivery_days]]&lt;=7, "Yes", "No")</f>
        <v>No</v>
      </c>
      <c r="N234" t="s">
        <v>16</v>
      </c>
      <c r="O234" s="2">
        <v>4110</v>
      </c>
    </row>
    <row r="235" spans="1:15" x14ac:dyDescent="0.3">
      <c r="A235" s="2">
        <v>225</v>
      </c>
      <c r="B235" s="1">
        <v>44936.333333333336</v>
      </c>
      <c r="C235" s="1" t="str">
        <f t="shared" si="6"/>
        <v>01-2023</v>
      </c>
      <c r="D235" s="2">
        <f t="shared" si="7"/>
        <v>2</v>
      </c>
      <c r="E235" t="s">
        <v>25</v>
      </c>
      <c r="F235" t="s">
        <v>14</v>
      </c>
      <c r="G235" t="s">
        <v>19</v>
      </c>
      <c r="H235" s="2">
        <v>28567</v>
      </c>
      <c r="I235" s="2">
        <v>2</v>
      </c>
      <c r="J235" s="2">
        <v>115941</v>
      </c>
      <c r="K235" s="2">
        <v>129752</v>
      </c>
      <c r="L235" s="2">
        <v>6</v>
      </c>
      <c r="M235" t="str">
        <f>IF(Revv_bike_sales_data[[#This Row],[delivery_days]]&lt;=7, "Yes", "No")</f>
        <v>Yes</v>
      </c>
      <c r="N235" t="s">
        <v>16</v>
      </c>
      <c r="O235" s="2">
        <v>-13811</v>
      </c>
    </row>
    <row r="236" spans="1:15" x14ac:dyDescent="0.3">
      <c r="A236" s="2">
        <v>226</v>
      </c>
      <c r="B236" s="1">
        <v>44936.375</v>
      </c>
      <c r="C236" s="1" t="str">
        <f t="shared" si="6"/>
        <v>01-2023</v>
      </c>
      <c r="D236" s="2">
        <f t="shared" si="7"/>
        <v>2</v>
      </c>
      <c r="E236" t="s">
        <v>25</v>
      </c>
      <c r="F236" t="s">
        <v>14</v>
      </c>
      <c r="G236" t="s">
        <v>19</v>
      </c>
      <c r="H236" s="2">
        <v>88294</v>
      </c>
      <c r="I236" s="2">
        <v>5</v>
      </c>
      <c r="J236" s="2">
        <v>179775</v>
      </c>
      <c r="K236" s="2">
        <v>66389</v>
      </c>
      <c r="L236" s="2">
        <v>2</v>
      </c>
      <c r="M236" t="str">
        <f>IF(Revv_bike_sales_data[[#This Row],[delivery_days]]&lt;=7, "Yes", "No")</f>
        <v>Yes</v>
      </c>
      <c r="N236" t="s">
        <v>16</v>
      </c>
      <c r="O236" s="2">
        <v>113386</v>
      </c>
    </row>
    <row r="237" spans="1:15" x14ac:dyDescent="0.3">
      <c r="A237" s="2">
        <v>227</v>
      </c>
      <c r="B237" s="1">
        <v>44936.416666666664</v>
      </c>
      <c r="C237" s="1" t="str">
        <f t="shared" si="6"/>
        <v>01-2023</v>
      </c>
      <c r="D237" s="2">
        <f t="shared" si="7"/>
        <v>2</v>
      </c>
      <c r="E237" t="s">
        <v>22</v>
      </c>
      <c r="F237" t="s">
        <v>14</v>
      </c>
      <c r="G237" t="s">
        <v>19</v>
      </c>
      <c r="H237" s="2">
        <v>94323</v>
      </c>
      <c r="I237" s="2">
        <v>9</v>
      </c>
      <c r="J237" s="2">
        <v>171306</v>
      </c>
      <c r="K237" s="2">
        <v>88306</v>
      </c>
      <c r="L237" s="2">
        <v>8</v>
      </c>
      <c r="M237" t="str">
        <f>IF(Revv_bike_sales_data[[#This Row],[delivery_days]]&lt;=7, "Yes", "No")</f>
        <v>No</v>
      </c>
      <c r="N237" t="s">
        <v>16</v>
      </c>
      <c r="O237" s="2">
        <v>83000</v>
      </c>
    </row>
    <row r="238" spans="1:15" x14ac:dyDescent="0.3">
      <c r="A238" s="2">
        <v>228</v>
      </c>
      <c r="B238" s="1">
        <v>44936.458333333336</v>
      </c>
      <c r="C238" s="1" t="str">
        <f t="shared" si="6"/>
        <v>01-2023</v>
      </c>
      <c r="D238" s="2">
        <f t="shared" si="7"/>
        <v>2</v>
      </c>
      <c r="E238" t="s">
        <v>22</v>
      </c>
      <c r="F238" t="s">
        <v>14</v>
      </c>
      <c r="G238" t="s">
        <v>19</v>
      </c>
      <c r="H238" s="2">
        <v>69724</v>
      </c>
      <c r="I238" s="2">
        <v>4</v>
      </c>
      <c r="J238" s="2">
        <v>163604</v>
      </c>
      <c r="K238" s="2">
        <v>40525</v>
      </c>
      <c r="L238" s="2">
        <v>10</v>
      </c>
      <c r="M238" t="str">
        <f>IF(Revv_bike_sales_data[[#This Row],[delivery_days]]&lt;=7, "Yes", "No")</f>
        <v>No</v>
      </c>
      <c r="N238" t="s">
        <v>16</v>
      </c>
      <c r="O238" s="2">
        <v>123079</v>
      </c>
    </row>
    <row r="239" spans="1:15" x14ac:dyDescent="0.3">
      <c r="A239" s="2">
        <v>229</v>
      </c>
      <c r="B239" s="1">
        <v>44936.5</v>
      </c>
      <c r="C239" s="1" t="str">
        <f t="shared" si="6"/>
        <v>01-2023</v>
      </c>
      <c r="D239" s="2">
        <f t="shared" si="7"/>
        <v>2</v>
      </c>
      <c r="E239" t="s">
        <v>18</v>
      </c>
      <c r="F239" t="s">
        <v>14</v>
      </c>
      <c r="G239" t="s">
        <v>15</v>
      </c>
      <c r="H239" s="2">
        <v>73725</v>
      </c>
      <c r="I239" s="2">
        <v>3</v>
      </c>
      <c r="J239" s="2">
        <v>60416</v>
      </c>
      <c r="K239" s="2">
        <v>97092</v>
      </c>
      <c r="L239" s="2">
        <v>9</v>
      </c>
      <c r="M239" t="str">
        <f>IF(Revv_bike_sales_data[[#This Row],[delivery_days]]&lt;=7, "Yes", "No")</f>
        <v>No</v>
      </c>
      <c r="N239" t="s">
        <v>16</v>
      </c>
      <c r="O239" s="2">
        <v>-36676</v>
      </c>
    </row>
    <row r="240" spans="1:15" x14ac:dyDescent="0.3">
      <c r="A240" s="2">
        <v>230</v>
      </c>
      <c r="B240" s="1">
        <v>44936.541666666664</v>
      </c>
      <c r="C240" s="1" t="str">
        <f t="shared" si="6"/>
        <v>01-2023</v>
      </c>
      <c r="D240" s="2">
        <f t="shared" si="7"/>
        <v>2</v>
      </c>
      <c r="E240" t="s">
        <v>13</v>
      </c>
      <c r="F240" t="s">
        <v>14</v>
      </c>
      <c r="G240" t="s">
        <v>19</v>
      </c>
      <c r="H240" s="2">
        <v>1879</v>
      </c>
      <c r="I240" s="2">
        <v>9</v>
      </c>
      <c r="J240" s="2">
        <v>97439</v>
      </c>
      <c r="K240" s="2">
        <v>95630</v>
      </c>
      <c r="L240" s="2">
        <v>12</v>
      </c>
      <c r="M240" t="str">
        <f>IF(Revv_bike_sales_data[[#This Row],[delivery_days]]&lt;=7, "Yes", "No")</f>
        <v>No</v>
      </c>
      <c r="N240" t="s">
        <v>16</v>
      </c>
      <c r="O240" s="2">
        <v>1809</v>
      </c>
    </row>
    <row r="241" spans="1:15" x14ac:dyDescent="0.3">
      <c r="A241" s="2">
        <v>231</v>
      </c>
      <c r="B241" s="1">
        <v>44936.583333333336</v>
      </c>
      <c r="C241" s="1" t="str">
        <f t="shared" si="6"/>
        <v>01-2023</v>
      </c>
      <c r="D241" s="2">
        <f t="shared" si="7"/>
        <v>2</v>
      </c>
      <c r="E241" t="s">
        <v>22</v>
      </c>
      <c r="F241" t="s">
        <v>14</v>
      </c>
      <c r="G241" t="s">
        <v>15</v>
      </c>
      <c r="H241" s="2">
        <v>28124</v>
      </c>
      <c r="I241" s="2">
        <v>1</v>
      </c>
      <c r="J241" s="2">
        <v>43242</v>
      </c>
      <c r="K241" s="2">
        <v>88471</v>
      </c>
      <c r="L241" s="2">
        <v>8</v>
      </c>
      <c r="M241" t="str">
        <f>IF(Revv_bike_sales_data[[#This Row],[delivery_days]]&lt;=7, "Yes", "No")</f>
        <v>No</v>
      </c>
      <c r="N241" t="s">
        <v>16</v>
      </c>
      <c r="O241" s="2">
        <v>-45229</v>
      </c>
    </row>
    <row r="242" spans="1:15" x14ac:dyDescent="0.3">
      <c r="A242" s="2">
        <v>232</v>
      </c>
      <c r="B242" s="1">
        <v>44936.625</v>
      </c>
      <c r="C242" s="1" t="str">
        <f t="shared" si="6"/>
        <v>01-2023</v>
      </c>
      <c r="D242" s="2">
        <f t="shared" si="7"/>
        <v>2</v>
      </c>
      <c r="E242" t="s">
        <v>25</v>
      </c>
      <c r="F242" t="s">
        <v>14</v>
      </c>
      <c r="G242" t="s">
        <v>21</v>
      </c>
      <c r="H242" s="2">
        <v>92000</v>
      </c>
      <c r="I242" s="2">
        <v>7</v>
      </c>
      <c r="J242" s="2">
        <v>104324</v>
      </c>
      <c r="K242" s="2">
        <v>83211</v>
      </c>
      <c r="L242" s="2">
        <v>2</v>
      </c>
      <c r="M242" t="str">
        <f>IF(Revv_bike_sales_data[[#This Row],[delivery_days]]&lt;=7, "Yes", "No")</f>
        <v>Yes</v>
      </c>
      <c r="N242" t="s">
        <v>16</v>
      </c>
      <c r="O242" s="2">
        <v>21113</v>
      </c>
    </row>
    <row r="243" spans="1:15" x14ac:dyDescent="0.3">
      <c r="A243" s="2">
        <v>233</v>
      </c>
      <c r="B243" s="1">
        <v>44936.666666666664</v>
      </c>
      <c r="C243" s="1" t="str">
        <f t="shared" si="6"/>
        <v>01-2023</v>
      </c>
      <c r="D243" s="2">
        <f t="shared" si="7"/>
        <v>2</v>
      </c>
      <c r="E243" t="s">
        <v>13</v>
      </c>
      <c r="F243" t="s">
        <v>14</v>
      </c>
      <c r="G243" t="s">
        <v>19</v>
      </c>
      <c r="H243" s="2">
        <v>88927</v>
      </c>
      <c r="I243" s="2">
        <v>9</v>
      </c>
      <c r="J243" s="2">
        <v>60249</v>
      </c>
      <c r="K243" s="2">
        <v>46280</v>
      </c>
      <c r="L243" s="2">
        <v>8</v>
      </c>
      <c r="M243" t="str">
        <f>IF(Revv_bike_sales_data[[#This Row],[delivery_days]]&lt;=7, "Yes", "No")</f>
        <v>No</v>
      </c>
      <c r="N243" t="s">
        <v>16</v>
      </c>
      <c r="O243" s="2">
        <v>13969</v>
      </c>
    </row>
    <row r="244" spans="1:15" x14ac:dyDescent="0.3">
      <c r="A244" s="2">
        <v>234</v>
      </c>
      <c r="B244" s="1">
        <v>44936.708333333336</v>
      </c>
      <c r="C244" s="1" t="str">
        <f t="shared" si="6"/>
        <v>01-2023</v>
      </c>
      <c r="D244" s="2">
        <f t="shared" si="7"/>
        <v>2</v>
      </c>
      <c r="E244" t="s">
        <v>13</v>
      </c>
      <c r="F244" t="s">
        <v>14</v>
      </c>
      <c r="G244" t="s">
        <v>19</v>
      </c>
      <c r="H244" s="2">
        <v>58245</v>
      </c>
      <c r="I244" s="2">
        <v>6</v>
      </c>
      <c r="J244" s="2">
        <v>125124</v>
      </c>
      <c r="K244" s="2">
        <v>139130</v>
      </c>
      <c r="L244" s="2">
        <v>3</v>
      </c>
      <c r="M244" t="str">
        <f>IF(Revv_bike_sales_data[[#This Row],[delivery_days]]&lt;=7, "Yes", "No")</f>
        <v>Yes</v>
      </c>
      <c r="N244" t="s">
        <v>16</v>
      </c>
      <c r="O244" s="2">
        <v>-14006</v>
      </c>
    </row>
    <row r="245" spans="1:15" x14ac:dyDescent="0.3">
      <c r="A245" s="2">
        <v>235</v>
      </c>
      <c r="B245" s="1">
        <v>44936.75</v>
      </c>
      <c r="C245" s="1" t="str">
        <f t="shared" si="6"/>
        <v>01-2023</v>
      </c>
      <c r="D245" s="2">
        <f t="shared" si="7"/>
        <v>2</v>
      </c>
      <c r="E245" t="s">
        <v>25</v>
      </c>
      <c r="F245" t="s">
        <v>14</v>
      </c>
      <c r="G245" t="s">
        <v>15</v>
      </c>
      <c r="H245" s="2">
        <v>52305</v>
      </c>
      <c r="I245" s="2">
        <v>1</v>
      </c>
      <c r="J245" s="2">
        <v>120049</v>
      </c>
      <c r="K245" s="2">
        <v>26240</v>
      </c>
      <c r="L245" s="2">
        <v>3</v>
      </c>
      <c r="M245" t="str">
        <f>IF(Revv_bike_sales_data[[#This Row],[delivery_days]]&lt;=7, "Yes", "No")</f>
        <v>Yes</v>
      </c>
      <c r="N245" t="s">
        <v>16</v>
      </c>
      <c r="O245" s="2">
        <v>93809</v>
      </c>
    </row>
    <row r="246" spans="1:15" x14ac:dyDescent="0.3">
      <c r="A246" s="2">
        <v>236</v>
      </c>
      <c r="B246" s="1">
        <v>44936.791666666664</v>
      </c>
      <c r="C246" s="1" t="str">
        <f t="shared" si="6"/>
        <v>01-2023</v>
      </c>
      <c r="D246" s="2">
        <f t="shared" si="7"/>
        <v>2</v>
      </c>
      <c r="E246" t="s">
        <v>22</v>
      </c>
      <c r="F246" t="s">
        <v>14</v>
      </c>
      <c r="G246" t="s">
        <v>21</v>
      </c>
      <c r="H246" s="2">
        <v>13016</v>
      </c>
      <c r="I246" s="2">
        <v>5</v>
      </c>
      <c r="J246" s="2">
        <v>110078</v>
      </c>
      <c r="K246" s="2">
        <v>80092</v>
      </c>
      <c r="L246" s="2">
        <v>9</v>
      </c>
      <c r="M246" t="str">
        <f>IF(Revv_bike_sales_data[[#This Row],[delivery_days]]&lt;=7, "Yes", "No")</f>
        <v>No</v>
      </c>
      <c r="N246" t="s">
        <v>16</v>
      </c>
      <c r="O246" s="2">
        <v>29986</v>
      </c>
    </row>
    <row r="247" spans="1:15" x14ac:dyDescent="0.3">
      <c r="A247" s="2">
        <v>237</v>
      </c>
      <c r="B247" s="1">
        <v>44936.833333333336</v>
      </c>
      <c r="C247" s="1" t="str">
        <f t="shared" si="6"/>
        <v>01-2023</v>
      </c>
      <c r="D247" s="2">
        <f t="shared" si="7"/>
        <v>2</v>
      </c>
      <c r="E247" t="s">
        <v>25</v>
      </c>
      <c r="F247" t="s">
        <v>14</v>
      </c>
      <c r="G247" t="s">
        <v>15</v>
      </c>
      <c r="H247" s="2">
        <v>79922</v>
      </c>
      <c r="I247" s="2">
        <v>7</v>
      </c>
      <c r="J247" s="2">
        <v>57294</v>
      </c>
      <c r="K247" s="2">
        <v>84541</v>
      </c>
      <c r="L247" s="2">
        <v>13</v>
      </c>
      <c r="M247" t="str">
        <f>IF(Revv_bike_sales_data[[#This Row],[delivery_days]]&lt;=7, "Yes", "No")</f>
        <v>No</v>
      </c>
      <c r="N247" t="s">
        <v>16</v>
      </c>
      <c r="O247" s="2">
        <v>-27247</v>
      </c>
    </row>
    <row r="248" spans="1:15" x14ac:dyDescent="0.3">
      <c r="A248" s="2">
        <v>238</v>
      </c>
      <c r="B248" s="1">
        <v>44936.875</v>
      </c>
      <c r="C248" s="1" t="str">
        <f t="shared" si="6"/>
        <v>01-2023</v>
      </c>
      <c r="D248" s="2">
        <f t="shared" si="7"/>
        <v>2</v>
      </c>
      <c r="E248" t="s">
        <v>13</v>
      </c>
      <c r="F248" t="s">
        <v>14</v>
      </c>
      <c r="G248" t="s">
        <v>15</v>
      </c>
      <c r="H248" s="2">
        <v>86343</v>
      </c>
      <c r="I248" s="2">
        <v>6</v>
      </c>
      <c r="J248" s="2">
        <v>159756</v>
      </c>
      <c r="K248" s="2">
        <v>77851</v>
      </c>
      <c r="L248" s="2">
        <v>9</v>
      </c>
      <c r="M248" t="str">
        <f>IF(Revv_bike_sales_data[[#This Row],[delivery_days]]&lt;=7, "Yes", "No")</f>
        <v>No</v>
      </c>
      <c r="N248" t="s">
        <v>16</v>
      </c>
      <c r="O248" s="2">
        <v>81905</v>
      </c>
    </row>
    <row r="249" spans="1:15" x14ac:dyDescent="0.3">
      <c r="A249" s="2">
        <v>239</v>
      </c>
      <c r="B249" s="1">
        <v>44936.916666666664</v>
      </c>
      <c r="C249" s="1" t="str">
        <f t="shared" si="6"/>
        <v>01-2023</v>
      </c>
      <c r="D249" s="2">
        <f t="shared" si="7"/>
        <v>2</v>
      </c>
      <c r="E249" t="s">
        <v>17</v>
      </c>
      <c r="F249" t="s">
        <v>14</v>
      </c>
      <c r="G249" t="s">
        <v>19</v>
      </c>
      <c r="H249" s="2">
        <v>25343</v>
      </c>
      <c r="I249" s="2">
        <v>0</v>
      </c>
      <c r="J249" s="2">
        <v>179867</v>
      </c>
      <c r="K249" s="2">
        <v>21544</v>
      </c>
      <c r="L249" s="2">
        <v>9</v>
      </c>
      <c r="M249" t="str">
        <f>IF(Revv_bike_sales_data[[#This Row],[delivery_days]]&lt;=7, "Yes", "No")</f>
        <v>No</v>
      </c>
      <c r="N249" t="s">
        <v>24</v>
      </c>
      <c r="O249" s="2">
        <v>158323</v>
      </c>
    </row>
    <row r="250" spans="1:15" x14ac:dyDescent="0.3">
      <c r="A250" s="2">
        <v>240</v>
      </c>
      <c r="B250" s="1">
        <v>44936.958333333336</v>
      </c>
      <c r="C250" s="1" t="str">
        <f t="shared" si="6"/>
        <v>01-2023</v>
      </c>
      <c r="D250" s="2">
        <f t="shared" si="7"/>
        <v>2</v>
      </c>
      <c r="E250" t="s">
        <v>17</v>
      </c>
      <c r="F250" t="s">
        <v>14</v>
      </c>
      <c r="G250" t="s">
        <v>20</v>
      </c>
      <c r="H250" s="2">
        <v>6412</v>
      </c>
      <c r="I250" s="2">
        <v>4</v>
      </c>
      <c r="J250" s="2">
        <v>166503</v>
      </c>
      <c r="K250" s="2">
        <v>72981</v>
      </c>
      <c r="L250" s="2">
        <v>4</v>
      </c>
      <c r="M250" t="str">
        <f>IF(Revv_bike_sales_data[[#This Row],[delivery_days]]&lt;=7, "Yes", "No")</f>
        <v>Yes</v>
      </c>
      <c r="N250" t="s">
        <v>16</v>
      </c>
      <c r="O250" s="2">
        <v>93522</v>
      </c>
    </row>
    <row r="251" spans="1:15" x14ac:dyDescent="0.3">
      <c r="A251" s="2">
        <v>241</v>
      </c>
      <c r="B251" s="1">
        <v>44937</v>
      </c>
      <c r="C251" s="1" t="str">
        <f t="shared" si="6"/>
        <v>01-2023</v>
      </c>
      <c r="D251" s="2">
        <f t="shared" si="7"/>
        <v>2</v>
      </c>
      <c r="E251" t="s">
        <v>18</v>
      </c>
      <c r="F251" t="s">
        <v>14</v>
      </c>
      <c r="G251" t="s">
        <v>20</v>
      </c>
      <c r="H251" s="2">
        <v>22014</v>
      </c>
      <c r="I251" s="2">
        <v>1</v>
      </c>
      <c r="J251" s="2">
        <v>114627</v>
      </c>
      <c r="K251" s="2">
        <v>32332</v>
      </c>
      <c r="L251" s="2">
        <v>12</v>
      </c>
      <c r="M251" t="str">
        <f>IF(Revv_bike_sales_data[[#This Row],[delivery_days]]&lt;=7, "Yes", "No")</f>
        <v>No</v>
      </c>
      <c r="N251" t="s">
        <v>16</v>
      </c>
      <c r="O251" s="2">
        <v>82295</v>
      </c>
    </row>
    <row r="252" spans="1:15" x14ac:dyDescent="0.3">
      <c r="A252" s="2">
        <v>242</v>
      </c>
      <c r="B252" s="1">
        <v>44937.041666666664</v>
      </c>
      <c r="C252" s="1" t="str">
        <f t="shared" si="6"/>
        <v>01-2023</v>
      </c>
      <c r="D252" s="2">
        <f t="shared" si="7"/>
        <v>2</v>
      </c>
      <c r="E252" t="s">
        <v>25</v>
      </c>
      <c r="F252" t="s">
        <v>14</v>
      </c>
      <c r="G252" t="s">
        <v>15</v>
      </c>
      <c r="H252" s="2">
        <v>87859</v>
      </c>
      <c r="I252" s="2">
        <v>5</v>
      </c>
      <c r="J252" s="2">
        <v>115381</v>
      </c>
      <c r="K252" s="2">
        <v>41836</v>
      </c>
      <c r="L252" s="2">
        <v>14</v>
      </c>
      <c r="M252" t="str">
        <f>IF(Revv_bike_sales_data[[#This Row],[delivery_days]]&lt;=7, "Yes", "No")</f>
        <v>No</v>
      </c>
      <c r="N252" t="s">
        <v>16</v>
      </c>
      <c r="O252" s="2">
        <v>73545</v>
      </c>
    </row>
    <row r="253" spans="1:15" x14ac:dyDescent="0.3">
      <c r="A253" s="2">
        <v>243</v>
      </c>
      <c r="B253" s="1">
        <v>44937.083333333336</v>
      </c>
      <c r="C253" s="1" t="str">
        <f t="shared" si="6"/>
        <v>01-2023</v>
      </c>
      <c r="D253" s="2">
        <f t="shared" si="7"/>
        <v>2</v>
      </c>
      <c r="E253" t="s">
        <v>25</v>
      </c>
      <c r="F253" t="s">
        <v>14</v>
      </c>
      <c r="G253" t="s">
        <v>19</v>
      </c>
      <c r="H253" s="2">
        <v>57532</v>
      </c>
      <c r="I253" s="2">
        <v>6</v>
      </c>
      <c r="J253" s="2">
        <v>115027</v>
      </c>
      <c r="K253" s="2">
        <v>29388</v>
      </c>
      <c r="L253" s="2">
        <v>7</v>
      </c>
      <c r="M253" t="str">
        <f>IF(Revv_bike_sales_data[[#This Row],[delivery_days]]&lt;=7, "Yes", "No")</f>
        <v>Yes</v>
      </c>
      <c r="N253" t="s">
        <v>16</v>
      </c>
      <c r="O253" s="2">
        <v>85639</v>
      </c>
    </row>
    <row r="254" spans="1:15" x14ac:dyDescent="0.3">
      <c r="A254" s="2">
        <v>244</v>
      </c>
      <c r="B254" s="1">
        <v>44937.125</v>
      </c>
      <c r="C254" s="1" t="str">
        <f t="shared" si="6"/>
        <v>01-2023</v>
      </c>
      <c r="D254" s="2">
        <f t="shared" si="7"/>
        <v>2</v>
      </c>
      <c r="E254" t="s">
        <v>18</v>
      </c>
      <c r="F254" t="s">
        <v>14</v>
      </c>
      <c r="G254" t="s">
        <v>21</v>
      </c>
      <c r="H254" s="2">
        <v>29297</v>
      </c>
      <c r="I254" s="2">
        <v>6</v>
      </c>
      <c r="J254" s="2">
        <v>95366</v>
      </c>
      <c r="K254" s="2">
        <v>128263</v>
      </c>
      <c r="L254" s="2">
        <v>13</v>
      </c>
      <c r="M254" t="str">
        <f>IF(Revv_bike_sales_data[[#This Row],[delivery_days]]&lt;=7, "Yes", "No")</f>
        <v>No</v>
      </c>
      <c r="N254" t="s">
        <v>16</v>
      </c>
      <c r="O254" s="2">
        <v>-32897</v>
      </c>
    </row>
    <row r="255" spans="1:15" x14ac:dyDescent="0.3">
      <c r="A255" s="2">
        <v>245</v>
      </c>
      <c r="B255" s="1">
        <v>44937.166666666664</v>
      </c>
      <c r="C255" s="1" t="str">
        <f t="shared" si="6"/>
        <v>01-2023</v>
      </c>
      <c r="D255" s="2">
        <f t="shared" si="7"/>
        <v>2</v>
      </c>
      <c r="E255" t="s">
        <v>18</v>
      </c>
      <c r="F255" t="s">
        <v>14</v>
      </c>
      <c r="G255" t="s">
        <v>20</v>
      </c>
      <c r="H255" s="2">
        <v>6949</v>
      </c>
      <c r="I255" s="2">
        <v>2</v>
      </c>
      <c r="J255" s="2">
        <v>119176</v>
      </c>
      <c r="K255" s="2">
        <v>16694</v>
      </c>
      <c r="L255" s="2">
        <v>8</v>
      </c>
      <c r="M255" t="str">
        <f>IF(Revv_bike_sales_data[[#This Row],[delivery_days]]&lt;=7, "Yes", "No")</f>
        <v>No</v>
      </c>
      <c r="N255" t="s">
        <v>16</v>
      </c>
      <c r="O255" s="2">
        <v>102482</v>
      </c>
    </row>
    <row r="256" spans="1:15" x14ac:dyDescent="0.3">
      <c r="A256" s="2">
        <v>246</v>
      </c>
      <c r="B256" s="1">
        <v>44937.208333333336</v>
      </c>
      <c r="C256" s="1" t="str">
        <f t="shared" si="6"/>
        <v>01-2023</v>
      </c>
      <c r="D256" s="2">
        <f t="shared" si="7"/>
        <v>2</v>
      </c>
      <c r="E256" t="s">
        <v>18</v>
      </c>
      <c r="F256" t="s">
        <v>14</v>
      </c>
      <c r="G256" t="s">
        <v>21</v>
      </c>
      <c r="H256" s="2">
        <v>2225</v>
      </c>
      <c r="I256" s="2">
        <v>6</v>
      </c>
      <c r="J256" s="2">
        <v>144667</v>
      </c>
      <c r="K256" s="2">
        <v>101677</v>
      </c>
      <c r="L256" s="2">
        <v>13</v>
      </c>
      <c r="M256" t="str">
        <f>IF(Revv_bike_sales_data[[#This Row],[delivery_days]]&lt;=7, "Yes", "No")</f>
        <v>No</v>
      </c>
      <c r="N256" t="s">
        <v>16</v>
      </c>
      <c r="O256" s="2">
        <v>42990</v>
      </c>
    </row>
    <row r="257" spans="1:15" x14ac:dyDescent="0.3">
      <c r="A257" s="2">
        <v>247</v>
      </c>
      <c r="B257" s="1">
        <v>44937.25</v>
      </c>
      <c r="C257" s="1" t="str">
        <f t="shared" si="6"/>
        <v>01-2023</v>
      </c>
      <c r="D257" s="2">
        <f t="shared" si="7"/>
        <v>2</v>
      </c>
      <c r="E257" t="s">
        <v>13</v>
      </c>
      <c r="F257" t="s">
        <v>14</v>
      </c>
      <c r="G257" t="s">
        <v>20</v>
      </c>
      <c r="H257" s="2">
        <v>81906</v>
      </c>
      <c r="I257" s="2">
        <v>4</v>
      </c>
      <c r="J257" s="2">
        <v>97870</v>
      </c>
      <c r="K257" s="2">
        <v>103202</v>
      </c>
      <c r="L257" s="2">
        <v>13</v>
      </c>
      <c r="M257" t="str">
        <f>IF(Revv_bike_sales_data[[#This Row],[delivery_days]]&lt;=7, "Yes", "No")</f>
        <v>No</v>
      </c>
      <c r="N257" t="s">
        <v>16</v>
      </c>
      <c r="O257" s="2">
        <v>-5332</v>
      </c>
    </row>
    <row r="258" spans="1:15" x14ac:dyDescent="0.3">
      <c r="A258" s="2">
        <v>248</v>
      </c>
      <c r="B258" s="1">
        <v>44937.291666666664</v>
      </c>
      <c r="C258" s="1" t="str">
        <f t="shared" si="6"/>
        <v>01-2023</v>
      </c>
      <c r="D258" s="2">
        <f t="shared" si="7"/>
        <v>2</v>
      </c>
      <c r="E258" t="s">
        <v>25</v>
      </c>
      <c r="F258" t="s">
        <v>23</v>
      </c>
      <c r="G258" t="s">
        <v>19</v>
      </c>
      <c r="H258" s="2">
        <v>9804</v>
      </c>
      <c r="I258" s="2">
        <v>7</v>
      </c>
      <c r="J258" s="2">
        <v>72387</v>
      </c>
      <c r="K258" s="2">
        <v>128057</v>
      </c>
      <c r="L258" s="2">
        <v>5</v>
      </c>
      <c r="M258" t="str">
        <f>IF(Revv_bike_sales_data[[#This Row],[delivery_days]]&lt;=7, "Yes", "No")</f>
        <v>Yes</v>
      </c>
      <c r="N258" t="s">
        <v>16</v>
      </c>
      <c r="O258" s="2">
        <v>-55670</v>
      </c>
    </row>
    <row r="259" spans="1:15" x14ac:dyDescent="0.3">
      <c r="A259" s="2">
        <v>249</v>
      </c>
      <c r="B259" s="1">
        <v>44937.333333333336</v>
      </c>
      <c r="C259" s="1" t="str">
        <f t="shared" si="6"/>
        <v>01-2023</v>
      </c>
      <c r="D259" s="2">
        <f t="shared" si="7"/>
        <v>2</v>
      </c>
      <c r="E259" t="s">
        <v>13</v>
      </c>
      <c r="F259" t="s">
        <v>14</v>
      </c>
      <c r="G259" t="s">
        <v>15</v>
      </c>
      <c r="H259" s="2">
        <v>73558</v>
      </c>
      <c r="I259" s="2">
        <v>7</v>
      </c>
      <c r="J259" s="2">
        <v>34304</v>
      </c>
      <c r="K259" s="2">
        <v>64294</v>
      </c>
      <c r="L259" s="2">
        <v>13</v>
      </c>
      <c r="M259" t="str">
        <f>IF(Revv_bike_sales_data[[#This Row],[delivery_days]]&lt;=7, "Yes", "No")</f>
        <v>No</v>
      </c>
      <c r="N259" t="s">
        <v>16</v>
      </c>
      <c r="O259" s="2">
        <v>-29990</v>
      </c>
    </row>
    <row r="260" spans="1:15" x14ac:dyDescent="0.3">
      <c r="A260" s="2">
        <v>250</v>
      </c>
      <c r="B260" s="1">
        <v>44937.375</v>
      </c>
      <c r="C260" s="1" t="str">
        <f t="shared" si="6"/>
        <v>01-2023</v>
      </c>
      <c r="D260" s="2">
        <f t="shared" si="7"/>
        <v>2</v>
      </c>
      <c r="E260" t="s">
        <v>18</v>
      </c>
      <c r="F260" t="s">
        <v>23</v>
      </c>
      <c r="G260" t="s">
        <v>21</v>
      </c>
      <c r="H260" s="2">
        <v>14163</v>
      </c>
      <c r="I260" s="2">
        <v>6</v>
      </c>
      <c r="J260" s="2">
        <v>42032</v>
      </c>
      <c r="K260" s="2">
        <v>53769</v>
      </c>
      <c r="L260" s="2">
        <v>1</v>
      </c>
      <c r="M260" t="str">
        <f>IF(Revv_bike_sales_data[[#This Row],[delivery_days]]&lt;=7, "Yes", "No")</f>
        <v>Yes</v>
      </c>
      <c r="N260" t="s">
        <v>16</v>
      </c>
      <c r="O260" s="2">
        <v>-11737</v>
      </c>
    </row>
    <row r="261" spans="1:15" x14ac:dyDescent="0.3">
      <c r="A261" s="2">
        <v>251</v>
      </c>
      <c r="B261" s="1">
        <v>44937.416666666664</v>
      </c>
      <c r="C261" s="1" t="str">
        <f t="shared" si="6"/>
        <v>01-2023</v>
      </c>
      <c r="D261" s="2">
        <f t="shared" si="7"/>
        <v>2</v>
      </c>
      <c r="E261" t="s">
        <v>25</v>
      </c>
      <c r="F261" t="s">
        <v>14</v>
      </c>
      <c r="G261" t="s">
        <v>21</v>
      </c>
      <c r="H261" s="2">
        <v>70820</v>
      </c>
      <c r="I261" s="2">
        <v>5</v>
      </c>
      <c r="J261" s="2">
        <v>116291</v>
      </c>
      <c r="K261" s="2">
        <v>54420</v>
      </c>
      <c r="L261" s="2">
        <v>9</v>
      </c>
      <c r="M261" t="str">
        <f>IF(Revv_bike_sales_data[[#This Row],[delivery_days]]&lt;=7, "Yes", "No")</f>
        <v>No</v>
      </c>
      <c r="N261" t="s">
        <v>16</v>
      </c>
      <c r="O261" s="2">
        <v>61871</v>
      </c>
    </row>
    <row r="262" spans="1:15" x14ac:dyDescent="0.3">
      <c r="A262" s="2">
        <v>252</v>
      </c>
      <c r="B262" s="1">
        <v>44937.458333333336</v>
      </c>
      <c r="C262" s="1" t="str">
        <f t="shared" si="6"/>
        <v>01-2023</v>
      </c>
      <c r="D262" s="2">
        <f t="shared" si="7"/>
        <v>2</v>
      </c>
      <c r="E262" t="s">
        <v>13</v>
      </c>
      <c r="F262" t="s">
        <v>23</v>
      </c>
      <c r="G262" t="s">
        <v>15</v>
      </c>
      <c r="H262" s="2">
        <v>75508</v>
      </c>
      <c r="I262" s="2">
        <v>1</v>
      </c>
      <c r="J262" s="2">
        <v>137889</v>
      </c>
      <c r="K262" s="2">
        <v>128289</v>
      </c>
      <c r="L262" s="2">
        <v>6</v>
      </c>
      <c r="M262" t="str">
        <f>IF(Revv_bike_sales_data[[#This Row],[delivery_days]]&lt;=7, "Yes", "No")</f>
        <v>Yes</v>
      </c>
      <c r="N262" t="s">
        <v>16</v>
      </c>
      <c r="O262" s="2">
        <v>9600</v>
      </c>
    </row>
    <row r="263" spans="1:15" x14ac:dyDescent="0.3">
      <c r="A263" s="2">
        <v>253</v>
      </c>
      <c r="B263" s="1">
        <v>44937.5</v>
      </c>
      <c r="C263" s="1" t="str">
        <f t="shared" si="6"/>
        <v>01-2023</v>
      </c>
      <c r="D263" s="2">
        <f t="shared" si="7"/>
        <v>2</v>
      </c>
      <c r="E263" t="s">
        <v>13</v>
      </c>
      <c r="F263" t="s">
        <v>14</v>
      </c>
      <c r="G263" t="s">
        <v>21</v>
      </c>
      <c r="H263" s="2">
        <v>94988</v>
      </c>
      <c r="I263" s="2">
        <v>5</v>
      </c>
      <c r="J263" s="2">
        <v>84486</v>
      </c>
      <c r="K263" s="2">
        <v>117885</v>
      </c>
      <c r="L263" s="2">
        <v>3</v>
      </c>
      <c r="M263" t="str">
        <f>IF(Revv_bike_sales_data[[#This Row],[delivery_days]]&lt;=7, "Yes", "No")</f>
        <v>Yes</v>
      </c>
      <c r="N263" t="s">
        <v>24</v>
      </c>
      <c r="O263" s="2">
        <v>-33399</v>
      </c>
    </row>
    <row r="264" spans="1:15" x14ac:dyDescent="0.3">
      <c r="A264" s="2">
        <v>254</v>
      </c>
      <c r="B264" s="1">
        <v>44937.541666666664</v>
      </c>
      <c r="C264" s="1" t="str">
        <f t="shared" si="6"/>
        <v>01-2023</v>
      </c>
      <c r="D264" s="2">
        <f t="shared" si="7"/>
        <v>2</v>
      </c>
      <c r="E264" t="s">
        <v>18</v>
      </c>
      <c r="F264" t="s">
        <v>14</v>
      </c>
      <c r="G264" t="s">
        <v>20</v>
      </c>
      <c r="H264" s="2">
        <v>76091</v>
      </c>
      <c r="I264" s="2">
        <v>8</v>
      </c>
      <c r="J264" s="2">
        <v>90552</v>
      </c>
      <c r="K264" s="2">
        <v>52855</v>
      </c>
      <c r="L264" s="2">
        <v>3</v>
      </c>
      <c r="M264" t="str">
        <f>IF(Revv_bike_sales_data[[#This Row],[delivery_days]]&lt;=7, "Yes", "No")</f>
        <v>Yes</v>
      </c>
      <c r="N264" t="s">
        <v>16</v>
      </c>
      <c r="O264" s="2">
        <v>37697</v>
      </c>
    </row>
    <row r="265" spans="1:15" x14ac:dyDescent="0.3">
      <c r="A265" s="2">
        <v>255</v>
      </c>
      <c r="B265" s="1">
        <v>44937.583333333336</v>
      </c>
      <c r="C265" s="1" t="str">
        <f t="shared" si="6"/>
        <v>01-2023</v>
      </c>
      <c r="D265" s="2">
        <f t="shared" si="7"/>
        <v>2</v>
      </c>
      <c r="E265" t="s">
        <v>25</v>
      </c>
      <c r="F265" t="s">
        <v>14</v>
      </c>
      <c r="G265" t="s">
        <v>15</v>
      </c>
      <c r="H265" s="2">
        <v>95544</v>
      </c>
      <c r="I265" s="2">
        <v>1</v>
      </c>
      <c r="J265" s="2">
        <v>64244</v>
      </c>
      <c r="K265" s="2">
        <v>16460</v>
      </c>
      <c r="L265" s="2">
        <v>14</v>
      </c>
      <c r="M265" t="str">
        <f>IF(Revv_bike_sales_data[[#This Row],[delivery_days]]&lt;=7, "Yes", "No")</f>
        <v>No</v>
      </c>
      <c r="N265" t="s">
        <v>16</v>
      </c>
      <c r="O265" s="2">
        <v>47784</v>
      </c>
    </row>
    <row r="266" spans="1:15" x14ac:dyDescent="0.3">
      <c r="A266" s="2">
        <v>256</v>
      </c>
      <c r="B266" s="1">
        <v>44937.625</v>
      </c>
      <c r="C266" s="1" t="str">
        <f t="shared" si="6"/>
        <v>01-2023</v>
      </c>
      <c r="D266" s="2">
        <f t="shared" si="7"/>
        <v>2</v>
      </c>
      <c r="E266" t="s">
        <v>18</v>
      </c>
      <c r="F266" t="s">
        <v>14</v>
      </c>
      <c r="G266" t="s">
        <v>20</v>
      </c>
      <c r="H266" s="2">
        <v>13176</v>
      </c>
      <c r="I266" s="2">
        <v>0</v>
      </c>
      <c r="J266" s="2">
        <v>162014</v>
      </c>
      <c r="K266" s="2">
        <v>117191</v>
      </c>
      <c r="L266" s="2">
        <v>14</v>
      </c>
      <c r="M266" t="str">
        <f>IF(Revv_bike_sales_data[[#This Row],[delivery_days]]&lt;=7, "Yes", "No")</f>
        <v>No</v>
      </c>
      <c r="N266" t="s">
        <v>16</v>
      </c>
      <c r="O266" s="2">
        <v>44823</v>
      </c>
    </row>
    <row r="267" spans="1:15" x14ac:dyDescent="0.3">
      <c r="A267" s="2">
        <v>257</v>
      </c>
      <c r="B267" s="1">
        <v>44937.666666666664</v>
      </c>
      <c r="C267" s="1" t="str">
        <f t="shared" ref="C267:C330" si="8">TEXT(B267,"mm-yyyy")</f>
        <v>01-2023</v>
      </c>
      <c r="D267" s="2">
        <f t="shared" ref="D267:D330" si="9">WEEKNUM(B267)</f>
        <v>2</v>
      </c>
      <c r="E267" t="s">
        <v>25</v>
      </c>
      <c r="F267" t="s">
        <v>14</v>
      </c>
      <c r="G267" t="s">
        <v>20</v>
      </c>
      <c r="H267" s="2">
        <v>25692</v>
      </c>
      <c r="I267" s="2">
        <v>4</v>
      </c>
      <c r="J267" s="2">
        <v>75697</v>
      </c>
      <c r="K267" s="2">
        <v>62646</v>
      </c>
      <c r="L267" s="2">
        <v>10</v>
      </c>
      <c r="M267" t="str">
        <f>IF(Revv_bike_sales_data[[#This Row],[delivery_days]]&lt;=7, "Yes", "No")</f>
        <v>No</v>
      </c>
      <c r="N267" t="s">
        <v>16</v>
      </c>
      <c r="O267" s="2">
        <v>13051</v>
      </c>
    </row>
    <row r="268" spans="1:15" x14ac:dyDescent="0.3">
      <c r="A268" s="2">
        <v>258</v>
      </c>
      <c r="B268" s="1">
        <v>44937.708333333336</v>
      </c>
      <c r="C268" s="1" t="str">
        <f t="shared" si="8"/>
        <v>01-2023</v>
      </c>
      <c r="D268" s="2">
        <f t="shared" si="9"/>
        <v>2</v>
      </c>
      <c r="E268" t="s">
        <v>17</v>
      </c>
      <c r="F268" t="s">
        <v>14</v>
      </c>
      <c r="G268" t="s">
        <v>19</v>
      </c>
      <c r="H268" s="2">
        <v>25222</v>
      </c>
      <c r="I268" s="2">
        <v>5</v>
      </c>
      <c r="J268" s="2">
        <v>151031</v>
      </c>
      <c r="K268" s="2">
        <v>56252</v>
      </c>
      <c r="L268" s="2">
        <v>1</v>
      </c>
      <c r="M268" t="str">
        <f>IF(Revv_bike_sales_data[[#This Row],[delivery_days]]&lt;=7, "Yes", "No")</f>
        <v>Yes</v>
      </c>
      <c r="N268" t="s">
        <v>16</v>
      </c>
      <c r="O268" s="2">
        <v>94779</v>
      </c>
    </row>
    <row r="269" spans="1:15" x14ac:dyDescent="0.3">
      <c r="A269" s="2">
        <v>259</v>
      </c>
      <c r="B269" s="1">
        <v>44937.75</v>
      </c>
      <c r="C269" s="1" t="str">
        <f t="shared" si="8"/>
        <v>01-2023</v>
      </c>
      <c r="D269" s="2">
        <f t="shared" si="9"/>
        <v>2</v>
      </c>
      <c r="E269" t="s">
        <v>22</v>
      </c>
      <c r="F269" t="s">
        <v>14</v>
      </c>
      <c r="G269" t="s">
        <v>20</v>
      </c>
      <c r="H269" s="2">
        <v>7946</v>
      </c>
      <c r="I269" s="2">
        <v>2</v>
      </c>
      <c r="J269" s="2">
        <v>27693</v>
      </c>
      <c r="K269" s="2">
        <v>24835</v>
      </c>
      <c r="L269" s="2">
        <v>13</v>
      </c>
      <c r="M269" t="str">
        <f>IF(Revv_bike_sales_data[[#This Row],[delivery_days]]&lt;=7, "Yes", "No")</f>
        <v>No</v>
      </c>
      <c r="N269" t="s">
        <v>16</v>
      </c>
      <c r="O269" s="2">
        <v>2858</v>
      </c>
    </row>
    <row r="270" spans="1:15" x14ac:dyDescent="0.3">
      <c r="A270" s="2">
        <v>260</v>
      </c>
      <c r="B270" s="1">
        <v>44937.791666666664</v>
      </c>
      <c r="C270" s="1" t="str">
        <f t="shared" si="8"/>
        <v>01-2023</v>
      </c>
      <c r="D270" s="2">
        <f t="shared" si="9"/>
        <v>2</v>
      </c>
      <c r="E270" t="s">
        <v>22</v>
      </c>
      <c r="F270" t="s">
        <v>14</v>
      </c>
      <c r="G270" t="s">
        <v>19</v>
      </c>
      <c r="H270" s="2">
        <v>5225</v>
      </c>
      <c r="I270" s="2">
        <v>7</v>
      </c>
      <c r="J270" s="2">
        <v>106098</v>
      </c>
      <c r="K270" s="2">
        <v>128947</v>
      </c>
      <c r="L270" s="2">
        <v>8</v>
      </c>
      <c r="M270" t="str">
        <f>IF(Revv_bike_sales_data[[#This Row],[delivery_days]]&lt;=7, "Yes", "No")</f>
        <v>No</v>
      </c>
      <c r="N270" t="s">
        <v>16</v>
      </c>
      <c r="O270" s="2">
        <v>-22849</v>
      </c>
    </row>
    <row r="271" spans="1:15" x14ac:dyDescent="0.3">
      <c r="A271" s="2">
        <v>261</v>
      </c>
      <c r="B271" s="1">
        <v>44937.833333333336</v>
      </c>
      <c r="C271" s="1" t="str">
        <f t="shared" si="8"/>
        <v>01-2023</v>
      </c>
      <c r="D271" s="2">
        <f t="shared" si="9"/>
        <v>2</v>
      </c>
      <c r="E271" t="s">
        <v>22</v>
      </c>
      <c r="F271" t="s">
        <v>14</v>
      </c>
      <c r="G271" t="s">
        <v>21</v>
      </c>
      <c r="H271" s="2">
        <v>86097</v>
      </c>
      <c r="I271" s="2">
        <v>6</v>
      </c>
      <c r="J271" s="2">
        <v>31259</v>
      </c>
      <c r="K271" s="2">
        <v>25910</v>
      </c>
      <c r="L271" s="2">
        <v>2</v>
      </c>
      <c r="M271" t="str">
        <f>IF(Revv_bike_sales_data[[#This Row],[delivery_days]]&lt;=7, "Yes", "No")</f>
        <v>Yes</v>
      </c>
      <c r="N271" t="s">
        <v>16</v>
      </c>
      <c r="O271" s="2">
        <v>5349</v>
      </c>
    </row>
    <row r="272" spans="1:15" x14ac:dyDescent="0.3">
      <c r="A272" s="2">
        <v>262</v>
      </c>
      <c r="B272" s="1">
        <v>44937.875</v>
      </c>
      <c r="C272" s="1" t="str">
        <f t="shared" si="8"/>
        <v>01-2023</v>
      </c>
      <c r="D272" s="2">
        <f t="shared" si="9"/>
        <v>2</v>
      </c>
      <c r="E272" t="s">
        <v>18</v>
      </c>
      <c r="F272" t="s">
        <v>14</v>
      </c>
      <c r="G272" t="s">
        <v>21</v>
      </c>
      <c r="H272" s="2">
        <v>88707</v>
      </c>
      <c r="I272" s="2">
        <v>1</v>
      </c>
      <c r="J272" s="2">
        <v>144746</v>
      </c>
      <c r="K272" s="2">
        <v>97757</v>
      </c>
      <c r="L272" s="2">
        <v>12</v>
      </c>
      <c r="M272" t="str">
        <f>IF(Revv_bike_sales_data[[#This Row],[delivery_days]]&lt;=7, "Yes", "No")</f>
        <v>No</v>
      </c>
      <c r="N272" t="s">
        <v>16</v>
      </c>
      <c r="O272" s="2">
        <v>46989</v>
      </c>
    </row>
    <row r="273" spans="1:15" x14ac:dyDescent="0.3">
      <c r="A273" s="2">
        <v>263</v>
      </c>
      <c r="B273" s="1">
        <v>44937.916666666664</v>
      </c>
      <c r="C273" s="1" t="str">
        <f t="shared" si="8"/>
        <v>01-2023</v>
      </c>
      <c r="D273" s="2">
        <f t="shared" si="9"/>
        <v>2</v>
      </c>
      <c r="E273" t="s">
        <v>17</v>
      </c>
      <c r="F273" t="s">
        <v>23</v>
      </c>
      <c r="G273" t="s">
        <v>19</v>
      </c>
      <c r="H273" s="2">
        <v>58132</v>
      </c>
      <c r="I273" s="2">
        <v>6</v>
      </c>
      <c r="J273" s="2">
        <v>132772</v>
      </c>
      <c r="K273" s="2">
        <v>106149</v>
      </c>
      <c r="L273" s="2">
        <v>1</v>
      </c>
      <c r="M273" t="str">
        <f>IF(Revv_bike_sales_data[[#This Row],[delivery_days]]&lt;=7, "Yes", "No")</f>
        <v>Yes</v>
      </c>
      <c r="N273" t="s">
        <v>16</v>
      </c>
      <c r="O273" s="2">
        <v>26623</v>
      </c>
    </row>
    <row r="274" spans="1:15" x14ac:dyDescent="0.3">
      <c r="A274" s="2">
        <v>264</v>
      </c>
      <c r="B274" s="1">
        <v>44937.958333333336</v>
      </c>
      <c r="C274" s="1" t="str">
        <f t="shared" si="8"/>
        <v>01-2023</v>
      </c>
      <c r="D274" s="2">
        <f t="shared" si="9"/>
        <v>2</v>
      </c>
      <c r="E274" t="s">
        <v>25</v>
      </c>
      <c r="F274" t="s">
        <v>14</v>
      </c>
      <c r="G274" t="s">
        <v>20</v>
      </c>
      <c r="H274" s="2">
        <v>67445</v>
      </c>
      <c r="I274" s="2">
        <v>0</v>
      </c>
      <c r="J274" s="2">
        <v>142928</v>
      </c>
      <c r="K274" s="2">
        <v>111889</v>
      </c>
      <c r="L274" s="2">
        <v>7</v>
      </c>
      <c r="M274" t="str">
        <f>IF(Revv_bike_sales_data[[#This Row],[delivery_days]]&lt;=7, "Yes", "No")</f>
        <v>Yes</v>
      </c>
      <c r="N274" t="s">
        <v>16</v>
      </c>
      <c r="O274" s="2">
        <v>31039</v>
      </c>
    </row>
    <row r="275" spans="1:15" x14ac:dyDescent="0.3">
      <c r="A275" s="2">
        <v>265</v>
      </c>
      <c r="B275" s="1">
        <v>44938</v>
      </c>
      <c r="C275" s="1" t="str">
        <f t="shared" si="8"/>
        <v>01-2023</v>
      </c>
      <c r="D275" s="2">
        <f t="shared" si="9"/>
        <v>2</v>
      </c>
      <c r="E275" t="s">
        <v>13</v>
      </c>
      <c r="F275" t="s">
        <v>23</v>
      </c>
      <c r="G275" t="s">
        <v>15</v>
      </c>
      <c r="H275" s="2">
        <v>74241</v>
      </c>
      <c r="I275" s="2">
        <v>8</v>
      </c>
      <c r="J275" s="2">
        <v>161014</v>
      </c>
      <c r="K275" s="2">
        <v>119150</v>
      </c>
      <c r="L275" s="2">
        <v>14</v>
      </c>
      <c r="M275" t="str">
        <f>IF(Revv_bike_sales_data[[#This Row],[delivery_days]]&lt;=7, "Yes", "No")</f>
        <v>No</v>
      </c>
      <c r="N275" t="s">
        <v>16</v>
      </c>
      <c r="O275" s="2">
        <v>41864</v>
      </c>
    </row>
    <row r="276" spans="1:15" x14ac:dyDescent="0.3">
      <c r="A276" s="2">
        <v>266</v>
      </c>
      <c r="B276" s="1">
        <v>44938.041666666664</v>
      </c>
      <c r="C276" s="1" t="str">
        <f t="shared" si="8"/>
        <v>01-2023</v>
      </c>
      <c r="D276" s="2">
        <f t="shared" si="9"/>
        <v>2</v>
      </c>
      <c r="E276" t="s">
        <v>25</v>
      </c>
      <c r="F276" t="s">
        <v>14</v>
      </c>
      <c r="G276" t="s">
        <v>15</v>
      </c>
      <c r="H276" s="2">
        <v>16865</v>
      </c>
      <c r="I276" s="2">
        <v>6</v>
      </c>
      <c r="J276" s="2">
        <v>72419</v>
      </c>
      <c r="K276" s="2">
        <v>23463</v>
      </c>
      <c r="L276" s="2">
        <v>11</v>
      </c>
      <c r="M276" t="str">
        <f>IF(Revv_bike_sales_data[[#This Row],[delivery_days]]&lt;=7, "Yes", "No")</f>
        <v>No</v>
      </c>
      <c r="N276" t="s">
        <v>16</v>
      </c>
      <c r="O276" s="2">
        <v>48956</v>
      </c>
    </row>
    <row r="277" spans="1:15" x14ac:dyDescent="0.3">
      <c r="A277" s="2">
        <v>267</v>
      </c>
      <c r="B277" s="1">
        <v>44938.083333333336</v>
      </c>
      <c r="C277" s="1" t="str">
        <f t="shared" si="8"/>
        <v>01-2023</v>
      </c>
      <c r="D277" s="2">
        <f t="shared" si="9"/>
        <v>2</v>
      </c>
      <c r="E277" t="s">
        <v>13</v>
      </c>
      <c r="F277" t="s">
        <v>14</v>
      </c>
      <c r="G277" t="s">
        <v>19</v>
      </c>
      <c r="H277" s="2">
        <v>66292</v>
      </c>
      <c r="I277" s="2">
        <v>5</v>
      </c>
      <c r="J277" s="2">
        <v>127092</v>
      </c>
      <c r="K277" s="2">
        <v>28336</v>
      </c>
      <c r="L277" s="2">
        <v>9</v>
      </c>
      <c r="M277" t="str">
        <f>IF(Revv_bike_sales_data[[#This Row],[delivery_days]]&lt;=7, "Yes", "No")</f>
        <v>No</v>
      </c>
      <c r="N277" t="s">
        <v>16</v>
      </c>
      <c r="O277" s="2">
        <v>98756</v>
      </c>
    </row>
    <row r="278" spans="1:15" x14ac:dyDescent="0.3">
      <c r="A278" s="2">
        <v>268</v>
      </c>
      <c r="B278" s="1">
        <v>44938.125</v>
      </c>
      <c r="C278" s="1" t="str">
        <f t="shared" si="8"/>
        <v>01-2023</v>
      </c>
      <c r="D278" s="2">
        <f t="shared" si="9"/>
        <v>2</v>
      </c>
      <c r="E278" t="s">
        <v>25</v>
      </c>
      <c r="F278" t="s">
        <v>14</v>
      </c>
      <c r="G278" t="s">
        <v>21</v>
      </c>
      <c r="H278" s="2">
        <v>65357</v>
      </c>
      <c r="I278" s="2">
        <v>1</v>
      </c>
      <c r="J278" s="2">
        <v>81105</v>
      </c>
      <c r="K278" s="2">
        <v>41534</v>
      </c>
      <c r="L278" s="2">
        <v>6</v>
      </c>
      <c r="M278" t="str">
        <f>IF(Revv_bike_sales_data[[#This Row],[delivery_days]]&lt;=7, "Yes", "No")</f>
        <v>Yes</v>
      </c>
      <c r="N278" t="s">
        <v>16</v>
      </c>
      <c r="O278" s="2">
        <v>39571</v>
      </c>
    </row>
    <row r="279" spans="1:15" x14ac:dyDescent="0.3">
      <c r="A279" s="2">
        <v>269</v>
      </c>
      <c r="B279" s="1">
        <v>44938.166666666664</v>
      </c>
      <c r="C279" s="1" t="str">
        <f t="shared" si="8"/>
        <v>01-2023</v>
      </c>
      <c r="D279" s="2">
        <f t="shared" si="9"/>
        <v>2</v>
      </c>
      <c r="E279" t="s">
        <v>17</v>
      </c>
      <c r="F279" t="s">
        <v>14</v>
      </c>
      <c r="G279" t="s">
        <v>21</v>
      </c>
      <c r="H279" s="2">
        <v>16204</v>
      </c>
      <c r="I279" s="2">
        <v>2</v>
      </c>
      <c r="J279" s="2">
        <v>48404</v>
      </c>
      <c r="K279" s="2">
        <v>17369</v>
      </c>
      <c r="L279" s="2">
        <v>8</v>
      </c>
      <c r="M279" t="str">
        <f>IF(Revv_bike_sales_data[[#This Row],[delivery_days]]&lt;=7, "Yes", "No")</f>
        <v>No</v>
      </c>
      <c r="N279" t="s">
        <v>16</v>
      </c>
      <c r="O279" s="2">
        <v>31035</v>
      </c>
    </row>
    <row r="280" spans="1:15" x14ac:dyDescent="0.3">
      <c r="A280" s="2">
        <v>270</v>
      </c>
      <c r="B280" s="1">
        <v>44938.208333333336</v>
      </c>
      <c r="C280" s="1" t="str">
        <f t="shared" si="8"/>
        <v>01-2023</v>
      </c>
      <c r="D280" s="2">
        <f t="shared" si="9"/>
        <v>2</v>
      </c>
      <c r="E280" t="s">
        <v>13</v>
      </c>
      <c r="F280" t="s">
        <v>14</v>
      </c>
      <c r="G280" t="s">
        <v>15</v>
      </c>
      <c r="H280" s="2">
        <v>51075</v>
      </c>
      <c r="I280" s="2">
        <v>0</v>
      </c>
      <c r="J280" s="2">
        <v>97656</v>
      </c>
      <c r="K280" s="2">
        <v>40381</v>
      </c>
      <c r="L280" s="2">
        <v>8</v>
      </c>
      <c r="M280" t="str">
        <f>IF(Revv_bike_sales_data[[#This Row],[delivery_days]]&lt;=7, "Yes", "No")</f>
        <v>No</v>
      </c>
      <c r="N280" t="s">
        <v>16</v>
      </c>
      <c r="O280" s="2">
        <v>57275</v>
      </c>
    </row>
    <row r="281" spans="1:15" x14ac:dyDescent="0.3">
      <c r="A281" s="2">
        <v>271</v>
      </c>
      <c r="B281" s="1">
        <v>44938.25</v>
      </c>
      <c r="C281" s="1" t="str">
        <f t="shared" si="8"/>
        <v>01-2023</v>
      </c>
      <c r="D281" s="2">
        <f t="shared" si="9"/>
        <v>2</v>
      </c>
      <c r="E281" t="s">
        <v>18</v>
      </c>
      <c r="F281" t="s">
        <v>14</v>
      </c>
      <c r="G281" t="s">
        <v>19</v>
      </c>
      <c r="H281" s="2">
        <v>30402</v>
      </c>
      <c r="I281" s="2">
        <v>9</v>
      </c>
      <c r="J281" s="2">
        <v>161774</v>
      </c>
      <c r="K281" s="2">
        <v>127296</v>
      </c>
      <c r="L281" s="2">
        <v>9</v>
      </c>
      <c r="M281" t="str">
        <f>IF(Revv_bike_sales_data[[#This Row],[delivery_days]]&lt;=7, "Yes", "No")</f>
        <v>No</v>
      </c>
      <c r="N281" t="s">
        <v>16</v>
      </c>
      <c r="O281" s="2">
        <v>34478</v>
      </c>
    </row>
    <row r="282" spans="1:15" x14ac:dyDescent="0.3">
      <c r="A282" s="2">
        <v>272</v>
      </c>
      <c r="B282" s="1">
        <v>44938.291666666664</v>
      </c>
      <c r="C282" s="1" t="str">
        <f t="shared" si="8"/>
        <v>01-2023</v>
      </c>
      <c r="D282" s="2">
        <f t="shared" si="9"/>
        <v>2</v>
      </c>
      <c r="E282" t="s">
        <v>25</v>
      </c>
      <c r="F282" t="s">
        <v>14</v>
      </c>
      <c r="G282" t="s">
        <v>15</v>
      </c>
      <c r="H282" s="2">
        <v>1695</v>
      </c>
      <c r="I282" s="2">
        <v>4</v>
      </c>
      <c r="J282" s="2">
        <v>125965</v>
      </c>
      <c r="K282" s="2">
        <v>100094</v>
      </c>
      <c r="L282" s="2">
        <v>7</v>
      </c>
      <c r="M282" t="str">
        <f>IF(Revv_bike_sales_data[[#This Row],[delivery_days]]&lt;=7, "Yes", "No")</f>
        <v>Yes</v>
      </c>
      <c r="N282" t="s">
        <v>16</v>
      </c>
      <c r="O282" s="2">
        <v>25871</v>
      </c>
    </row>
    <row r="283" spans="1:15" x14ac:dyDescent="0.3">
      <c r="A283" s="2">
        <v>273</v>
      </c>
      <c r="B283" s="1">
        <v>44938.333333333336</v>
      </c>
      <c r="C283" s="1" t="str">
        <f t="shared" si="8"/>
        <v>01-2023</v>
      </c>
      <c r="D283" s="2">
        <f t="shared" si="9"/>
        <v>2</v>
      </c>
      <c r="E283" t="s">
        <v>25</v>
      </c>
      <c r="F283" t="s">
        <v>23</v>
      </c>
      <c r="G283" t="s">
        <v>20</v>
      </c>
      <c r="H283" s="2">
        <v>54017</v>
      </c>
      <c r="I283" s="2">
        <v>8</v>
      </c>
      <c r="J283" s="2">
        <v>81332</v>
      </c>
      <c r="K283" s="2">
        <v>102905</v>
      </c>
      <c r="L283" s="2">
        <v>9</v>
      </c>
      <c r="M283" t="str">
        <f>IF(Revv_bike_sales_data[[#This Row],[delivery_days]]&lt;=7, "Yes", "No")</f>
        <v>No</v>
      </c>
      <c r="N283" t="s">
        <v>16</v>
      </c>
      <c r="O283" s="2">
        <v>-21573</v>
      </c>
    </row>
    <row r="284" spans="1:15" x14ac:dyDescent="0.3">
      <c r="A284" s="2">
        <v>274</v>
      </c>
      <c r="B284" s="1">
        <v>44938.375</v>
      </c>
      <c r="C284" s="1" t="str">
        <f t="shared" si="8"/>
        <v>01-2023</v>
      </c>
      <c r="D284" s="2">
        <f t="shared" si="9"/>
        <v>2</v>
      </c>
      <c r="E284" t="s">
        <v>13</v>
      </c>
      <c r="F284" t="s">
        <v>14</v>
      </c>
      <c r="G284" t="s">
        <v>20</v>
      </c>
      <c r="H284" s="2">
        <v>34512</v>
      </c>
      <c r="I284" s="2">
        <v>5</v>
      </c>
      <c r="J284" s="2">
        <v>128182</v>
      </c>
      <c r="K284" s="2">
        <v>114186</v>
      </c>
      <c r="L284" s="2">
        <v>9</v>
      </c>
      <c r="M284" t="str">
        <f>IF(Revv_bike_sales_data[[#This Row],[delivery_days]]&lt;=7, "Yes", "No")</f>
        <v>No</v>
      </c>
      <c r="N284" t="s">
        <v>16</v>
      </c>
      <c r="O284" s="2">
        <v>13996</v>
      </c>
    </row>
    <row r="285" spans="1:15" x14ac:dyDescent="0.3">
      <c r="A285" s="2">
        <v>275</v>
      </c>
      <c r="B285" s="1">
        <v>44938.416666666664</v>
      </c>
      <c r="C285" s="1" t="str">
        <f t="shared" si="8"/>
        <v>01-2023</v>
      </c>
      <c r="D285" s="2">
        <f t="shared" si="9"/>
        <v>2</v>
      </c>
      <c r="E285" t="s">
        <v>18</v>
      </c>
      <c r="F285" t="s">
        <v>14</v>
      </c>
      <c r="G285" t="s">
        <v>19</v>
      </c>
      <c r="H285" s="2">
        <v>11915</v>
      </c>
      <c r="I285" s="2">
        <v>4</v>
      </c>
      <c r="J285" s="2">
        <v>136395</v>
      </c>
      <c r="K285" s="2">
        <v>111490</v>
      </c>
      <c r="L285" s="2">
        <v>12</v>
      </c>
      <c r="M285" t="str">
        <f>IF(Revv_bike_sales_data[[#This Row],[delivery_days]]&lt;=7, "Yes", "No")</f>
        <v>No</v>
      </c>
      <c r="N285" t="s">
        <v>16</v>
      </c>
      <c r="O285" s="2">
        <v>24905</v>
      </c>
    </row>
    <row r="286" spans="1:15" x14ac:dyDescent="0.3">
      <c r="A286" s="2">
        <v>276</v>
      </c>
      <c r="B286" s="1">
        <v>44938.458333333336</v>
      </c>
      <c r="C286" s="1" t="str">
        <f t="shared" si="8"/>
        <v>01-2023</v>
      </c>
      <c r="D286" s="2">
        <f t="shared" si="9"/>
        <v>2</v>
      </c>
      <c r="E286" t="s">
        <v>18</v>
      </c>
      <c r="F286" t="s">
        <v>14</v>
      </c>
      <c r="G286" t="s">
        <v>19</v>
      </c>
      <c r="H286" s="2">
        <v>40034</v>
      </c>
      <c r="I286" s="2">
        <v>2</v>
      </c>
      <c r="J286" s="2">
        <v>127619</v>
      </c>
      <c r="K286" s="2">
        <v>40407</v>
      </c>
      <c r="L286" s="2">
        <v>11</v>
      </c>
      <c r="M286" t="str">
        <f>IF(Revv_bike_sales_data[[#This Row],[delivery_days]]&lt;=7, "Yes", "No")</f>
        <v>No</v>
      </c>
      <c r="N286" t="s">
        <v>16</v>
      </c>
      <c r="O286" s="2">
        <v>87212</v>
      </c>
    </row>
    <row r="287" spans="1:15" x14ac:dyDescent="0.3">
      <c r="A287" s="2">
        <v>277</v>
      </c>
      <c r="B287" s="1">
        <v>44938.5</v>
      </c>
      <c r="C287" s="1" t="str">
        <f t="shared" si="8"/>
        <v>01-2023</v>
      </c>
      <c r="D287" s="2">
        <f t="shared" si="9"/>
        <v>2</v>
      </c>
      <c r="E287" t="s">
        <v>17</v>
      </c>
      <c r="F287" t="s">
        <v>14</v>
      </c>
      <c r="G287" t="s">
        <v>20</v>
      </c>
      <c r="H287" s="2">
        <v>22186</v>
      </c>
      <c r="I287" s="2">
        <v>4</v>
      </c>
      <c r="J287" s="2">
        <v>133269</v>
      </c>
      <c r="K287" s="2">
        <v>77552</v>
      </c>
      <c r="L287" s="2">
        <v>1</v>
      </c>
      <c r="M287" t="str">
        <f>IF(Revv_bike_sales_data[[#This Row],[delivery_days]]&lt;=7, "Yes", "No")</f>
        <v>Yes</v>
      </c>
      <c r="N287" t="s">
        <v>16</v>
      </c>
      <c r="O287" s="2">
        <v>55717</v>
      </c>
    </row>
    <row r="288" spans="1:15" x14ac:dyDescent="0.3">
      <c r="A288" s="2">
        <v>278</v>
      </c>
      <c r="B288" s="1">
        <v>44938.541666666664</v>
      </c>
      <c r="C288" s="1" t="str">
        <f t="shared" si="8"/>
        <v>01-2023</v>
      </c>
      <c r="D288" s="2">
        <f t="shared" si="9"/>
        <v>2</v>
      </c>
      <c r="E288" t="s">
        <v>18</v>
      </c>
      <c r="F288" t="s">
        <v>14</v>
      </c>
      <c r="G288" t="s">
        <v>21</v>
      </c>
      <c r="H288" s="2">
        <v>77698</v>
      </c>
      <c r="I288" s="2">
        <v>7</v>
      </c>
      <c r="J288" s="2">
        <v>98844</v>
      </c>
      <c r="K288" s="2">
        <v>50939</v>
      </c>
      <c r="L288" s="2">
        <v>6</v>
      </c>
      <c r="M288" t="str">
        <f>IF(Revv_bike_sales_data[[#This Row],[delivery_days]]&lt;=7, "Yes", "No")</f>
        <v>Yes</v>
      </c>
      <c r="N288" t="s">
        <v>16</v>
      </c>
      <c r="O288" s="2">
        <v>47905</v>
      </c>
    </row>
    <row r="289" spans="1:15" x14ac:dyDescent="0.3">
      <c r="A289" s="2">
        <v>279</v>
      </c>
      <c r="B289" s="1">
        <v>44938.583333333336</v>
      </c>
      <c r="C289" s="1" t="str">
        <f t="shared" si="8"/>
        <v>01-2023</v>
      </c>
      <c r="D289" s="2">
        <f t="shared" si="9"/>
        <v>2</v>
      </c>
      <c r="E289" t="s">
        <v>18</v>
      </c>
      <c r="F289" t="s">
        <v>14</v>
      </c>
      <c r="G289" t="s">
        <v>19</v>
      </c>
      <c r="H289" s="2">
        <v>29243</v>
      </c>
      <c r="I289" s="2">
        <v>1</v>
      </c>
      <c r="J289" s="2">
        <v>149983</v>
      </c>
      <c r="K289" s="2">
        <v>107303</v>
      </c>
      <c r="L289" s="2">
        <v>12</v>
      </c>
      <c r="M289" t="str">
        <f>IF(Revv_bike_sales_data[[#This Row],[delivery_days]]&lt;=7, "Yes", "No")</f>
        <v>No</v>
      </c>
      <c r="N289" t="s">
        <v>16</v>
      </c>
      <c r="O289" s="2">
        <v>42680</v>
      </c>
    </row>
    <row r="290" spans="1:15" x14ac:dyDescent="0.3">
      <c r="A290" s="2">
        <v>280</v>
      </c>
      <c r="B290" s="1">
        <v>44938.625</v>
      </c>
      <c r="C290" s="1" t="str">
        <f t="shared" si="8"/>
        <v>01-2023</v>
      </c>
      <c r="D290" s="2">
        <f t="shared" si="9"/>
        <v>2</v>
      </c>
      <c r="E290" t="s">
        <v>18</v>
      </c>
      <c r="F290" t="s">
        <v>14</v>
      </c>
      <c r="G290" t="s">
        <v>20</v>
      </c>
      <c r="H290" s="2">
        <v>32661</v>
      </c>
      <c r="I290" s="2">
        <v>4</v>
      </c>
      <c r="J290" s="2">
        <v>59142</v>
      </c>
      <c r="K290" s="2">
        <v>82576</v>
      </c>
      <c r="L290" s="2">
        <v>8</v>
      </c>
      <c r="M290" t="str">
        <f>IF(Revv_bike_sales_data[[#This Row],[delivery_days]]&lt;=7, "Yes", "No")</f>
        <v>No</v>
      </c>
      <c r="N290" t="s">
        <v>16</v>
      </c>
      <c r="O290" s="2">
        <v>-23434</v>
      </c>
    </row>
    <row r="291" spans="1:15" x14ac:dyDescent="0.3">
      <c r="A291" s="2">
        <v>281</v>
      </c>
      <c r="B291" s="1">
        <v>44938.666666666664</v>
      </c>
      <c r="C291" s="1" t="str">
        <f t="shared" si="8"/>
        <v>01-2023</v>
      </c>
      <c r="D291" s="2">
        <f t="shared" si="9"/>
        <v>2</v>
      </c>
      <c r="E291" t="s">
        <v>22</v>
      </c>
      <c r="F291" t="s">
        <v>14</v>
      </c>
      <c r="G291" t="s">
        <v>20</v>
      </c>
      <c r="H291" s="2">
        <v>61813</v>
      </c>
      <c r="I291" s="2">
        <v>5</v>
      </c>
      <c r="J291" s="2">
        <v>134699</v>
      </c>
      <c r="K291" s="2">
        <v>103652</v>
      </c>
      <c r="L291" s="2">
        <v>10</v>
      </c>
      <c r="M291" t="str">
        <f>IF(Revv_bike_sales_data[[#This Row],[delivery_days]]&lt;=7, "Yes", "No")</f>
        <v>No</v>
      </c>
      <c r="N291" t="s">
        <v>16</v>
      </c>
      <c r="O291" s="2">
        <v>31047</v>
      </c>
    </row>
    <row r="292" spans="1:15" x14ac:dyDescent="0.3">
      <c r="A292" s="2">
        <v>282</v>
      </c>
      <c r="B292" s="1">
        <v>44938.708333333336</v>
      </c>
      <c r="C292" s="1" t="str">
        <f t="shared" si="8"/>
        <v>01-2023</v>
      </c>
      <c r="D292" s="2">
        <f t="shared" si="9"/>
        <v>2</v>
      </c>
      <c r="E292" t="s">
        <v>17</v>
      </c>
      <c r="F292" t="s">
        <v>14</v>
      </c>
      <c r="G292" t="s">
        <v>21</v>
      </c>
      <c r="H292" s="2">
        <v>2902</v>
      </c>
      <c r="I292" s="2">
        <v>9</v>
      </c>
      <c r="J292" s="2">
        <v>121226</v>
      </c>
      <c r="K292" s="2">
        <v>41170</v>
      </c>
      <c r="L292" s="2">
        <v>9</v>
      </c>
      <c r="M292" t="str">
        <f>IF(Revv_bike_sales_data[[#This Row],[delivery_days]]&lt;=7, "Yes", "No")</f>
        <v>No</v>
      </c>
      <c r="N292" t="s">
        <v>16</v>
      </c>
      <c r="O292" s="2">
        <v>80056</v>
      </c>
    </row>
    <row r="293" spans="1:15" x14ac:dyDescent="0.3">
      <c r="A293" s="2">
        <v>283</v>
      </c>
      <c r="B293" s="1">
        <v>44938.75</v>
      </c>
      <c r="C293" s="1" t="str">
        <f t="shared" si="8"/>
        <v>01-2023</v>
      </c>
      <c r="D293" s="2">
        <f t="shared" si="9"/>
        <v>2</v>
      </c>
      <c r="E293" t="s">
        <v>25</v>
      </c>
      <c r="F293" t="s">
        <v>14</v>
      </c>
      <c r="G293" t="s">
        <v>21</v>
      </c>
      <c r="H293" s="2">
        <v>63690</v>
      </c>
      <c r="I293" s="2">
        <v>7</v>
      </c>
      <c r="J293" s="2">
        <v>32393</v>
      </c>
      <c r="K293" s="2">
        <v>86908</v>
      </c>
      <c r="L293" s="2">
        <v>4</v>
      </c>
      <c r="M293" t="str">
        <f>IF(Revv_bike_sales_data[[#This Row],[delivery_days]]&lt;=7, "Yes", "No")</f>
        <v>Yes</v>
      </c>
      <c r="N293" t="s">
        <v>16</v>
      </c>
      <c r="O293" s="2">
        <v>-54515</v>
      </c>
    </row>
    <row r="294" spans="1:15" x14ac:dyDescent="0.3">
      <c r="A294" s="2">
        <v>284</v>
      </c>
      <c r="B294" s="1">
        <v>44938.791666666664</v>
      </c>
      <c r="C294" s="1" t="str">
        <f t="shared" si="8"/>
        <v>01-2023</v>
      </c>
      <c r="D294" s="2">
        <f t="shared" si="9"/>
        <v>2</v>
      </c>
      <c r="E294" t="s">
        <v>13</v>
      </c>
      <c r="F294" t="s">
        <v>23</v>
      </c>
      <c r="G294" t="s">
        <v>21</v>
      </c>
      <c r="H294" s="2">
        <v>53051</v>
      </c>
      <c r="I294" s="2">
        <v>7</v>
      </c>
      <c r="J294" s="2">
        <v>127281</v>
      </c>
      <c r="K294" s="2">
        <v>139506</v>
      </c>
      <c r="L294" s="2">
        <v>13</v>
      </c>
      <c r="M294" t="str">
        <f>IF(Revv_bike_sales_data[[#This Row],[delivery_days]]&lt;=7, "Yes", "No")</f>
        <v>No</v>
      </c>
      <c r="N294" t="s">
        <v>16</v>
      </c>
      <c r="O294" s="2">
        <v>-12225</v>
      </c>
    </row>
    <row r="295" spans="1:15" x14ac:dyDescent="0.3">
      <c r="A295" s="2">
        <v>285</v>
      </c>
      <c r="B295" s="1">
        <v>44938.833333333336</v>
      </c>
      <c r="C295" s="1" t="str">
        <f t="shared" si="8"/>
        <v>01-2023</v>
      </c>
      <c r="D295" s="2">
        <f t="shared" si="9"/>
        <v>2</v>
      </c>
      <c r="E295" t="s">
        <v>25</v>
      </c>
      <c r="F295" t="s">
        <v>14</v>
      </c>
      <c r="G295" t="s">
        <v>21</v>
      </c>
      <c r="H295" s="2">
        <v>13775</v>
      </c>
      <c r="I295" s="2">
        <v>4</v>
      </c>
      <c r="J295" s="2">
        <v>34388</v>
      </c>
      <c r="K295" s="2">
        <v>37369</v>
      </c>
      <c r="L295" s="2">
        <v>2</v>
      </c>
      <c r="M295" t="str">
        <f>IF(Revv_bike_sales_data[[#This Row],[delivery_days]]&lt;=7, "Yes", "No")</f>
        <v>Yes</v>
      </c>
      <c r="N295" t="s">
        <v>16</v>
      </c>
      <c r="O295" s="2">
        <v>-2981</v>
      </c>
    </row>
    <row r="296" spans="1:15" x14ac:dyDescent="0.3">
      <c r="A296" s="2">
        <v>286</v>
      </c>
      <c r="B296" s="1">
        <v>44938.875</v>
      </c>
      <c r="C296" s="1" t="str">
        <f t="shared" si="8"/>
        <v>01-2023</v>
      </c>
      <c r="D296" s="2">
        <f t="shared" si="9"/>
        <v>2</v>
      </c>
      <c r="E296" t="s">
        <v>17</v>
      </c>
      <c r="F296" t="s">
        <v>14</v>
      </c>
      <c r="G296" t="s">
        <v>15</v>
      </c>
      <c r="H296" s="2">
        <v>28682</v>
      </c>
      <c r="I296" s="2">
        <v>8</v>
      </c>
      <c r="J296" s="2">
        <v>87969</v>
      </c>
      <c r="K296" s="2">
        <v>88098</v>
      </c>
      <c r="L296" s="2">
        <v>11</v>
      </c>
      <c r="M296" t="str">
        <f>IF(Revv_bike_sales_data[[#This Row],[delivery_days]]&lt;=7, "Yes", "No")</f>
        <v>No</v>
      </c>
      <c r="N296" t="s">
        <v>16</v>
      </c>
      <c r="O296" s="2">
        <v>-129</v>
      </c>
    </row>
    <row r="297" spans="1:15" x14ac:dyDescent="0.3">
      <c r="A297" s="2">
        <v>287</v>
      </c>
      <c r="B297" s="1">
        <v>44938.916666666664</v>
      </c>
      <c r="C297" s="1" t="str">
        <f t="shared" si="8"/>
        <v>01-2023</v>
      </c>
      <c r="D297" s="2">
        <f t="shared" si="9"/>
        <v>2</v>
      </c>
      <c r="E297" t="s">
        <v>13</v>
      </c>
      <c r="F297" t="s">
        <v>14</v>
      </c>
      <c r="G297" t="s">
        <v>21</v>
      </c>
      <c r="H297" s="2">
        <v>15415</v>
      </c>
      <c r="I297" s="2">
        <v>3</v>
      </c>
      <c r="J297" s="2">
        <v>61660</v>
      </c>
      <c r="K297" s="2">
        <v>59544</v>
      </c>
      <c r="L297" s="2">
        <v>9</v>
      </c>
      <c r="M297" t="str">
        <f>IF(Revv_bike_sales_data[[#This Row],[delivery_days]]&lt;=7, "Yes", "No")</f>
        <v>No</v>
      </c>
      <c r="N297" t="s">
        <v>16</v>
      </c>
      <c r="O297" s="2">
        <v>2116</v>
      </c>
    </row>
    <row r="298" spans="1:15" x14ac:dyDescent="0.3">
      <c r="A298" s="2">
        <v>288</v>
      </c>
      <c r="B298" s="1">
        <v>44938.958333333336</v>
      </c>
      <c r="C298" s="1" t="str">
        <f t="shared" si="8"/>
        <v>01-2023</v>
      </c>
      <c r="D298" s="2">
        <f t="shared" si="9"/>
        <v>2</v>
      </c>
      <c r="E298" t="s">
        <v>17</v>
      </c>
      <c r="F298" t="s">
        <v>23</v>
      </c>
      <c r="G298" t="s">
        <v>15</v>
      </c>
      <c r="H298" s="2">
        <v>1409</v>
      </c>
      <c r="I298" s="2">
        <v>8</v>
      </c>
      <c r="J298" s="2">
        <v>114244</v>
      </c>
      <c r="K298" s="2">
        <v>20900</v>
      </c>
      <c r="L298" s="2">
        <v>9</v>
      </c>
      <c r="M298" t="str">
        <f>IF(Revv_bike_sales_data[[#This Row],[delivery_days]]&lt;=7, "Yes", "No")</f>
        <v>No</v>
      </c>
      <c r="N298" t="s">
        <v>16</v>
      </c>
      <c r="O298" s="2">
        <v>93344</v>
      </c>
    </row>
    <row r="299" spans="1:15" x14ac:dyDescent="0.3">
      <c r="A299" s="2">
        <v>289</v>
      </c>
      <c r="B299" s="1">
        <v>44939</v>
      </c>
      <c r="C299" s="1" t="str">
        <f t="shared" si="8"/>
        <v>01-2023</v>
      </c>
      <c r="D299" s="2">
        <f t="shared" si="9"/>
        <v>2</v>
      </c>
      <c r="E299" t="s">
        <v>18</v>
      </c>
      <c r="F299" t="s">
        <v>14</v>
      </c>
      <c r="G299" t="s">
        <v>19</v>
      </c>
      <c r="H299" s="2">
        <v>66408</v>
      </c>
      <c r="I299" s="2">
        <v>6</v>
      </c>
      <c r="J299" s="2">
        <v>104544</v>
      </c>
      <c r="K299" s="2">
        <v>55733</v>
      </c>
      <c r="L299" s="2">
        <v>12</v>
      </c>
      <c r="M299" t="str">
        <f>IF(Revv_bike_sales_data[[#This Row],[delivery_days]]&lt;=7, "Yes", "No")</f>
        <v>No</v>
      </c>
      <c r="N299" t="s">
        <v>16</v>
      </c>
      <c r="O299" s="2">
        <v>48811</v>
      </c>
    </row>
    <row r="300" spans="1:15" x14ac:dyDescent="0.3">
      <c r="A300" s="2">
        <v>290</v>
      </c>
      <c r="B300" s="1">
        <v>44939.041666666664</v>
      </c>
      <c r="C300" s="1" t="str">
        <f t="shared" si="8"/>
        <v>01-2023</v>
      </c>
      <c r="D300" s="2">
        <f t="shared" si="9"/>
        <v>2</v>
      </c>
      <c r="E300" t="s">
        <v>13</v>
      </c>
      <c r="F300" t="s">
        <v>14</v>
      </c>
      <c r="G300" t="s">
        <v>20</v>
      </c>
      <c r="H300" s="2">
        <v>23120</v>
      </c>
      <c r="I300" s="2">
        <v>5</v>
      </c>
      <c r="J300" s="2">
        <v>156183</v>
      </c>
      <c r="K300" s="2">
        <v>102236</v>
      </c>
      <c r="L300" s="2">
        <v>8</v>
      </c>
      <c r="M300" t="str">
        <f>IF(Revv_bike_sales_data[[#This Row],[delivery_days]]&lt;=7, "Yes", "No")</f>
        <v>No</v>
      </c>
      <c r="N300" t="s">
        <v>16</v>
      </c>
      <c r="O300" s="2">
        <v>53947</v>
      </c>
    </row>
    <row r="301" spans="1:15" x14ac:dyDescent="0.3">
      <c r="A301" s="2">
        <v>291</v>
      </c>
      <c r="B301" s="1">
        <v>44939.083333333336</v>
      </c>
      <c r="C301" s="1" t="str">
        <f t="shared" si="8"/>
        <v>01-2023</v>
      </c>
      <c r="D301" s="2">
        <f t="shared" si="9"/>
        <v>2</v>
      </c>
      <c r="E301" t="s">
        <v>18</v>
      </c>
      <c r="F301" t="s">
        <v>14</v>
      </c>
      <c r="G301" t="s">
        <v>15</v>
      </c>
      <c r="H301" s="2">
        <v>34612</v>
      </c>
      <c r="I301" s="2">
        <v>3</v>
      </c>
      <c r="J301" s="2">
        <v>140370</v>
      </c>
      <c r="K301" s="2">
        <v>121769</v>
      </c>
      <c r="L301" s="2">
        <v>3</v>
      </c>
      <c r="M301" t="str">
        <f>IF(Revv_bike_sales_data[[#This Row],[delivery_days]]&lt;=7, "Yes", "No")</f>
        <v>Yes</v>
      </c>
      <c r="N301" t="s">
        <v>16</v>
      </c>
      <c r="O301" s="2">
        <v>18601</v>
      </c>
    </row>
    <row r="302" spans="1:15" x14ac:dyDescent="0.3">
      <c r="A302" s="2">
        <v>292</v>
      </c>
      <c r="B302" s="1">
        <v>44939.125</v>
      </c>
      <c r="C302" s="1" t="str">
        <f t="shared" si="8"/>
        <v>01-2023</v>
      </c>
      <c r="D302" s="2">
        <f t="shared" si="9"/>
        <v>2</v>
      </c>
      <c r="E302" t="s">
        <v>25</v>
      </c>
      <c r="F302" t="s">
        <v>14</v>
      </c>
      <c r="G302" t="s">
        <v>19</v>
      </c>
      <c r="H302" s="2">
        <v>74551</v>
      </c>
      <c r="I302" s="2">
        <v>1</v>
      </c>
      <c r="J302" s="2">
        <v>42545</v>
      </c>
      <c r="K302" s="2">
        <v>15589</v>
      </c>
      <c r="L302" s="2">
        <v>5</v>
      </c>
      <c r="M302" t="str">
        <f>IF(Revv_bike_sales_data[[#This Row],[delivery_days]]&lt;=7, "Yes", "No")</f>
        <v>Yes</v>
      </c>
      <c r="N302" t="s">
        <v>16</v>
      </c>
      <c r="O302" s="2">
        <v>26956</v>
      </c>
    </row>
    <row r="303" spans="1:15" x14ac:dyDescent="0.3">
      <c r="A303" s="2">
        <v>293</v>
      </c>
      <c r="B303" s="1">
        <v>44939.166666666664</v>
      </c>
      <c r="C303" s="1" t="str">
        <f t="shared" si="8"/>
        <v>01-2023</v>
      </c>
      <c r="D303" s="2">
        <f t="shared" si="9"/>
        <v>2</v>
      </c>
      <c r="E303" t="s">
        <v>25</v>
      </c>
      <c r="F303" t="s">
        <v>14</v>
      </c>
      <c r="G303" t="s">
        <v>19</v>
      </c>
      <c r="H303" s="2">
        <v>2931</v>
      </c>
      <c r="I303" s="2">
        <v>7</v>
      </c>
      <c r="J303" s="2">
        <v>158451</v>
      </c>
      <c r="K303" s="2">
        <v>75044</v>
      </c>
      <c r="L303" s="2">
        <v>2</v>
      </c>
      <c r="M303" t="str">
        <f>IF(Revv_bike_sales_data[[#This Row],[delivery_days]]&lt;=7, "Yes", "No")</f>
        <v>Yes</v>
      </c>
      <c r="N303" t="s">
        <v>16</v>
      </c>
      <c r="O303" s="2">
        <v>83407</v>
      </c>
    </row>
    <row r="304" spans="1:15" x14ac:dyDescent="0.3">
      <c r="A304" s="2">
        <v>294</v>
      </c>
      <c r="B304" s="1">
        <v>44939.208333333336</v>
      </c>
      <c r="C304" s="1" t="str">
        <f t="shared" si="8"/>
        <v>01-2023</v>
      </c>
      <c r="D304" s="2">
        <f t="shared" si="9"/>
        <v>2</v>
      </c>
      <c r="E304" t="s">
        <v>13</v>
      </c>
      <c r="F304" t="s">
        <v>14</v>
      </c>
      <c r="G304" t="s">
        <v>15</v>
      </c>
      <c r="H304" s="2">
        <v>87090</v>
      </c>
      <c r="I304" s="2">
        <v>5</v>
      </c>
      <c r="J304" s="2">
        <v>112346</v>
      </c>
      <c r="K304" s="2">
        <v>80311</v>
      </c>
      <c r="L304" s="2">
        <v>14</v>
      </c>
      <c r="M304" t="str">
        <f>IF(Revv_bike_sales_data[[#This Row],[delivery_days]]&lt;=7, "Yes", "No")</f>
        <v>No</v>
      </c>
      <c r="N304" t="s">
        <v>16</v>
      </c>
      <c r="O304" s="2">
        <v>32035</v>
      </c>
    </row>
    <row r="305" spans="1:15" x14ac:dyDescent="0.3">
      <c r="A305" s="2">
        <v>295</v>
      </c>
      <c r="B305" s="1">
        <v>44939.25</v>
      </c>
      <c r="C305" s="1" t="str">
        <f t="shared" si="8"/>
        <v>01-2023</v>
      </c>
      <c r="D305" s="2">
        <f t="shared" si="9"/>
        <v>2</v>
      </c>
      <c r="E305" t="s">
        <v>13</v>
      </c>
      <c r="F305" t="s">
        <v>14</v>
      </c>
      <c r="G305" t="s">
        <v>19</v>
      </c>
      <c r="H305" s="2">
        <v>62675</v>
      </c>
      <c r="I305" s="2">
        <v>2</v>
      </c>
      <c r="J305" s="2">
        <v>42809</v>
      </c>
      <c r="K305" s="2">
        <v>72926</v>
      </c>
      <c r="L305" s="2">
        <v>3</v>
      </c>
      <c r="M305" t="str">
        <f>IF(Revv_bike_sales_data[[#This Row],[delivery_days]]&lt;=7, "Yes", "No")</f>
        <v>Yes</v>
      </c>
      <c r="N305" t="s">
        <v>16</v>
      </c>
      <c r="O305" s="2">
        <v>-30117</v>
      </c>
    </row>
    <row r="306" spans="1:15" x14ac:dyDescent="0.3">
      <c r="A306" s="2">
        <v>296</v>
      </c>
      <c r="B306" s="1">
        <v>44939.291666666664</v>
      </c>
      <c r="C306" s="1" t="str">
        <f t="shared" si="8"/>
        <v>01-2023</v>
      </c>
      <c r="D306" s="2">
        <f t="shared" si="9"/>
        <v>2</v>
      </c>
      <c r="E306" t="s">
        <v>17</v>
      </c>
      <c r="F306" t="s">
        <v>14</v>
      </c>
      <c r="G306" t="s">
        <v>19</v>
      </c>
      <c r="H306" s="2">
        <v>33124</v>
      </c>
      <c r="I306" s="2">
        <v>6</v>
      </c>
      <c r="J306" s="2">
        <v>52967</v>
      </c>
      <c r="K306" s="2">
        <v>85599</v>
      </c>
      <c r="L306" s="2">
        <v>1</v>
      </c>
      <c r="M306" t="str">
        <f>IF(Revv_bike_sales_data[[#This Row],[delivery_days]]&lt;=7, "Yes", "No")</f>
        <v>Yes</v>
      </c>
      <c r="N306" t="s">
        <v>16</v>
      </c>
      <c r="O306" s="2">
        <v>-32632</v>
      </c>
    </row>
    <row r="307" spans="1:15" x14ac:dyDescent="0.3">
      <c r="A307" s="2">
        <v>297</v>
      </c>
      <c r="B307" s="1">
        <v>44939.333333333336</v>
      </c>
      <c r="C307" s="1" t="str">
        <f t="shared" si="8"/>
        <v>01-2023</v>
      </c>
      <c r="D307" s="2">
        <f t="shared" si="9"/>
        <v>2</v>
      </c>
      <c r="E307" t="s">
        <v>17</v>
      </c>
      <c r="F307" t="s">
        <v>14</v>
      </c>
      <c r="G307" t="s">
        <v>15</v>
      </c>
      <c r="H307" s="2">
        <v>76621</v>
      </c>
      <c r="I307" s="2">
        <v>9</v>
      </c>
      <c r="J307" s="2">
        <v>165820</v>
      </c>
      <c r="K307" s="2">
        <v>100553</v>
      </c>
      <c r="L307" s="2">
        <v>4</v>
      </c>
      <c r="M307" t="str">
        <f>IF(Revv_bike_sales_data[[#This Row],[delivery_days]]&lt;=7, "Yes", "No")</f>
        <v>Yes</v>
      </c>
      <c r="N307" t="s">
        <v>16</v>
      </c>
      <c r="O307" s="2">
        <v>65267</v>
      </c>
    </row>
    <row r="308" spans="1:15" x14ac:dyDescent="0.3">
      <c r="A308" s="2">
        <v>298</v>
      </c>
      <c r="B308" s="1">
        <v>44939.375</v>
      </c>
      <c r="C308" s="1" t="str">
        <f t="shared" si="8"/>
        <v>01-2023</v>
      </c>
      <c r="D308" s="2">
        <f t="shared" si="9"/>
        <v>2</v>
      </c>
      <c r="E308" t="s">
        <v>18</v>
      </c>
      <c r="F308" t="s">
        <v>14</v>
      </c>
      <c r="G308" t="s">
        <v>19</v>
      </c>
      <c r="H308" s="2">
        <v>61764</v>
      </c>
      <c r="I308" s="2">
        <v>6</v>
      </c>
      <c r="J308" s="2">
        <v>48424</v>
      </c>
      <c r="K308" s="2">
        <v>98910</v>
      </c>
      <c r="L308" s="2">
        <v>5</v>
      </c>
      <c r="M308" t="str">
        <f>IF(Revv_bike_sales_data[[#This Row],[delivery_days]]&lt;=7, "Yes", "No")</f>
        <v>Yes</v>
      </c>
      <c r="N308" t="s">
        <v>16</v>
      </c>
      <c r="O308" s="2">
        <v>-50486</v>
      </c>
    </row>
    <row r="309" spans="1:15" x14ac:dyDescent="0.3">
      <c r="A309" s="2">
        <v>299</v>
      </c>
      <c r="B309" s="1">
        <v>44939.416666666664</v>
      </c>
      <c r="C309" s="1" t="str">
        <f t="shared" si="8"/>
        <v>01-2023</v>
      </c>
      <c r="D309" s="2">
        <f t="shared" si="9"/>
        <v>2</v>
      </c>
      <c r="E309" t="s">
        <v>13</v>
      </c>
      <c r="F309" t="s">
        <v>14</v>
      </c>
      <c r="G309" t="s">
        <v>21</v>
      </c>
      <c r="H309" s="2">
        <v>32458</v>
      </c>
      <c r="I309" s="2">
        <v>5</v>
      </c>
      <c r="J309" s="2">
        <v>179986</v>
      </c>
      <c r="K309" s="2">
        <v>103435</v>
      </c>
      <c r="L309" s="2">
        <v>12</v>
      </c>
      <c r="M309" t="str">
        <f>IF(Revv_bike_sales_data[[#This Row],[delivery_days]]&lt;=7, "Yes", "No")</f>
        <v>No</v>
      </c>
      <c r="N309" t="s">
        <v>16</v>
      </c>
      <c r="O309" s="2">
        <v>76551</v>
      </c>
    </row>
    <row r="310" spans="1:15" x14ac:dyDescent="0.3">
      <c r="A310" s="2">
        <v>300</v>
      </c>
      <c r="B310" s="1">
        <v>44939.458333333336</v>
      </c>
      <c r="C310" s="1" t="str">
        <f t="shared" si="8"/>
        <v>01-2023</v>
      </c>
      <c r="D310" s="2">
        <f t="shared" si="9"/>
        <v>2</v>
      </c>
      <c r="E310" t="s">
        <v>25</v>
      </c>
      <c r="F310" t="s">
        <v>14</v>
      </c>
      <c r="G310" t="s">
        <v>21</v>
      </c>
      <c r="H310" s="2">
        <v>2195</v>
      </c>
      <c r="I310" s="2">
        <v>1</v>
      </c>
      <c r="J310" s="2">
        <v>133411</v>
      </c>
      <c r="K310" s="2">
        <v>64008</v>
      </c>
      <c r="L310" s="2">
        <v>2</v>
      </c>
      <c r="M310" t="str">
        <f>IF(Revv_bike_sales_data[[#This Row],[delivery_days]]&lt;=7, "Yes", "No")</f>
        <v>Yes</v>
      </c>
      <c r="N310" t="s">
        <v>16</v>
      </c>
      <c r="O310" s="2">
        <v>69403</v>
      </c>
    </row>
    <row r="311" spans="1:15" x14ac:dyDescent="0.3">
      <c r="A311" s="2">
        <v>301</v>
      </c>
      <c r="B311" s="1">
        <v>44939.5</v>
      </c>
      <c r="C311" s="1" t="str">
        <f t="shared" si="8"/>
        <v>01-2023</v>
      </c>
      <c r="D311" s="2">
        <f t="shared" si="9"/>
        <v>2</v>
      </c>
      <c r="E311" t="s">
        <v>17</v>
      </c>
      <c r="F311" t="s">
        <v>23</v>
      </c>
      <c r="G311" t="s">
        <v>20</v>
      </c>
      <c r="H311" s="2">
        <v>50432</v>
      </c>
      <c r="I311" s="2">
        <v>7</v>
      </c>
      <c r="J311" s="2">
        <v>175563</v>
      </c>
      <c r="K311" s="2">
        <v>81794</v>
      </c>
      <c r="L311" s="2">
        <v>3</v>
      </c>
      <c r="M311" t="str">
        <f>IF(Revv_bike_sales_data[[#This Row],[delivery_days]]&lt;=7, "Yes", "No")</f>
        <v>Yes</v>
      </c>
      <c r="N311" t="s">
        <v>16</v>
      </c>
      <c r="O311" s="2">
        <v>93769</v>
      </c>
    </row>
    <row r="312" spans="1:15" x14ac:dyDescent="0.3">
      <c r="A312" s="2">
        <v>302</v>
      </c>
      <c r="B312" s="1">
        <v>44939.541666666664</v>
      </c>
      <c r="C312" s="1" t="str">
        <f t="shared" si="8"/>
        <v>01-2023</v>
      </c>
      <c r="D312" s="2">
        <f t="shared" si="9"/>
        <v>2</v>
      </c>
      <c r="E312" t="s">
        <v>17</v>
      </c>
      <c r="F312" t="s">
        <v>14</v>
      </c>
      <c r="G312" t="s">
        <v>19</v>
      </c>
      <c r="H312" s="2">
        <v>99823</v>
      </c>
      <c r="I312" s="2">
        <v>0</v>
      </c>
      <c r="J312" s="2">
        <v>95069</v>
      </c>
      <c r="K312" s="2">
        <v>94134</v>
      </c>
      <c r="L312" s="2">
        <v>12</v>
      </c>
      <c r="M312" t="str">
        <f>IF(Revv_bike_sales_data[[#This Row],[delivery_days]]&lt;=7, "Yes", "No")</f>
        <v>No</v>
      </c>
      <c r="N312" t="s">
        <v>16</v>
      </c>
      <c r="O312" s="2">
        <v>935</v>
      </c>
    </row>
    <row r="313" spans="1:15" x14ac:dyDescent="0.3">
      <c r="A313" s="2">
        <v>303</v>
      </c>
      <c r="B313" s="1">
        <v>44939.583333333336</v>
      </c>
      <c r="C313" s="1" t="str">
        <f t="shared" si="8"/>
        <v>01-2023</v>
      </c>
      <c r="D313" s="2">
        <f t="shared" si="9"/>
        <v>2</v>
      </c>
      <c r="E313" t="s">
        <v>25</v>
      </c>
      <c r="F313" t="s">
        <v>14</v>
      </c>
      <c r="G313" t="s">
        <v>20</v>
      </c>
      <c r="H313" s="2">
        <v>44725</v>
      </c>
      <c r="I313" s="2">
        <v>0</v>
      </c>
      <c r="J313" s="2">
        <v>114119</v>
      </c>
      <c r="K313" s="2">
        <v>17866</v>
      </c>
      <c r="L313" s="2">
        <v>6</v>
      </c>
      <c r="M313" t="str">
        <f>IF(Revv_bike_sales_data[[#This Row],[delivery_days]]&lt;=7, "Yes", "No")</f>
        <v>Yes</v>
      </c>
      <c r="N313" t="s">
        <v>16</v>
      </c>
      <c r="O313" s="2">
        <v>96253</v>
      </c>
    </row>
    <row r="314" spans="1:15" x14ac:dyDescent="0.3">
      <c r="A314" s="2">
        <v>304</v>
      </c>
      <c r="B314" s="1">
        <v>44939.625</v>
      </c>
      <c r="C314" s="1" t="str">
        <f t="shared" si="8"/>
        <v>01-2023</v>
      </c>
      <c r="D314" s="2">
        <f t="shared" si="9"/>
        <v>2</v>
      </c>
      <c r="E314" t="s">
        <v>17</v>
      </c>
      <c r="F314" t="s">
        <v>14</v>
      </c>
      <c r="G314" t="s">
        <v>21</v>
      </c>
      <c r="H314" s="2">
        <v>1903</v>
      </c>
      <c r="I314" s="2">
        <v>5</v>
      </c>
      <c r="J314" s="2">
        <v>62049</v>
      </c>
      <c r="K314" s="2">
        <v>67890</v>
      </c>
      <c r="L314" s="2">
        <v>6</v>
      </c>
      <c r="M314" t="str">
        <f>IF(Revv_bike_sales_data[[#This Row],[delivery_days]]&lt;=7, "Yes", "No")</f>
        <v>Yes</v>
      </c>
      <c r="N314" t="s">
        <v>16</v>
      </c>
      <c r="O314" s="2">
        <v>-5841</v>
      </c>
    </row>
    <row r="315" spans="1:15" x14ac:dyDescent="0.3">
      <c r="A315" s="2">
        <v>305</v>
      </c>
      <c r="B315" s="1">
        <v>44939.666666666664</v>
      </c>
      <c r="C315" s="1" t="str">
        <f t="shared" si="8"/>
        <v>01-2023</v>
      </c>
      <c r="D315" s="2">
        <f t="shared" si="9"/>
        <v>2</v>
      </c>
      <c r="E315" t="s">
        <v>18</v>
      </c>
      <c r="F315" t="s">
        <v>14</v>
      </c>
      <c r="G315" t="s">
        <v>21</v>
      </c>
      <c r="H315" s="2">
        <v>83846</v>
      </c>
      <c r="I315" s="2">
        <v>4</v>
      </c>
      <c r="J315" s="2">
        <v>52821</v>
      </c>
      <c r="K315" s="2">
        <v>130259</v>
      </c>
      <c r="L315" s="2">
        <v>7</v>
      </c>
      <c r="M315" t="str">
        <f>IF(Revv_bike_sales_data[[#This Row],[delivery_days]]&lt;=7, "Yes", "No")</f>
        <v>Yes</v>
      </c>
      <c r="N315" t="s">
        <v>16</v>
      </c>
      <c r="O315" s="2">
        <v>-77438</v>
      </c>
    </row>
    <row r="316" spans="1:15" x14ac:dyDescent="0.3">
      <c r="A316" s="2">
        <v>306</v>
      </c>
      <c r="B316" s="1">
        <v>44939.708333333336</v>
      </c>
      <c r="C316" s="1" t="str">
        <f t="shared" si="8"/>
        <v>01-2023</v>
      </c>
      <c r="D316" s="2">
        <f t="shared" si="9"/>
        <v>2</v>
      </c>
      <c r="E316" t="s">
        <v>13</v>
      </c>
      <c r="F316" t="s">
        <v>14</v>
      </c>
      <c r="G316" t="s">
        <v>21</v>
      </c>
      <c r="H316" s="2">
        <v>74891</v>
      </c>
      <c r="I316" s="2">
        <v>8</v>
      </c>
      <c r="J316" s="2">
        <v>120797</v>
      </c>
      <c r="K316" s="2">
        <v>56504</v>
      </c>
      <c r="L316" s="2">
        <v>12</v>
      </c>
      <c r="M316" t="str">
        <f>IF(Revv_bike_sales_data[[#This Row],[delivery_days]]&lt;=7, "Yes", "No")</f>
        <v>No</v>
      </c>
      <c r="N316" t="s">
        <v>16</v>
      </c>
      <c r="O316" s="2">
        <v>64293</v>
      </c>
    </row>
    <row r="317" spans="1:15" x14ac:dyDescent="0.3">
      <c r="A317" s="2">
        <v>307</v>
      </c>
      <c r="B317" s="1">
        <v>44939.75</v>
      </c>
      <c r="C317" s="1" t="str">
        <f t="shared" si="8"/>
        <v>01-2023</v>
      </c>
      <c r="D317" s="2">
        <f t="shared" si="9"/>
        <v>2</v>
      </c>
      <c r="E317" t="s">
        <v>25</v>
      </c>
      <c r="F317" t="s">
        <v>14</v>
      </c>
      <c r="G317" t="s">
        <v>19</v>
      </c>
      <c r="H317" s="2">
        <v>39136</v>
      </c>
      <c r="I317" s="2">
        <v>6</v>
      </c>
      <c r="J317" s="2">
        <v>173456</v>
      </c>
      <c r="K317" s="2">
        <v>110668</v>
      </c>
      <c r="L317" s="2">
        <v>9</v>
      </c>
      <c r="M317" t="str">
        <f>IF(Revv_bike_sales_data[[#This Row],[delivery_days]]&lt;=7, "Yes", "No")</f>
        <v>No</v>
      </c>
      <c r="N317" t="s">
        <v>16</v>
      </c>
      <c r="O317" s="2">
        <v>62788</v>
      </c>
    </row>
    <row r="318" spans="1:15" x14ac:dyDescent="0.3">
      <c r="A318" s="2">
        <v>308</v>
      </c>
      <c r="B318" s="1">
        <v>44939.791666666664</v>
      </c>
      <c r="C318" s="1" t="str">
        <f t="shared" si="8"/>
        <v>01-2023</v>
      </c>
      <c r="D318" s="2">
        <f t="shared" si="9"/>
        <v>2</v>
      </c>
      <c r="E318" t="s">
        <v>13</v>
      </c>
      <c r="F318" t="s">
        <v>14</v>
      </c>
      <c r="G318" t="s">
        <v>19</v>
      </c>
      <c r="H318" s="2">
        <v>11339</v>
      </c>
      <c r="I318" s="2">
        <v>1</v>
      </c>
      <c r="J318" s="2">
        <v>102734</v>
      </c>
      <c r="K318" s="2">
        <v>68374</v>
      </c>
      <c r="L318" s="2">
        <v>4</v>
      </c>
      <c r="M318" t="str">
        <f>IF(Revv_bike_sales_data[[#This Row],[delivery_days]]&lt;=7, "Yes", "No")</f>
        <v>Yes</v>
      </c>
      <c r="N318" t="s">
        <v>16</v>
      </c>
      <c r="O318" s="2">
        <v>34360</v>
      </c>
    </row>
    <row r="319" spans="1:15" x14ac:dyDescent="0.3">
      <c r="A319" s="2">
        <v>309</v>
      </c>
      <c r="B319" s="1">
        <v>44939.833333333336</v>
      </c>
      <c r="C319" s="1" t="str">
        <f t="shared" si="8"/>
        <v>01-2023</v>
      </c>
      <c r="D319" s="2">
        <f t="shared" si="9"/>
        <v>2</v>
      </c>
      <c r="E319" t="s">
        <v>17</v>
      </c>
      <c r="F319" t="s">
        <v>14</v>
      </c>
      <c r="G319" t="s">
        <v>21</v>
      </c>
      <c r="H319" s="2">
        <v>66046</v>
      </c>
      <c r="I319" s="2">
        <v>6</v>
      </c>
      <c r="J319" s="2">
        <v>163241</v>
      </c>
      <c r="K319" s="2">
        <v>44404</v>
      </c>
      <c r="L319" s="2">
        <v>5</v>
      </c>
      <c r="M319" t="str">
        <f>IF(Revv_bike_sales_data[[#This Row],[delivery_days]]&lt;=7, "Yes", "No")</f>
        <v>Yes</v>
      </c>
      <c r="N319" t="s">
        <v>16</v>
      </c>
      <c r="O319" s="2">
        <v>118837</v>
      </c>
    </row>
    <row r="320" spans="1:15" x14ac:dyDescent="0.3">
      <c r="A320" s="2">
        <v>310</v>
      </c>
      <c r="B320" s="1">
        <v>44939.875</v>
      </c>
      <c r="C320" s="1" t="str">
        <f t="shared" si="8"/>
        <v>01-2023</v>
      </c>
      <c r="D320" s="2">
        <f t="shared" si="9"/>
        <v>2</v>
      </c>
      <c r="E320" t="s">
        <v>17</v>
      </c>
      <c r="F320" t="s">
        <v>14</v>
      </c>
      <c r="G320" t="s">
        <v>20</v>
      </c>
      <c r="H320" s="2">
        <v>48329</v>
      </c>
      <c r="I320" s="2">
        <v>2</v>
      </c>
      <c r="J320" s="2">
        <v>122445</v>
      </c>
      <c r="K320" s="2">
        <v>80223</v>
      </c>
      <c r="L320" s="2">
        <v>11</v>
      </c>
      <c r="M320" t="str">
        <f>IF(Revv_bike_sales_data[[#This Row],[delivery_days]]&lt;=7, "Yes", "No")</f>
        <v>No</v>
      </c>
      <c r="N320" t="s">
        <v>16</v>
      </c>
      <c r="O320" s="2">
        <v>42222</v>
      </c>
    </row>
    <row r="321" spans="1:15" x14ac:dyDescent="0.3">
      <c r="A321" s="2">
        <v>311</v>
      </c>
      <c r="B321" s="1">
        <v>44939.916666666664</v>
      </c>
      <c r="C321" s="1" t="str">
        <f t="shared" si="8"/>
        <v>01-2023</v>
      </c>
      <c r="D321" s="2">
        <f t="shared" si="9"/>
        <v>2</v>
      </c>
      <c r="E321" t="s">
        <v>25</v>
      </c>
      <c r="F321" t="s">
        <v>14</v>
      </c>
      <c r="G321" t="s">
        <v>20</v>
      </c>
      <c r="H321" s="2">
        <v>9730</v>
      </c>
      <c r="I321" s="2">
        <v>0</v>
      </c>
      <c r="J321" s="2">
        <v>28830</v>
      </c>
      <c r="K321" s="2">
        <v>126008</v>
      </c>
      <c r="L321" s="2">
        <v>2</v>
      </c>
      <c r="M321" t="str">
        <f>IF(Revv_bike_sales_data[[#This Row],[delivery_days]]&lt;=7, "Yes", "No")</f>
        <v>Yes</v>
      </c>
      <c r="N321" t="s">
        <v>16</v>
      </c>
      <c r="O321" s="2">
        <v>-97178</v>
      </c>
    </row>
    <row r="322" spans="1:15" x14ac:dyDescent="0.3">
      <c r="A322" s="2">
        <v>312</v>
      </c>
      <c r="B322" s="1">
        <v>44939.958333333336</v>
      </c>
      <c r="C322" s="1" t="str">
        <f t="shared" si="8"/>
        <v>01-2023</v>
      </c>
      <c r="D322" s="2">
        <f t="shared" si="9"/>
        <v>2</v>
      </c>
      <c r="E322" t="s">
        <v>18</v>
      </c>
      <c r="F322" t="s">
        <v>14</v>
      </c>
      <c r="G322" t="s">
        <v>15</v>
      </c>
      <c r="H322" s="2">
        <v>52477</v>
      </c>
      <c r="I322" s="2">
        <v>7</v>
      </c>
      <c r="J322" s="2">
        <v>111940</v>
      </c>
      <c r="K322" s="2">
        <v>15637</v>
      </c>
      <c r="L322" s="2">
        <v>6</v>
      </c>
      <c r="M322" t="str">
        <f>IF(Revv_bike_sales_data[[#This Row],[delivery_days]]&lt;=7, "Yes", "No")</f>
        <v>Yes</v>
      </c>
      <c r="N322" t="s">
        <v>16</v>
      </c>
      <c r="O322" s="2">
        <v>96303</v>
      </c>
    </row>
    <row r="323" spans="1:15" x14ac:dyDescent="0.3">
      <c r="A323" s="2">
        <v>313</v>
      </c>
      <c r="B323" s="1">
        <v>44940</v>
      </c>
      <c r="C323" s="1" t="str">
        <f t="shared" si="8"/>
        <v>01-2023</v>
      </c>
      <c r="D323" s="2">
        <f t="shared" si="9"/>
        <v>2</v>
      </c>
      <c r="E323" t="s">
        <v>22</v>
      </c>
      <c r="F323" t="s">
        <v>14</v>
      </c>
      <c r="G323" t="s">
        <v>21</v>
      </c>
      <c r="H323" s="2">
        <v>40732</v>
      </c>
      <c r="I323" s="2">
        <v>2</v>
      </c>
      <c r="J323" s="2">
        <v>88867</v>
      </c>
      <c r="K323" s="2">
        <v>105152</v>
      </c>
      <c r="L323" s="2">
        <v>4</v>
      </c>
      <c r="M323" t="str">
        <f>IF(Revv_bike_sales_data[[#This Row],[delivery_days]]&lt;=7, "Yes", "No")</f>
        <v>Yes</v>
      </c>
      <c r="N323" t="s">
        <v>16</v>
      </c>
      <c r="O323" s="2">
        <v>-16285</v>
      </c>
    </row>
    <row r="324" spans="1:15" x14ac:dyDescent="0.3">
      <c r="A324" s="2">
        <v>314</v>
      </c>
      <c r="B324" s="1">
        <v>44940.041666666664</v>
      </c>
      <c r="C324" s="1" t="str">
        <f t="shared" si="8"/>
        <v>01-2023</v>
      </c>
      <c r="D324" s="2">
        <f t="shared" si="9"/>
        <v>2</v>
      </c>
      <c r="E324" t="s">
        <v>25</v>
      </c>
      <c r="F324" t="s">
        <v>14</v>
      </c>
      <c r="G324" t="s">
        <v>20</v>
      </c>
      <c r="H324" s="2">
        <v>95292</v>
      </c>
      <c r="I324" s="2">
        <v>7</v>
      </c>
      <c r="J324" s="2">
        <v>57419</v>
      </c>
      <c r="K324" s="2">
        <v>118186</v>
      </c>
      <c r="L324" s="2">
        <v>5</v>
      </c>
      <c r="M324" t="str">
        <f>IF(Revv_bike_sales_data[[#This Row],[delivery_days]]&lt;=7, "Yes", "No")</f>
        <v>Yes</v>
      </c>
      <c r="N324" t="s">
        <v>16</v>
      </c>
      <c r="O324" s="2">
        <v>-60767</v>
      </c>
    </row>
    <row r="325" spans="1:15" x14ac:dyDescent="0.3">
      <c r="A325" s="2">
        <v>315</v>
      </c>
      <c r="B325" s="1">
        <v>44940.083333333336</v>
      </c>
      <c r="C325" s="1" t="str">
        <f t="shared" si="8"/>
        <v>01-2023</v>
      </c>
      <c r="D325" s="2">
        <f t="shared" si="9"/>
        <v>2</v>
      </c>
      <c r="E325" t="s">
        <v>22</v>
      </c>
      <c r="F325" t="s">
        <v>14</v>
      </c>
      <c r="G325" t="s">
        <v>21</v>
      </c>
      <c r="H325" s="2">
        <v>26151</v>
      </c>
      <c r="I325" s="2">
        <v>6</v>
      </c>
      <c r="J325" s="2">
        <v>41668</v>
      </c>
      <c r="K325" s="2">
        <v>30828</v>
      </c>
      <c r="L325" s="2">
        <v>7</v>
      </c>
      <c r="M325" t="str">
        <f>IF(Revv_bike_sales_data[[#This Row],[delivery_days]]&lt;=7, "Yes", "No")</f>
        <v>Yes</v>
      </c>
      <c r="N325" t="s">
        <v>16</v>
      </c>
      <c r="O325" s="2">
        <v>10840</v>
      </c>
    </row>
    <row r="326" spans="1:15" x14ac:dyDescent="0.3">
      <c r="A326" s="2">
        <v>316</v>
      </c>
      <c r="B326" s="1">
        <v>44940.125</v>
      </c>
      <c r="C326" s="1" t="str">
        <f t="shared" si="8"/>
        <v>01-2023</v>
      </c>
      <c r="D326" s="2">
        <f t="shared" si="9"/>
        <v>2</v>
      </c>
      <c r="E326" t="s">
        <v>22</v>
      </c>
      <c r="F326" t="s">
        <v>14</v>
      </c>
      <c r="G326" t="s">
        <v>20</v>
      </c>
      <c r="H326" s="2">
        <v>98419</v>
      </c>
      <c r="I326" s="2">
        <v>1</v>
      </c>
      <c r="J326" s="2">
        <v>172318</v>
      </c>
      <c r="K326" s="2">
        <v>68544</v>
      </c>
      <c r="L326" s="2">
        <v>6</v>
      </c>
      <c r="M326" t="str">
        <f>IF(Revv_bike_sales_data[[#This Row],[delivery_days]]&lt;=7, "Yes", "No")</f>
        <v>Yes</v>
      </c>
      <c r="N326" t="s">
        <v>16</v>
      </c>
      <c r="O326" s="2">
        <v>103774</v>
      </c>
    </row>
    <row r="327" spans="1:15" x14ac:dyDescent="0.3">
      <c r="A327" s="2">
        <v>317</v>
      </c>
      <c r="B327" s="1">
        <v>44940.166666666664</v>
      </c>
      <c r="C327" s="1" t="str">
        <f t="shared" si="8"/>
        <v>01-2023</v>
      </c>
      <c r="D327" s="2">
        <f t="shared" si="9"/>
        <v>2</v>
      </c>
      <c r="E327" t="s">
        <v>18</v>
      </c>
      <c r="F327" t="s">
        <v>14</v>
      </c>
      <c r="G327" t="s">
        <v>15</v>
      </c>
      <c r="H327" s="2">
        <v>40463</v>
      </c>
      <c r="I327" s="2">
        <v>0</v>
      </c>
      <c r="J327" s="2">
        <v>49996</v>
      </c>
      <c r="K327" s="2">
        <v>106732</v>
      </c>
      <c r="L327" s="2">
        <v>8</v>
      </c>
      <c r="M327" t="str">
        <f>IF(Revv_bike_sales_data[[#This Row],[delivery_days]]&lt;=7, "Yes", "No")</f>
        <v>No</v>
      </c>
      <c r="N327" t="s">
        <v>16</v>
      </c>
      <c r="O327" s="2">
        <v>-56736</v>
      </c>
    </row>
    <row r="328" spans="1:15" x14ac:dyDescent="0.3">
      <c r="A328" s="2">
        <v>318</v>
      </c>
      <c r="B328" s="1">
        <v>44940.208333333336</v>
      </c>
      <c r="C328" s="1" t="str">
        <f t="shared" si="8"/>
        <v>01-2023</v>
      </c>
      <c r="D328" s="2">
        <f t="shared" si="9"/>
        <v>2</v>
      </c>
      <c r="E328" t="s">
        <v>22</v>
      </c>
      <c r="F328" t="s">
        <v>14</v>
      </c>
      <c r="G328" t="s">
        <v>15</v>
      </c>
      <c r="H328" s="2">
        <v>56372</v>
      </c>
      <c r="I328" s="2">
        <v>6</v>
      </c>
      <c r="J328" s="2">
        <v>76312</v>
      </c>
      <c r="K328" s="2">
        <v>116976</v>
      </c>
      <c r="L328" s="2">
        <v>6</v>
      </c>
      <c r="M328" t="str">
        <f>IF(Revv_bike_sales_data[[#This Row],[delivery_days]]&lt;=7, "Yes", "No")</f>
        <v>Yes</v>
      </c>
      <c r="N328" t="s">
        <v>16</v>
      </c>
      <c r="O328" s="2">
        <v>-40664</v>
      </c>
    </row>
    <row r="329" spans="1:15" x14ac:dyDescent="0.3">
      <c r="A329" s="2">
        <v>319</v>
      </c>
      <c r="B329" s="1">
        <v>44940.25</v>
      </c>
      <c r="C329" s="1" t="str">
        <f t="shared" si="8"/>
        <v>01-2023</v>
      </c>
      <c r="D329" s="2">
        <f t="shared" si="9"/>
        <v>2</v>
      </c>
      <c r="E329" t="s">
        <v>22</v>
      </c>
      <c r="F329" t="s">
        <v>14</v>
      </c>
      <c r="G329" t="s">
        <v>21</v>
      </c>
      <c r="H329" s="2">
        <v>79698</v>
      </c>
      <c r="I329" s="2">
        <v>0</v>
      </c>
      <c r="J329" s="2">
        <v>159137</v>
      </c>
      <c r="K329" s="2">
        <v>60097</v>
      </c>
      <c r="L329" s="2">
        <v>10</v>
      </c>
      <c r="M329" t="str">
        <f>IF(Revv_bike_sales_data[[#This Row],[delivery_days]]&lt;=7, "Yes", "No")</f>
        <v>No</v>
      </c>
      <c r="N329" t="s">
        <v>16</v>
      </c>
      <c r="O329" s="2">
        <v>99040</v>
      </c>
    </row>
    <row r="330" spans="1:15" x14ac:dyDescent="0.3">
      <c r="A330" s="2">
        <v>320</v>
      </c>
      <c r="B330" s="1">
        <v>44940.291666666664</v>
      </c>
      <c r="C330" s="1" t="str">
        <f t="shared" si="8"/>
        <v>01-2023</v>
      </c>
      <c r="D330" s="2">
        <f t="shared" si="9"/>
        <v>2</v>
      </c>
      <c r="E330" t="s">
        <v>18</v>
      </c>
      <c r="F330" t="s">
        <v>14</v>
      </c>
      <c r="G330" t="s">
        <v>20</v>
      </c>
      <c r="H330" s="2">
        <v>14239</v>
      </c>
      <c r="I330" s="2">
        <v>5</v>
      </c>
      <c r="J330" s="2">
        <v>35467</v>
      </c>
      <c r="K330" s="2">
        <v>128271</v>
      </c>
      <c r="L330" s="2">
        <v>14</v>
      </c>
      <c r="M330" t="str">
        <f>IF(Revv_bike_sales_data[[#This Row],[delivery_days]]&lt;=7, "Yes", "No")</f>
        <v>No</v>
      </c>
      <c r="N330" t="s">
        <v>16</v>
      </c>
      <c r="O330" s="2">
        <v>-92804</v>
      </c>
    </row>
    <row r="331" spans="1:15" x14ac:dyDescent="0.3">
      <c r="A331" s="2">
        <v>321</v>
      </c>
      <c r="B331" s="1">
        <v>44940.333333333336</v>
      </c>
      <c r="C331" s="1" t="str">
        <f t="shared" ref="C331:C394" si="10">TEXT(B331,"mm-yyyy")</f>
        <v>01-2023</v>
      </c>
      <c r="D331" s="2">
        <f t="shared" ref="D331:D394" si="11">WEEKNUM(B331)</f>
        <v>2</v>
      </c>
      <c r="E331" t="s">
        <v>22</v>
      </c>
      <c r="F331" t="s">
        <v>23</v>
      </c>
      <c r="G331" t="s">
        <v>19</v>
      </c>
      <c r="H331" s="2">
        <v>63794</v>
      </c>
      <c r="I331" s="2">
        <v>9</v>
      </c>
      <c r="J331" s="2">
        <v>177079</v>
      </c>
      <c r="K331" s="2">
        <v>47022</v>
      </c>
      <c r="L331" s="2">
        <v>8</v>
      </c>
      <c r="M331" t="str">
        <f>IF(Revv_bike_sales_data[[#This Row],[delivery_days]]&lt;=7, "Yes", "No")</f>
        <v>No</v>
      </c>
      <c r="N331" t="s">
        <v>16</v>
      </c>
      <c r="O331" s="2">
        <v>130057</v>
      </c>
    </row>
    <row r="332" spans="1:15" x14ac:dyDescent="0.3">
      <c r="A332" s="2">
        <v>322</v>
      </c>
      <c r="B332" s="1">
        <v>44940.375</v>
      </c>
      <c r="C332" s="1" t="str">
        <f t="shared" si="10"/>
        <v>01-2023</v>
      </c>
      <c r="D332" s="2">
        <f t="shared" si="11"/>
        <v>2</v>
      </c>
      <c r="E332" t="s">
        <v>22</v>
      </c>
      <c r="F332" t="s">
        <v>14</v>
      </c>
      <c r="G332" t="s">
        <v>15</v>
      </c>
      <c r="H332" s="2">
        <v>48856</v>
      </c>
      <c r="I332" s="2">
        <v>9</v>
      </c>
      <c r="J332" s="2">
        <v>53702</v>
      </c>
      <c r="K332" s="2">
        <v>47202</v>
      </c>
      <c r="L332" s="2">
        <v>13</v>
      </c>
      <c r="M332" t="str">
        <f>IF(Revv_bike_sales_data[[#This Row],[delivery_days]]&lt;=7, "Yes", "No")</f>
        <v>No</v>
      </c>
      <c r="N332" t="s">
        <v>16</v>
      </c>
      <c r="O332" s="2">
        <v>6500</v>
      </c>
    </row>
    <row r="333" spans="1:15" x14ac:dyDescent="0.3">
      <c r="A333" s="2">
        <v>323</v>
      </c>
      <c r="B333" s="1">
        <v>44940.416666666664</v>
      </c>
      <c r="C333" s="1" t="str">
        <f t="shared" si="10"/>
        <v>01-2023</v>
      </c>
      <c r="D333" s="2">
        <f t="shared" si="11"/>
        <v>2</v>
      </c>
      <c r="E333" t="s">
        <v>22</v>
      </c>
      <c r="F333" t="s">
        <v>14</v>
      </c>
      <c r="G333" t="s">
        <v>21</v>
      </c>
      <c r="H333" s="2">
        <v>2289</v>
      </c>
      <c r="I333" s="2">
        <v>7</v>
      </c>
      <c r="J333" s="2">
        <v>119369</v>
      </c>
      <c r="K333" s="2">
        <v>43704</v>
      </c>
      <c r="L333" s="2">
        <v>14</v>
      </c>
      <c r="M333" t="str">
        <f>IF(Revv_bike_sales_data[[#This Row],[delivery_days]]&lt;=7, "Yes", "No")</f>
        <v>No</v>
      </c>
      <c r="N333" t="s">
        <v>16</v>
      </c>
      <c r="O333" s="2">
        <v>75665</v>
      </c>
    </row>
    <row r="334" spans="1:15" x14ac:dyDescent="0.3">
      <c r="A334" s="2">
        <v>324</v>
      </c>
      <c r="B334" s="1">
        <v>44940.458333333336</v>
      </c>
      <c r="C334" s="1" t="str">
        <f t="shared" si="10"/>
        <v>01-2023</v>
      </c>
      <c r="D334" s="2">
        <f t="shared" si="11"/>
        <v>2</v>
      </c>
      <c r="E334" t="s">
        <v>25</v>
      </c>
      <c r="F334" t="s">
        <v>14</v>
      </c>
      <c r="G334" t="s">
        <v>21</v>
      </c>
      <c r="H334" s="2">
        <v>19920</v>
      </c>
      <c r="I334" s="2">
        <v>6</v>
      </c>
      <c r="J334" s="2">
        <v>100569</v>
      </c>
      <c r="K334" s="2">
        <v>106411</v>
      </c>
      <c r="L334" s="2">
        <v>14</v>
      </c>
      <c r="M334" t="str">
        <f>IF(Revv_bike_sales_data[[#This Row],[delivery_days]]&lt;=7, "Yes", "No")</f>
        <v>No</v>
      </c>
      <c r="N334" t="s">
        <v>16</v>
      </c>
      <c r="O334" s="2">
        <v>-5842</v>
      </c>
    </row>
    <row r="335" spans="1:15" x14ac:dyDescent="0.3">
      <c r="A335" s="2">
        <v>325</v>
      </c>
      <c r="B335" s="1">
        <v>44940.5</v>
      </c>
      <c r="C335" s="1" t="str">
        <f t="shared" si="10"/>
        <v>01-2023</v>
      </c>
      <c r="D335" s="2">
        <f t="shared" si="11"/>
        <v>2</v>
      </c>
      <c r="E335" t="s">
        <v>25</v>
      </c>
      <c r="F335" t="s">
        <v>14</v>
      </c>
      <c r="G335" t="s">
        <v>20</v>
      </c>
      <c r="H335" s="2">
        <v>89797</v>
      </c>
      <c r="I335" s="2">
        <v>3</v>
      </c>
      <c r="J335" s="2">
        <v>78952</v>
      </c>
      <c r="K335" s="2">
        <v>38641</v>
      </c>
      <c r="L335" s="2">
        <v>4</v>
      </c>
      <c r="M335" t="str">
        <f>IF(Revv_bike_sales_data[[#This Row],[delivery_days]]&lt;=7, "Yes", "No")</f>
        <v>Yes</v>
      </c>
      <c r="N335" t="s">
        <v>16</v>
      </c>
      <c r="O335" s="2">
        <v>40311</v>
      </c>
    </row>
    <row r="336" spans="1:15" x14ac:dyDescent="0.3">
      <c r="A336" s="2">
        <v>326</v>
      </c>
      <c r="B336" s="1">
        <v>44940.541666666664</v>
      </c>
      <c r="C336" s="1" t="str">
        <f t="shared" si="10"/>
        <v>01-2023</v>
      </c>
      <c r="D336" s="2">
        <f t="shared" si="11"/>
        <v>2</v>
      </c>
      <c r="E336" t="s">
        <v>25</v>
      </c>
      <c r="F336" t="s">
        <v>14</v>
      </c>
      <c r="G336" t="s">
        <v>21</v>
      </c>
      <c r="H336" s="2">
        <v>38106</v>
      </c>
      <c r="I336" s="2">
        <v>0</v>
      </c>
      <c r="J336" s="2">
        <v>59169</v>
      </c>
      <c r="K336" s="2">
        <v>52479</v>
      </c>
      <c r="L336" s="2">
        <v>12</v>
      </c>
      <c r="M336" t="str">
        <f>IF(Revv_bike_sales_data[[#This Row],[delivery_days]]&lt;=7, "Yes", "No")</f>
        <v>No</v>
      </c>
      <c r="N336" t="s">
        <v>16</v>
      </c>
      <c r="O336" s="2">
        <v>6690</v>
      </c>
    </row>
    <row r="337" spans="1:15" x14ac:dyDescent="0.3">
      <c r="A337" s="2">
        <v>327</v>
      </c>
      <c r="B337" s="1">
        <v>44940.583333333336</v>
      </c>
      <c r="C337" s="1" t="str">
        <f t="shared" si="10"/>
        <v>01-2023</v>
      </c>
      <c r="D337" s="2">
        <f t="shared" si="11"/>
        <v>2</v>
      </c>
      <c r="E337" t="s">
        <v>18</v>
      </c>
      <c r="F337" t="s">
        <v>14</v>
      </c>
      <c r="G337" t="s">
        <v>15</v>
      </c>
      <c r="H337" s="2">
        <v>39140</v>
      </c>
      <c r="I337" s="2">
        <v>0</v>
      </c>
      <c r="J337" s="2">
        <v>41829</v>
      </c>
      <c r="K337" s="2">
        <v>93771</v>
      </c>
      <c r="L337" s="2">
        <v>7</v>
      </c>
      <c r="M337" t="str">
        <f>IF(Revv_bike_sales_data[[#This Row],[delivery_days]]&lt;=7, "Yes", "No")</f>
        <v>Yes</v>
      </c>
      <c r="N337" t="s">
        <v>16</v>
      </c>
      <c r="O337" s="2">
        <v>-51942</v>
      </c>
    </row>
    <row r="338" spans="1:15" x14ac:dyDescent="0.3">
      <c r="A338" s="2">
        <v>328</v>
      </c>
      <c r="B338" s="1">
        <v>44940.625</v>
      </c>
      <c r="C338" s="1" t="str">
        <f t="shared" si="10"/>
        <v>01-2023</v>
      </c>
      <c r="D338" s="2">
        <f t="shared" si="11"/>
        <v>2</v>
      </c>
      <c r="E338" t="s">
        <v>17</v>
      </c>
      <c r="F338" t="s">
        <v>23</v>
      </c>
      <c r="G338" t="s">
        <v>21</v>
      </c>
      <c r="H338" s="2">
        <v>44635</v>
      </c>
      <c r="I338" s="2">
        <v>3</v>
      </c>
      <c r="J338" s="2">
        <v>29522</v>
      </c>
      <c r="K338" s="2">
        <v>37027</v>
      </c>
      <c r="L338" s="2">
        <v>3</v>
      </c>
      <c r="M338" t="str">
        <f>IF(Revv_bike_sales_data[[#This Row],[delivery_days]]&lt;=7, "Yes", "No")</f>
        <v>Yes</v>
      </c>
      <c r="N338" t="s">
        <v>24</v>
      </c>
      <c r="O338" s="2">
        <v>-7505</v>
      </c>
    </row>
    <row r="339" spans="1:15" x14ac:dyDescent="0.3">
      <c r="A339" s="2">
        <v>329</v>
      </c>
      <c r="B339" s="1">
        <v>44940.666666666664</v>
      </c>
      <c r="C339" s="1" t="str">
        <f t="shared" si="10"/>
        <v>01-2023</v>
      </c>
      <c r="D339" s="2">
        <f t="shared" si="11"/>
        <v>2</v>
      </c>
      <c r="E339" t="s">
        <v>22</v>
      </c>
      <c r="F339" t="s">
        <v>14</v>
      </c>
      <c r="G339" t="s">
        <v>21</v>
      </c>
      <c r="H339" s="2">
        <v>37567</v>
      </c>
      <c r="I339" s="2">
        <v>4</v>
      </c>
      <c r="J339" s="2">
        <v>110687</v>
      </c>
      <c r="K339" s="2">
        <v>113463</v>
      </c>
      <c r="L339" s="2">
        <v>1</v>
      </c>
      <c r="M339" t="str">
        <f>IF(Revv_bike_sales_data[[#This Row],[delivery_days]]&lt;=7, "Yes", "No")</f>
        <v>Yes</v>
      </c>
      <c r="N339" t="s">
        <v>16</v>
      </c>
      <c r="O339" s="2">
        <v>-2776</v>
      </c>
    </row>
    <row r="340" spans="1:15" x14ac:dyDescent="0.3">
      <c r="A340" s="2">
        <v>330</v>
      </c>
      <c r="B340" s="1">
        <v>44940.708333333336</v>
      </c>
      <c r="C340" s="1" t="str">
        <f t="shared" si="10"/>
        <v>01-2023</v>
      </c>
      <c r="D340" s="2">
        <f t="shared" si="11"/>
        <v>2</v>
      </c>
      <c r="E340" t="s">
        <v>22</v>
      </c>
      <c r="F340" t="s">
        <v>14</v>
      </c>
      <c r="G340" t="s">
        <v>19</v>
      </c>
      <c r="H340" s="2">
        <v>58920</v>
      </c>
      <c r="I340" s="2">
        <v>6</v>
      </c>
      <c r="J340" s="2">
        <v>145334</v>
      </c>
      <c r="K340" s="2">
        <v>57912</v>
      </c>
      <c r="L340" s="2">
        <v>13</v>
      </c>
      <c r="M340" t="str">
        <f>IF(Revv_bike_sales_data[[#This Row],[delivery_days]]&lt;=7, "Yes", "No")</f>
        <v>No</v>
      </c>
      <c r="N340" t="s">
        <v>16</v>
      </c>
      <c r="O340" s="2">
        <v>87422</v>
      </c>
    </row>
    <row r="341" spans="1:15" x14ac:dyDescent="0.3">
      <c r="A341" s="2">
        <v>331</v>
      </c>
      <c r="B341" s="1">
        <v>44940.75</v>
      </c>
      <c r="C341" s="1" t="str">
        <f t="shared" si="10"/>
        <v>01-2023</v>
      </c>
      <c r="D341" s="2">
        <f t="shared" si="11"/>
        <v>2</v>
      </c>
      <c r="E341" t="s">
        <v>18</v>
      </c>
      <c r="F341" t="s">
        <v>14</v>
      </c>
      <c r="G341" t="s">
        <v>19</v>
      </c>
      <c r="H341" s="2">
        <v>17857</v>
      </c>
      <c r="I341" s="2">
        <v>3</v>
      </c>
      <c r="J341" s="2">
        <v>143576</v>
      </c>
      <c r="K341" s="2">
        <v>128097</v>
      </c>
      <c r="L341" s="2">
        <v>9</v>
      </c>
      <c r="M341" t="str">
        <f>IF(Revv_bike_sales_data[[#This Row],[delivery_days]]&lt;=7, "Yes", "No")</f>
        <v>No</v>
      </c>
      <c r="N341" t="s">
        <v>16</v>
      </c>
      <c r="O341" s="2">
        <v>15479</v>
      </c>
    </row>
    <row r="342" spans="1:15" x14ac:dyDescent="0.3">
      <c r="A342" s="2">
        <v>332</v>
      </c>
      <c r="B342" s="1">
        <v>44940.791666666664</v>
      </c>
      <c r="C342" s="1" t="str">
        <f t="shared" si="10"/>
        <v>01-2023</v>
      </c>
      <c r="D342" s="2">
        <f t="shared" si="11"/>
        <v>2</v>
      </c>
      <c r="E342" t="s">
        <v>22</v>
      </c>
      <c r="F342" t="s">
        <v>14</v>
      </c>
      <c r="G342" t="s">
        <v>15</v>
      </c>
      <c r="H342" s="2">
        <v>40351</v>
      </c>
      <c r="I342" s="2">
        <v>9</v>
      </c>
      <c r="J342" s="2">
        <v>142419</v>
      </c>
      <c r="K342" s="2">
        <v>123227</v>
      </c>
      <c r="L342" s="2">
        <v>9</v>
      </c>
      <c r="M342" t="str">
        <f>IF(Revv_bike_sales_data[[#This Row],[delivery_days]]&lt;=7, "Yes", "No")</f>
        <v>No</v>
      </c>
      <c r="N342" t="s">
        <v>16</v>
      </c>
      <c r="O342" s="2">
        <v>19192</v>
      </c>
    </row>
    <row r="343" spans="1:15" x14ac:dyDescent="0.3">
      <c r="A343" s="2">
        <v>333</v>
      </c>
      <c r="B343" s="1">
        <v>44940.833333333336</v>
      </c>
      <c r="C343" s="1" t="str">
        <f t="shared" si="10"/>
        <v>01-2023</v>
      </c>
      <c r="D343" s="2">
        <f t="shared" si="11"/>
        <v>2</v>
      </c>
      <c r="E343" t="s">
        <v>25</v>
      </c>
      <c r="F343" t="s">
        <v>14</v>
      </c>
      <c r="G343" t="s">
        <v>20</v>
      </c>
      <c r="H343" s="2">
        <v>38762</v>
      </c>
      <c r="I343" s="2">
        <v>0</v>
      </c>
      <c r="J343" s="2">
        <v>32699</v>
      </c>
      <c r="K343" s="2">
        <v>107558</v>
      </c>
      <c r="L343" s="2">
        <v>6</v>
      </c>
      <c r="M343" t="str">
        <f>IF(Revv_bike_sales_data[[#This Row],[delivery_days]]&lt;=7, "Yes", "No")</f>
        <v>Yes</v>
      </c>
      <c r="N343" t="s">
        <v>16</v>
      </c>
      <c r="O343" s="2">
        <v>-74859</v>
      </c>
    </row>
    <row r="344" spans="1:15" x14ac:dyDescent="0.3">
      <c r="A344" s="2">
        <v>334</v>
      </c>
      <c r="B344" s="1">
        <v>44940.875</v>
      </c>
      <c r="C344" s="1" t="str">
        <f t="shared" si="10"/>
        <v>01-2023</v>
      </c>
      <c r="D344" s="2">
        <f t="shared" si="11"/>
        <v>2</v>
      </c>
      <c r="E344" t="s">
        <v>17</v>
      </c>
      <c r="F344" t="s">
        <v>14</v>
      </c>
      <c r="G344" t="s">
        <v>19</v>
      </c>
      <c r="H344" s="2">
        <v>77353</v>
      </c>
      <c r="I344" s="2">
        <v>9</v>
      </c>
      <c r="J344" s="2">
        <v>93165</v>
      </c>
      <c r="K344" s="2">
        <v>86474</v>
      </c>
      <c r="L344" s="2">
        <v>2</v>
      </c>
      <c r="M344" t="str">
        <f>IF(Revv_bike_sales_data[[#This Row],[delivery_days]]&lt;=7, "Yes", "No")</f>
        <v>Yes</v>
      </c>
      <c r="N344" t="s">
        <v>16</v>
      </c>
      <c r="O344" s="2">
        <v>6691</v>
      </c>
    </row>
    <row r="345" spans="1:15" x14ac:dyDescent="0.3">
      <c r="A345" s="2">
        <v>335</v>
      </c>
      <c r="B345" s="1">
        <v>44940.916666666664</v>
      </c>
      <c r="C345" s="1" t="str">
        <f t="shared" si="10"/>
        <v>01-2023</v>
      </c>
      <c r="D345" s="2">
        <f t="shared" si="11"/>
        <v>2</v>
      </c>
      <c r="E345" t="s">
        <v>13</v>
      </c>
      <c r="F345" t="s">
        <v>14</v>
      </c>
      <c r="G345" t="s">
        <v>20</v>
      </c>
      <c r="H345" s="2">
        <v>59143</v>
      </c>
      <c r="I345" s="2">
        <v>6</v>
      </c>
      <c r="J345" s="2">
        <v>100692</v>
      </c>
      <c r="K345" s="2">
        <v>124658</v>
      </c>
      <c r="L345" s="2">
        <v>8</v>
      </c>
      <c r="M345" t="str">
        <f>IF(Revv_bike_sales_data[[#This Row],[delivery_days]]&lt;=7, "Yes", "No")</f>
        <v>No</v>
      </c>
      <c r="N345" t="s">
        <v>16</v>
      </c>
      <c r="O345" s="2">
        <v>-23966</v>
      </c>
    </row>
    <row r="346" spans="1:15" x14ac:dyDescent="0.3">
      <c r="A346" s="2">
        <v>336</v>
      </c>
      <c r="B346" s="1">
        <v>44940.958333333336</v>
      </c>
      <c r="C346" s="1" t="str">
        <f t="shared" si="10"/>
        <v>01-2023</v>
      </c>
      <c r="D346" s="2">
        <f t="shared" si="11"/>
        <v>2</v>
      </c>
      <c r="E346" t="s">
        <v>22</v>
      </c>
      <c r="F346" t="s">
        <v>14</v>
      </c>
      <c r="G346" t="s">
        <v>15</v>
      </c>
      <c r="H346" s="2">
        <v>22034</v>
      </c>
      <c r="I346" s="2">
        <v>1</v>
      </c>
      <c r="J346" s="2">
        <v>42441</v>
      </c>
      <c r="K346" s="2">
        <v>57692</v>
      </c>
      <c r="L346" s="2">
        <v>10</v>
      </c>
      <c r="M346" t="str">
        <f>IF(Revv_bike_sales_data[[#This Row],[delivery_days]]&lt;=7, "Yes", "No")</f>
        <v>No</v>
      </c>
      <c r="N346" t="s">
        <v>16</v>
      </c>
      <c r="O346" s="2">
        <v>-15251</v>
      </c>
    </row>
    <row r="347" spans="1:15" x14ac:dyDescent="0.3">
      <c r="A347" s="2">
        <v>337</v>
      </c>
      <c r="B347" s="1">
        <v>44941</v>
      </c>
      <c r="C347" s="1" t="str">
        <f t="shared" si="10"/>
        <v>01-2023</v>
      </c>
      <c r="D347" s="2">
        <f t="shared" si="11"/>
        <v>3</v>
      </c>
      <c r="E347" t="s">
        <v>25</v>
      </c>
      <c r="F347" t="s">
        <v>14</v>
      </c>
      <c r="G347" t="s">
        <v>19</v>
      </c>
      <c r="H347" s="2">
        <v>91770</v>
      </c>
      <c r="I347" s="2">
        <v>1</v>
      </c>
      <c r="J347" s="2">
        <v>55716</v>
      </c>
      <c r="K347" s="2">
        <v>113884</v>
      </c>
      <c r="L347" s="2">
        <v>6</v>
      </c>
      <c r="M347" t="str">
        <f>IF(Revv_bike_sales_data[[#This Row],[delivery_days]]&lt;=7, "Yes", "No")</f>
        <v>Yes</v>
      </c>
      <c r="N347" t="s">
        <v>16</v>
      </c>
      <c r="O347" s="2">
        <v>-58168</v>
      </c>
    </row>
    <row r="348" spans="1:15" x14ac:dyDescent="0.3">
      <c r="A348" s="2">
        <v>338</v>
      </c>
      <c r="B348" s="1">
        <v>44941.041666666664</v>
      </c>
      <c r="C348" s="1" t="str">
        <f t="shared" si="10"/>
        <v>01-2023</v>
      </c>
      <c r="D348" s="2">
        <f t="shared" si="11"/>
        <v>3</v>
      </c>
      <c r="E348" t="s">
        <v>13</v>
      </c>
      <c r="F348" t="s">
        <v>14</v>
      </c>
      <c r="G348" t="s">
        <v>20</v>
      </c>
      <c r="H348" s="2">
        <v>33372</v>
      </c>
      <c r="I348" s="2">
        <v>7</v>
      </c>
      <c r="J348" s="2">
        <v>87175</v>
      </c>
      <c r="K348" s="2">
        <v>47209</v>
      </c>
      <c r="L348" s="2">
        <v>7</v>
      </c>
      <c r="M348" t="str">
        <f>IF(Revv_bike_sales_data[[#This Row],[delivery_days]]&lt;=7, "Yes", "No")</f>
        <v>Yes</v>
      </c>
      <c r="N348" t="s">
        <v>16</v>
      </c>
      <c r="O348" s="2">
        <v>39966</v>
      </c>
    </row>
    <row r="349" spans="1:15" x14ac:dyDescent="0.3">
      <c r="A349" s="2">
        <v>339</v>
      </c>
      <c r="B349" s="1">
        <v>44941.083333333336</v>
      </c>
      <c r="C349" s="1" t="str">
        <f t="shared" si="10"/>
        <v>01-2023</v>
      </c>
      <c r="D349" s="2">
        <f t="shared" si="11"/>
        <v>3</v>
      </c>
      <c r="E349" t="s">
        <v>17</v>
      </c>
      <c r="F349" t="s">
        <v>14</v>
      </c>
      <c r="G349" t="s">
        <v>19</v>
      </c>
      <c r="H349" s="2">
        <v>8189</v>
      </c>
      <c r="I349" s="2">
        <v>9</v>
      </c>
      <c r="J349" s="2">
        <v>31834</v>
      </c>
      <c r="K349" s="2">
        <v>72563</v>
      </c>
      <c r="L349" s="2">
        <v>13</v>
      </c>
      <c r="M349" t="str">
        <f>IF(Revv_bike_sales_data[[#This Row],[delivery_days]]&lt;=7, "Yes", "No")</f>
        <v>No</v>
      </c>
      <c r="N349" t="s">
        <v>16</v>
      </c>
      <c r="O349" s="2">
        <v>-40729</v>
      </c>
    </row>
    <row r="350" spans="1:15" x14ac:dyDescent="0.3">
      <c r="A350" s="2">
        <v>340</v>
      </c>
      <c r="B350" s="1">
        <v>44941.125</v>
      </c>
      <c r="C350" s="1" t="str">
        <f t="shared" si="10"/>
        <v>01-2023</v>
      </c>
      <c r="D350" s="2">
        <f t="shared" si="11"/>
        <v>3</v>
      </c>
      <c r="E350" t="s">
        <v>13</v>
      </c>
      <c r="F350" t="s">
        <v>14</v>
      </c>
      <c r="G350" t="s">
        <v>15</v>
      </c>
      <c r="H350" s="2">
        <v>69603</v>
      </c>
      <c r="I350" s="2">
        <v>9</v>
      </c>
      <c r="J350" s="2">
        <v>43179</v>
      </c>
      <c r="K350" s="2">
        <v>71738</v>
      </c>
      <c r="L350" s="2">
        <v>1</v>
      </c>
      <c r="M350" t="str">
        <f>IF(Revv_bike_sales_data[[#This Row],[delivery_days]]&lt;=7, "Yes", "No")</f>
        <v>Yes</v>
      </c>
      <c r="N350" t="s">
        <v>16</v>
      </c>
      <c r="O350" s="2">
        <v>-28559</v>
      </c>
    </row>
    <row r="351" spans="1:15" x14ac:dyDescent="0.3">
      <c r="A351" s="2">
        <v>341</v>
      </c>
      <c r="B351" s="1">
        <v>44941.166666666664</v>
      </c>
      <c r="C351" s="1" t="str">
        <f t="shared" si="10"/>
        <v>01-2023</v>
      </c>
      <c r="D351" s="2">
        <f t="shared" si="11"/>
        <v>3</v>
      </c>
      <c r="E351" t="s">
        <v>25</v>
      </c>
      <c r="F351" t="s">
        <v>14</v>
      </c>
      <c r="G351" t="s">
        <v>15</v>
      </c>
      <c r="H351" s="2">
        <v>86768</v>
      </c>
      <c r="I351" s="2">
        <v>9</v>
      </c>
      <c r="J351" s="2">
        <v>51219</v>
      </c>
      <c r="K351" s="2">
        <v>52242</v>
      </c>
      <c r="L351" s="2">
        <v>3</v>
      </c>
      <c r="M351" t="str">
        <f>IF(Revv_bike_sales_data[[#This Row],[delivery_days]]&lt;=7, "Yes", "No")</f>
        <v>Yes</v>
      </c>
      <c r="N351" t="s">
        <v>16</v>
      </c>
      <c r="O351" s="2">
        <v>-1023</v>
      </c>
    </row>
    <row r="352" spans="1:15" x14ac:dyDescent="0.3">
      <c r="A352" s="2">
        <v>342</v>
      </c>
      <c r="B352" s="1">
        <v>44941.208333333336</v>
      </c>
      <c r="C352" s="1" t="str">
        <f t="shared" si="10"/>
        <v>01-2023</v>
      </c>
      <c r="D352" s="2">
        <f t="shared" si="11"/>
        <v>3</v>
      </c>
      <c r="E352" t="s">
        <v>13</v>
      </c>
      <c r="F352" t="s">
        <v>14</v>
      </c>
      <c r="G352" t="s">
        <v>19</v>
      </c>
      <c r="H352" s="2">
        <v>86810</v>
      </c>
      <c r="I352" s="2">
        <v>4</v>
      </c>
      <c r="J352" s="2">
        <v>128153</v>
      </c>
      <c r="K352" s="2">
        <v>24941</v>
      </c>
      <c r="L352" s="2">
        <v>1</v>
      </c>
      <c r="M352" t="str">
        <f>IF(Revv_bike_sales_data[[#This Row],[delivery_days]]&lt;=7, "Yes", "No")</f>
        <v>Yes</v>
      </c>
      <c r="N352" t="s">
        <v>16</v>
      </c>
      <c r="O352" s="2">
        <v>103212</v>
      </c>
    </row>
    <row r="353" spans="1:15" x14ac:dyDescent="0.3">
      <c r="A353" s="2">
        <v>343</v>
      </c>
      <c r="B353" s="1">
        <v>44941.25</v>
      </c>
      <c r="C353" s="1" t="str">
        <f t="shared" si="10"/>
        <v>01-2023</v>
      </c>
      <c r="D353" s="2">
        <f t="shared" si="11"/>
        <v>3</v>
      </c>
      <c r="E353" t="s">
        <v>18</v>
      </c>
      <c r="F353" t="s">
        <v>14</v>
      </c>
      <c r="G353" t="s">
        <v>20</v>
      </c>
      <c r="H353" s="2">
        <v>89231</v>
      </c>
      <c r="I353" s="2">
        <v>9</v>
      </c>
      <c r="J353" s="2">
        <v>171854</v>
      </c>
      <c r="K353" s="2">
        <v>22073</v>
      </c>
      <c r="L353" s="2">
        <v>10</v>
      </c>
      <c r="M353" t="str">
        <f>IF(Revv_bike_sales_data[[#This Row],[delivery_days]]&lt;=7, "Yes", "No")</f>
        <v>No</v>
      </c>
      <c r="N353" t="s">
        <v>16</v>
      </c>
      <c r="O353" s="2">
        <v>149781</v>
      </c>
    </row>
    <row r="354" spans="1:15" x14ac:dyDescent="0.3">
      <c r="A354" s="2">
        <v>344</v>
      </c>
      <c r="B354" s="1">
        <v>44941.291666666664</v>
      </c>
      <c r="C354" s="1" t="str">
        <f t="shared" si="10"/>
        <v>01-2023</v>
      </c>
      <c r="D354" s="2">
        <f t="shared" si="11"/>
        <v>3</v>
      </c>
      <c r="E354" t="s">
        <v>13</v>
      </c>
      <c r="F354" t="s">
        <v>23</v>
      </c>
      <c r="G354" t="s">
        <v>21</v>
      </c>
      <c r="H354" s="2">
        <v>37912</v>
      </c>
      <c r="I354" s="2">
        <v>1</v>
      </c>
      <c r="J354" s="2">
        <v>99967</v>
      </c>
      <c r="K354" s="2">
        <v>122966</v>
      </c>
      <c r="L354" s="2">
        <v>1</v>
      </c>
      <c r="M354" t="str">
        <f>IF(Revv_bike_sales_data[[#This Row],[delivery_days]]&lt;=7, "Yes", "No")</f>
        <v>Yes</v>
      </c>
      <c r="N354" t="s">
        <v>16</v>
      </c>
      <c r="O354" s="2">
        <v>-22999</v>
      </c>
    </row>
    <row r="355" spans="1:15" x14ac:dyDescent="0.3">
      <c r="A355" s="2">
        <v>345</v>
      </c>
      <c r="B355" s="1">
        <v>44941.333333333336</v>
      </c>
      <c r="C355" s="1" t="str">
        <f t="shared" si="10"/>
        <v>01-2023</v>
      </c>
      <c r="D355" s="2">
        <f t="shared" si="11"/>
        <v>3</v>
      </c>
      <c r="E355" t="s">
        <v>22</v>
      </c>
      <c r="F355" t="s">
        <v>14</v>
      </c>
      <c r="G355" t="s">
        <v>21</v>
      </c>
      <c r="H355" s="2">
        <v>48234</v>
      </c>
      <c r="I355" s="2">
        <v>4</v>
      </c>
      <c r="J355" s="2">
        <v>127454</v>
      </c>
      <c r="K355" s="2">
        <v>52827</v>
      </c>
      <c r="L355" s="2">
        <v>12</v>
      </c>
      <c r="M355" t="str">
        <f>IF(Revv_bike_sales_data[[#This Row],[delivery_days]]&lt;=7, "Yes", "No")</f>
        <v>No</v>
      </c>
      <c r="N355" t="s">
        <v>24</v>
      </c>
      <c r="O355" s="2">
        <v>74627</v>
      </c>
    </row>
    <row r="356" spans="1:15" x14ac:dyDescent="0.3">
      <c r="A356" s="2">
        <v>346</v>
      </c>
      <c r="B356" s="1">
        <v>44941.375</v>
      </c>
      <c r="C356" s="1" t="str">
        <f t="shared" si="10"/>
        <v>01-2023</v>
      </c>
      <c r="D356" s="2">
        <f t="shared" si="11"/>
        <v>3</v>
      </c>
      <c r="E356" t="s">
        <v>22</v>
      </c>
      <c r="F356" t="s">
        <v>14</v>
      </c>
      <c r="G356" t="s">
        <v>19</v>
      </c>
      <c r="H356" s="2">
        <v>88293</v>
      </c>
      <c r="I356" s="2">
        <v>7</v>
      </c>
      <c r="J356" s="2">
        <v>34496</v>
      </c>
      <c r="K356" s="2">
        <v>61225</v>
      </c>
      <c r="L356" s="2">
        <v>12</v>
      </c>
      <c r="M356" t="str">
        <f>IF(Revv_bike_sales_data[[#This Row],[delivery_days]]&lt;=7, "Yes", "No")</f>
        <v>No</v>
      </c>
      <c r="N356" t="s">
        <v>16</v>
      </c>
      <c r="O356" s="2">
        <v>-26729</v>
      </c>
    </row>
    <row r="357" spans="1:15" x14ac:dyDescent="0.3">
      <c r="A357" s="2">
        <v>347</v>
      </c>
      <c r="B357" s="1">
        <v>44941.416666666664</v>
      </c>
      <c r="C357" s="1" t="str">
        <f t="shared" si="10"/>
        <v>01-2023</v>
      </c>
      <c r="D357" s="2">
        <f t="shared" si="11"/>
        <v>3</v>
      </c>
      <c r="E357" t="s">
        <v>18</v>
      </c>
      <c r="F357" t="s">
        <v>23</v>
      </c>
      <c r="G357" t="s">
        <v>20</v>
      </c>
      <c r="H357" s="2">
        <v>70430</v>
      </c>
      <c r="I357" s="2">
        <v>5</v>
      </c>
      <c r="J357" s="2">
        <v>71025</v>
      </c>
      <c r="K357" s="2">
        <v>52096</v>
      </c>
      <c r="L357" s="2">
        <v>11</v>
      </c>
      <c r="M357" t="str">
        <f>IF(Revv_bike_sales_data[[#This Row],[delivery_days]]&lt;=7, "Yes", "No")</f>
        <v>No</v>
      </c>
      <c r="N357" t="s">
        <v>16</v>
      </c>
      <c r="O357" s="2">
        <v>18929</v>
      </c>
    </row>
    <row r="358" spans="1:15" x14ac:dyDescent="0.3">
      <c r="A358" s="2">
        <v>348</v>
      </c>
      <c r="B358" s="1">
        <v>44941.458333333336</v>
      </c>
      <c r="C358" s="1" t="str">
        <f t="shared" si="10"/>
        <v>01-2023</v>
      </c>
      <c r="D358" s="2">
        <f t="shared" si="11"/>
        <v>3</v>
      </c>
      <c r="E358" t="s">
        <v>25</v>
      </c>
      <c r="F358" t="s">
        <v>14</v>
      </c>
      <c r="G358" t="s">
        <v>21</v>
      </c>
      <c r="H358" s="2">
        <v>22728</v>
      </c>
      <c r="I358" s="2">
        <v>2</v>
      </c>
      <c r="J358" s="2">
        <v>84886</v>
      </c>
      <c r="K358" s="2">
        <v>65546</v>
      </c>
      <c r="L358" s="2">
        <v>13</v>
      </c>
      <c r="M358" t="str">
        <f>IF(Revv_bike_sales_data[[#This Row],[delivery_days]]&lt;=7, "Yes", "No")</f>
        <v>No</v>
      </c>
      <c r="N358" t="s">
        <v>16</v>
      </c>
      <c r="O358" s="2">
        <v>19340</v>
      </c>
    </row>
    <row r="359" spans="1:15" x14ac:dyDescent="0.3">
      <c r="A359" s="2">
        <v>349</v>
      </c>
      <c r="B359" s="1">
        <v>44941.5</v>
      </c>
      <c r="C359" s="1" t="str">
        <f t="shared" si="10"/>
        <v>01-2023</v>
      </c>
      <c r="D359" s="2">
        <f t="shared" si="11"/>
        <v>3</v>
      </c>
      <c r="E359" t="s">
        <v>22</v>
      </c>
      <c r="F359" t="s">
        <v>14</v>
      </c>
      <c r="G359" t="s">
        <v>15</v>
      </c>
      <c r="H359" s="2">
        <v>78424</v>
      </c>
      <c r="I359" s="2">
        <v>7</v>
      </c>
      <c r="J359" s="2">
        <v>179635</v>
      </c>
      <c r="K359" s="2">
        <v>81457</v>
      </c>
      <c r="L359" s="2">
        <v>1</v>
      </c>
      <c r="M359" t="str">
        <f>IF(Revv_bike_sales_data[[#This Row],[delivery_days]]&lt;=7, "Yes", "No")</f>
        <v>Yes</v>
      </c>
      <c r="N359" t="s">
        <v>16</v>
      </c>
      <c r="O359" s="2">
        <v>98178</v>
      </c>
    </row>
    <row r="360" spans="1:15" x14ac:dyDescent="0.3">
      <c r="A360" s="2">
        <v>350</v>
      </c>
      <c r="B360" s="1">
        <v>44941.541666666664</v>
      </c>
      <c r="C360" s="1" t="str">
        <f t="shared" si="10"/>
        <v>01-2023</v>
      </c>
      <c r="D360" s="2">
        <f t="shared" si="11"/>
        <v>3</v>
      </c>
      <c r="E360" t="s">
        <v>17</v>
      </c>
      <c r="F360" t="s">
        <v>14</v>
      </c>
      <c r="G360" t="s">
        <v>20</v>
      </c>
      <c r="H360" s="2">
        <v>11819</v>
      </c>
      <c r="I360" s="2">
        <v>8</v>
      </c>
      <c r="J360" s="2">
        <v>28712</v>
      </c>
      <c r="K360" s="2">
        <v>83309</v>
      </c>
      <c r="L360" s="2">
        <v>4</v>
      </c>
      <c r="M360" t="str">
        <f>IF(Revv_bike_sales_data[[#This Row],[delivery_days]]&lt;=7, "Yes", "No")</f>
        <v>Yes</v>
      </c>
      <c r="N360" t="s">
        <v>16</v>
      </c>
      <c r="O360" s="2">
        <v>-54597</v>
      </c>
    </row>
    <row r="361" spans="1:15" x14ac:dyDescent="0.3">
      <c r="A361" s="2">
        <v>351</v>
      </c>
      <c r="B361" s="1">
        <v>44941.583333333336</v>
      </c>
      <c r="C361" s="1" t="str">
        <f t="shared" si="10"/>
        <v>01-2023</v>
      </c>
      <c r="D361" s="2">
        <f t="shared" si="11"/>
        <v>3</v>
      </c>
      <c r="E361" t="s">
        <v>22</v>
      </c>
      <c r="F361" t="s">
        <v>14</v>
      </c>
      <c r="G361" t="s">
        <v>21</v>
      </c>
      <c r="H361" s="2">
        <v>6975</v>
      </c>
      <c r="I361" s="2">
        <v>4</v>
      </c>
      <c r="J361" s="2">
        <v>119067</v>
      </c>
      <c r="K361" s="2">
        <v>84998</v>
      </c>
      <c r="L361" s="2">
        <v>13</v>
      </c>
      <c r="M361" t="str">
        <f>IF(Revv_bike_sales_data[[#This Row],[delivery_days]]&lt;=7, "Yes", "No")</f>
        <v>No</v>
      </c>
      <c r="N361" t="s">
        <v>16</v>
      </c>
      <c r="O361" s="2">
        <v>34069</v>
      </c>
    </row>
    <row r="362" spans="1:15" x14ac:dyDescent="0.3">
      <c r="A362" s="2">
        <v>352</v>
      </c>
      <c r="B362" s="1">
        <v>44941.625</v>
      </c>
      <c r="C362" s="1" t="str">
        <f t="shared" si="10"/>
        <v>01-2023</v>
      </c>
      <c r="D362" s="2">
        <f t="shared" si="11"/>
        <v>3</v>
      </c>
      <c r="E362" t="s">
        <v>22</v>
      </c>
      <c r="F362" t="s">
        <v>14</v>
      </c>
      <c r="G362" t="s">
        <v>20</v>
      </c>
      <c r="H362" s="2">
        <v>97591</v>
      </c>
      <c r="I362" s="2">
        <v>1</v>
      </c>
      <c r="J362" s="2">
        <v>70489</v>
      </c>
      <c r="K362" s="2">
        <v>101496</v>
      </c>
      <c r="L362" s="2">
        <v>7</v>
      </c>
      <c r="M362" t="str">
        <f>IF(Revv_bike_sales_data[[#This Row],[delivery_days]]&lt;=7, "Yes", "No")</f>
        <v>Yes</v>
      </c>
      <c r="N362" t="s">
        <v>16</v>
      </c>
      <c r="O362" s="2">
        <v>-31007</v>
      </c>
    </row>
    <row r="363" spans="1:15" x14ac:dyDescent="0.3">
      <c r="A363" s="2">
        <v>353</v>
      </c>
      <c r="B363" s="1">
        <v>44941.666666666664</v>
      </c>
      <c r="C363" s="1" t="str">
        <f t="shared" si="10"/>
        <v>01-2023</v>
      </c>
      <c r="D363" s="2">
        <f t="shared" si="11"/>
        <v>3</v>
      </c>
      <c r="E363" t="s">
        <v>25</v>
      </c>
      <c r="F363" t="s">
        <v>14</v>
      </c>
      <c r="G363" t="s">
        <v>19</v>
      </c>
      <c r="H363" s="2">
        <v>84194</v>
      </c>
      <c r="I363" s="2">
        <v>1</v>
      </c>
      <c r="J363" s="2">
        <v>57664</v>
      </c>
      <c r="K363" s="2">
        <v>45268</v>
      </c>
      <c r="L363" s="2">
        <v>7</v>
      </c>
      <c r="M363" t="str">
        <f>IF(Revv_bike_sales_data[[#This Row],[delivery_days]]&lt;=7, "Yes", "No")</f>
        <v>Yes</v>
      </c>
      <c r="N363" t="s">
        <v>16</v>
      </c>
      <c r="O363" s="2">
        <v>12396</v>
      </c>
    </row>
    <row r="364" spans="1:15" x14ac:dyDescent="0.3">
      <c r="A364" s="2">
        <v>354</v>
      </c>
      <c r="B364" s="1">
        <v>44941.708333333336</v>
      </c>
      <c r="C364" s="1" t="str">
        <f t="shared" si="10"/>
        <v>01-2023</v>
      </c>
      <c r="D364" s="2">
        <f t="shared" si="11"/>
        <v>3</v>
      </c>
      <c r="E364" t="s">
        <v>13</v>
      </c>
      <c r="F364" t="s">
        <v>14</v>
      </c>
      <c r="G364" t="s">
        <v>20</v>
      </c>
      <c r="H364" s="2">
        <v>15228</v>
      </c>
      <c r="I364" s="2">
        <v>6</v>
      </c>
      <c r="J364" s="2">
        <v>168492</v>
      </c>
      <c r="K364" s="2">
        <v>100354</v>
      </c>
      <c r="L364" s="2">
        <v>12</v>
      </c>
      <c r="M364" t="str">
        <f>IF(Revv_bike_sales_data[[#This Row],[delivery_days]]&lt;=7, "Yes", "No")</f>
        <v>No</v>
      </c>
      <c r="N364" t="s">
        <v>16</v>
      </c>
      <c r="O364" s="2">
        <v>68138</v>
      </c>
    </row>
    <row r="365" spans="1:15" x14ac:dyDescent="0.3">
      <c r="A365" s="2">
        <v>355</v>
      </c>
      <c r="B365" s="1">
        <v>44941.75</v>
      </c>
      <c r="C365" s="1" t="str">
        <f t="shared" si="10"/>
        <v>01-2023</v>
      </c>
      <c r="D365" s="2">
        <f t="shared" si="11"/>
        <v>3</v>
      </c>
      <c r="E365" t="s">
        <v>22</v>
      </c>
      <c r="F365" t="s">
        <v>14</v>
      </c>
      <c r="G365" t="s">
        <v>21</v>
      </c>
      <c r="H365" s="2">
        <v>30045</v>
      </c>
      <c r="I365" s="2">
        <v>0</v>
      </c>
      <c r="J365" s="2">
        <v>30315</v>
      </c>
      <c r="K365" s="2">
        <v>120037</v>
      </c>
      <c r="L365" s="2">
        <v>13</v>
      </c>
      <c r="M365" t="str">
        <f>IF(Revv_bike_sales_data[[#This Row],[delivery_days]]&lt;=7, "Yes", "No")</f>
        <v>No</v>
      </c>
      <c r="N365" t="s">
        <v>16</v>
      </c>
      <c r="O365" s="2">
        <v>-89722</v>
      </c>
    </row>
    <row r="366" spans="1:15" x14ac:dyDescent="0.3">
      <c r="A366" s="2">
        <v>356</v>
      </c>
      <c r="B366" s="1">
        <v>44941.791666666664</v>
      </c>
      <c r="C366" s="1" t="str">
        <f t="shared" si="10"/>
        <v>01-2023</v>
      </c>
      <c r="D366" s="2">
        <f t="shared" si="11"/>
        <v>3</v>
      </c>
      <c r="E366" t="s">
        <v>18</v>
      </c>
      <c r="F366" t="s">
        <v>14</v>
      </c>
      <c r="G366" t="s">
        <v>19</v>
      </c>
      <c r="H366" s="2">
        <v>97136</v>
      </c>
      <c r="I366" s="2">
        <v>9</v>
      </c>
      <c r="J366" s="2">
        <v>100033</v>
      </c>
      <c r="K366" s="2">
        <v>125078</v>
      </c>
      <c r="L366" s="2">
        <v>5</v>
      </c>
      <c r="M366" t="str">
        <f>IF(Revv_bike_sales_data[[#This Row],[delivery_days]]&lt;=7, "Yes", "No")</f>
        <v>Yes</v>
      </c>
      <c r="N366" t="s">
        <v>16</v>
      </c>
      <c r="O366" s="2">
        <v>-25045</v>
      </c>
    </row>
    <row r="367" spans="1:15" x14ac:dyDescent="0.3">
      <c r="A367" s="2">
        <v>357</v>
      </c>
      <c r="B367" s="1">
        <v>44941.833333333336</v>
      </c>
      <c r="C367" s="1" t="str">
        <f t="shared" si="10"/>
        <v>01-2023</v>
      </c>
      <c r="D367" s="2">
        <f t="shared" si="11"/>
        <v>3</v>
      </c>
      <c r="E367" t="s">
        <v>13</v>
      </c>
      <c r="F367" t="s">
        <v>14</v>
      </c>
      <c r="G367" t="s">
        <v>20</v>
      </c>
      <c r="H367" s="2">
        <v>82186</v>
      </c>
      <c r="I367" s="2">
        <v>1</v>
      </c>
      <c r="J367" s="2">
        <v>142862</v>
      </c>
      <c r="K367" s="2">
        <v>57078</v>
      </c>
      <c r="L367" s="2">
        <v>12</v>
      </c>
      <c r="M367" t="str">
        <f>IF(Revv_bike_sales_data[[#This Row],[delivery_days]]&lt;=7, "Yes", "No")</f>
        <v>No</v>
      </c>
      <c r="N367" t="s">
        <v>16</v>
      </c>
      <c r="O367" s="2">
        <v>85784</v>
      </c>
    </row>
    <row r="368" spans="1:15" x14ac:dyDescent="0.3">
      <c r="A368" s="2">
        <v>358</v>
      </c>
      <c r="B368" s="1">
        <v>44941.875</v>
      </c>
      <c r="C368" s="1" t="str">
        <f t="shared" si="10"/>
        <v>01-2023</v>
      </c>
      <c r="D368" s="2">
        <f t="shared" si="11"/>
        <v>3</v>
      </c>
      <c r="E368" t="s">
        <v>17</v>
      </c>
      <c r="F368" t="s">
        <v>14</v>
      </c>
      <c r="G368" t="s">
        <v>15</v>
      </c>
      <c r="H368" s="2">
        <v>99250</v>
      </c>
      <c r="I368" s="2">
        <v>9</v>
      </c>
      <c r="J368" s="2">
        <v>104030</v>
      </c>
      <c r="K368" s="2">
        <v>16865</v>
      </c>
      <c r="L368" s="2">
        <v>6</v>
      </c>
      <c r="M368" t="str">
        <f>IF(Revv_bike_sales_data[[#This Row],[delivery_days]]&lt;=7, "Yes", "No")</f>
        <v>Yes</v>
      </c>
      <c r="N368" t="s">
        <v>16</v>
      </c>
      <c r="O368" s="2">
        <v>87165</v>
      </c>
    </row>
    <row r="369" spans="1:15" x14ac:dyDescent="0.3">
      <c r="A369" s="2">
        <v>359</v>
      </c>
      <c r="B369" s="1">
        <v>44941.916666666664</v>
      </c>
      <c r="C369" s="1" t="str">
        <f t="shared" si="10"/>
        <v>01-2023</v>
      </c>
      <c r="D369" s="2">
        <f t="shared" si="11"/>
        <v>3</v>
      </c>
      <c r="E369" t="s">
        <v>25</v>
      </c>
      <c r="F369" t="s">
        <v>14</v>
      </c>
      <c r="G369" t="s">
        <v>21</v>
      </c>
      <c r="H369" s="2">
        <v>98912</v>
      </c>
      <c r="I369" s="2">
        <v>3</v>
      </c>
      <c r="J369" s="2">
        <v>88910</v>
      </c>
      <c r="K369" s="2">
        <v>111242</v>
      </c>
      <c r="L369" s="2">
        <v>2</v>
      </c>
      <c r="M369" t="str">
        <f>IF(Revv_bike_sales_data[[#This Row],[delivery_days]]&lt;=7, "Yes", "No")</f>
        <v>Yes</v>
      </c>
      <c r="N369" t="s">
        <v>16</v>
      </c>
      <c r="O369" s="2">
        <v>-22332</v>
      </c>
    </row>
    <row r="370" spans="1:15" x14ac:dyDescent="0.3">
      <c r="A370" s="2">
        <v>360</v>
      </c>
      <c r="B370" s="1">
        <v>44941.958333333336</v>
      </c>
      <c r="C370" s="1" t="str">
        <f t="shared" si="10"/>
        <v>01-2023</v>
      </c>
      <c r="D370" s="2">
        <f t="shared" si="11"/>
        <v>3</v>
      </c>
      <c r="E370" t="s">
        <v>17</v>
      </c>
      <c r="F370" t="s">
        <v>23</v>
      </c>
      <c r="G370" t="s">
        <v>19</v>
      </c>
      <c r="H370" s="2">
        <v>62256</v>
      </c>
      <c r="I370" s="2">
        <v>0</v>
      </c>
      <c r="J370" s="2">
        <v>146075</v>
      </c>
      <c r="K370" s="2">
        <v>43887</v>
      </c>
      <c r="L370" s="2">
        <v>5</v>
      </c>
      <c r="M370" t="str">
        <f>IF(Revv_bike_sales_data[[#This Row],[delivery_days]]&lt;=7, "Yes", "No")</f>
        <v>Yes</v>
      </c>
      <c r="N370" t="s">
        <v>16</v>
      </c>
      <c r="O370" s="2">
        <v>102188</v>
      </c>
    </row>
    <row r="371" spans="1:15" x14ac:dyDescent="0.3">
      <c r="A371" s="2">
        <v>361</v>
      </c>
      <c r="B371" s="1">
        <v>44942</v>
      </c>
      <c r="C371" s="1" t="str">
        <f t="shared" si="10"/>
        <v>01-2023</v>
      </c>
      <c r="D371" s="2">
        <f t="shared" si="11"/>
        <v>3</v>
      </c>
      <c r="E371" t="s">
        <v>13</v>
      </c>
      <c r="F371" t="s">
        <v>23</v>
      </c>
      <c r="G371" t="s">
        <v>20</v>
      </c>
      <c r="H371" s="2">
        <v>69275</v>
      </c>
      <c r="I371" s="2">
        <v>3</v>
      </c>
      <c r="J371" s="2">
        <v>80919</v>
      </c>
      <c r="K371" s="2">
        <v>64876</v>
      </c>
      <c r="L371" s="2">
        <v>7</v>
      </c>
      <c r="M371" t="str">
        <f>IF(Revv_bike_sales_data[[#This Row],[delivery_days]]&lt;=7, "Yes", "No")</f>
        <v>Yes</v>
      </c>
      <c r="N371" t="s">
        <v>24</v>
      </c>
      <c r="O371" s="2">
        <v>16043</v>
      </c>
    </row>
    <row r="372" spans="1:15" x14ac:dyDescent="0.3">
      <c r="A372" s="2">
        <v>362</v>
      </c>
      <c r="B372" s="1">
        <v>44942.041666666664</v>
      </c>
      <c r="C372" s="1" t="str">
        <f t="shared" si="10"/>
        <v>01-2023</v>
      </c>
      <c r="D372" s="2">
        <f t="shared" si="11"/>
        <v>3</v>
      </c>
      <c r="E372" t="s">
        <v>13</v>
      </c>
      <c r="F372" t="s">
        <v>14</v>
      </c>
      <c r="G372" t="s">
        <v>15</v>
      </c>
      <c r="H372" s="2">
        <v>39199</v>
      </c>
      <c r="I372" s="2">
        <v>9</v>
      </c>
      <c r="J372" s="2">
        <v>160204</v>
      </c>
      <c r="K372" s="2">
        <v>111047</v>
      </c>
      <c r="L372" s="2">
        <v>14</v>
      </c>
      <c r="M372" t="str">
        <f>IF(Revv_bike_sales_data[[#This Row],[delivery_days]]&lt;=7, "Yes", "No")</f>
        <v>No</v>
      </c>
      <c r="N372" t="s">
        <v>16</v>
      </c>
      <c r="O372" s="2">
        <v>49157</v>
      </c>
    </row>
    <row r="373" spans="1:15" x14ac:dyDescent="0.3">
      <c r="A373" s="2">
        <v>363</v>
      </c>
      <c r="B373" s="1">
        <v>44942.083333333336</v>
      </c>
      <c r="C373" s="1" t="str">
        <f t="shared" si="10"/>
        <v>01-2023</v>
      </c>
      <c r="D373" s="2">
        <f t="shared" si="11"/>
        <v>3</v>
      </c>
      <c r="E373" t="s">
        <v>13</v>
      </c>
      <c r="F373" t="s">
        <v>23</v>
      </c>
      <c r="G373" t="s">
        <v>21</v>
      </c>
      <c r="H373" s="2">
        <v>37321</v>
      </c>
      <c r="I373" s="2">
        <v>4</v>
      </c>
      <c r="J373" s="2">
        <v>152153</v>
      </c>
      <c r="K373" s="2">
        <v>48479</v>
      </c>
      <c r="L373" s="2">
        <v>9</v>
      </c>
      <c r="M373" t="str">
        <f>IF(Revv_bike_sales_data[[#This Row],[delivery_days]]&lt;=7, "Yes", "No")</f>
        <v>No</v>
      </c>
      <c r="N373" t="s">
        <v>16</v>
      </c>
      <c r="O373" s="2">
        <v>103674</v>
      </c>
    </row>
    <row r="374" spans="1:15" x14ac:dyDescent="0.3">
      <c r="A374" s="2">
        <v>364</v>
      </c>
      <c r="B374" s="1">
        <v>44942.125</v>
      </c>
      <c r="C374" s="1" t="str">
        <f t="shared" si="10"/>
        <v>01-2023</v>
      </c>
      <c r="D374" s="2">
        <f t="shared" si="11"/>
        <v>3</v>
      </c>
      <c r="E374" t="s">
        <v>17</v>
      </c>
      <c r="F374" t="s">
        <v>14</v>
      </c>
      <c r="G374" t="s">
        <v>15</v>
      </c>
      <c r="H374" s="2">
        <v>31115</v>
      </c>
      <c r="I374" s="2">
        <v>8</v>
      </c>
      <c r="J374" s="2">
        <v>66598</v>
      </c>
      <c r="K374" s="2">
        <v>55478</v>
      </c>
      <c r="L374" s="2">
        <v>6</v>
      </c>
      <c r="M374" t="str">
        <f>IF(Revv_bike_sales_data[[#This Row],[delivery_days]]&lt;=7, "Yes", "No")</f>
        <v>Yes</v>
      </c>
      <c r="N374" t="s">
        <v>16</v>
      </c>
      <c r="O374" s="2">
        <v>11120</v>
      </c>
    </row>
    <row r="375" spans="1:15" x14ac:dyDescent="0.3">
      <c r="A375" s="2">
        <v>365</v>
      </c>
      <c r="B375" s="1">
        <v>44942.166666666664</v>
      </c>
      <c r="C375" s="1" t="str">
        <f t="shared" si="10"/>
        <v>01-2023</v>
      </c>
      <c r="D375" s="2">
        <f t="shared" si="11"/>
        <v>3</v>
      </c>
      <c r="E375" t="s">
        <v>13</v>
      </c>
      <c r="F375" t="s">
        <v>23</v>
      </c>
      <c r="G375" t="s">
        <v>20</v>
      </c>
      <c r="H375" s="2">
        <v>14246</v>
      </c>
      <c r="I375" s="2">
        <v>0</v>
      </c>
      <c r="J375" s="2">
        <v>176623</v>
      </c>
      <c r="K375" s="2">
        <v>41401</v>
      </c>
      <c r="L375" s="2">
        <v>12</v>
      </c>
      <c r="M375" t="str">
        <f>IF(Revv_bike_sales_data[[#This Row],[delivery_days]]&lt;=7, "Yes", "No")</f>
        <v>No</v>
      </c>
      <c r="N375" t="s">
        <v>16</v>
      </c>
      <c r="O375" s="2">
        <v>135222</v>
      </c>
    </row>
    <row r="376" spans="1:15" x14ac:dyDescent="0.3">
      <c r="A376" s="2">
        <v>366</v>
      </c>
      <c r="B376" s="1">
        <v>44942.208333333336</v>
      </c>
      <c r="C376" s="1" t="str">
        <f t="shared" si="10"/>
        <v>01-2023</v>
      </c>
      <c r="D376" s="2">
        <f t="shared" si="11"/>
        <v>3</v>
      </c>
      <c r="E376" t="s">
        <v>17</v>
      </c>
      <c r="F376" t="s">
        <v>14</v>
      </c>
      <c r="G376" t="s">
        <v>20</v>
      </c>
      <c r="H376" s="2">
        <v>86957</v>
      </c>
      <c r="I376" s="2">
        <v>4</v>
      </c>
      <c r="J376" s="2">
        <v>93206</v>
      </c>
      <c r="K376" s="2">
        <v>43502</v>
      </c>
      <c r="L376" s="2">
        <v>14</v>
      </c>
      <c r="M376" t="str">
        <f>IF(Revv_bike_sales_data[[#This Row],[delivery_days]]&lt;=7, "Yes", "No")</f>
        <v>No</v>
      </c>
      <c r="N376" t="s">
        <v>24</v>
      </c>
      <c r="O376" s="2">
        <v>49704</v>
      </c>
    </row>
    <row r="377" spans="1:15" x14ac:dyDescent="0.3">
      <c r="A377" s="2">
        <v>367</v>
      </c>
      <c r="B377" s="1">
        <v>44942.25</v>
      </c>
      <c r="C377" s="1" t="str">
        <f t="shared" si="10"/>
        <v>01-2023</v>
      </c>
      <c r="D377" s="2">
        <f t="shared" si="11"/>
        <v>3</v>
      </c>
      <c r="E377" t="s">
        <v>13</v>
      </c>
      <c r="F377" t="s">
        <v>14</v>
      </c>
      <c r="G377" t="s">
        <v>19</v>
      </c>
      <c r="H377" s="2">
        <v>23245</v>
      </c>
      <c r="I377" s="2">
        <v>1</v>
      </c>
      <c r="J377" s="2">
        <v>99900</v>
      </c>
      <c r="K377" s="2">
        <v>134768</v>
      </c>
      <c r="L377" s="2">
        <v>10</v>
      </c>
      <c r="M377" t="str">
        <f>IF(Revv_bike_sales_data[[#This Row],[delivery_days]]&lt;=7, "Yes", "No")</f>
        <v>No</v>
      </c>
      <c r="N377" t="s">
        <v>16</v>
      </c>
      <c r="O377" s="2">
        <v>-34868</v>
      </c>
    </row>
    <row r="378" spans="1:15" x14ac:dyDescent="0.3">
      <c r="A378" s="2">
        <v>368</v>
      </c>
      <c r="B378" s="1">
        <v>44942.291666666664</v>
      </c>
      <c r="C378" s="1" t="str">
        <f t="shared" si="10"/>
        <v>01-2023</v>
      </c>
      <c r="D378" s="2">
        <f t="shared" si="11"/>
        <v>3</v>
      </c>
      <c r="E378" t="s">
        <v>18</v>
      </c>
      <c r="F378" t="s">
        <v>14</v>
      </c>
      <c r="G378" t="s">
        <v>15</v>
      </c>
      <c r="H378" s="2">
        <v>1745</v>
      </c>
      <c r="I378" s="2">
        <v>8</v>
      </c>
      <c r="J378" s="2">
        <v>51296</v>
      </c>
      <c r="K378" s="2">
        <v>126750</v>
      </c>
      <c r="L378" s="2">
        <v>4</v>
      </c>
      <c r="M378" t="str">
        <f>IF(Revv_bike_sales_data[[#This Row],[delivery_days]]&lt;=7, "Yes", "No")</f>
        <v>Yes</v>
      </c>
      <c r="N378" t="s">
        <v>16</v>
      </c>
      <c r="O378" s="2">
        <v>-75454</v>
      </c>
    </row>
    <row r="379" spans="1:15" x14ac:dyDescent="0.3">
      <c r="A379" s="2">
        <v>369</v>
      </c>
      <c r="B379" s="1">
        <v>44942.333333333336</v>
      </c>
      <c r="C379" s="1" t="str">
        <f t="shared" si="10"/>
        <v>01-2023</v>
      </c>
      <c r="D379" s="2">
        <f t="shared" si="11"/>
        <v>3</v>
      </c>
      <c r="E379" t="s">
        <v>13</v>
      </c>
      <c r="F379" t="s">
        <v>14</v>
      </c>
      <c r="G379" t="s">
        <v>19</v>
      </c>
      <c r="H379" s="2">
        <v>25353</v>
      </c>
      <c r="I379" s="2">
        <v>5</v>
      </c>
      <c r="J379" s="2">
        <v>174138</v>
      </c>
      <c r="K379" s="2">
        <v>28394</v>
      </c>
      <c r="L379" s="2">
        <v>3</v>
      </c>
      <c r="M379" t="str">
        <f>IF(Revv_bike_sales_data[[#This Row],[delivery_days]]&lt;=7, "Yes", "No")</f>
        <v>Yes</v>
      </c>
      <c r="N379" t="s">
        <v>16</v>
      </c>
      <c r="O379" s="2">
        <v>145744</v>
      </c>
    </row>
    <row r="380" spans="1:15" x14ac:dyDescent="0.3">
      <c r="A380" s="2">
        <v>370</v>
      </c>
      <c r="B380" s="1">
        <v>44942.375</v>
      </c>
      <c r="C380" s="1" t="str">
        <f t="shared" si="10"/>
        <v>01-2023</v>
      </c>
      <c r="D380" s="2">
        <f t="shared" si="11"/>
        <v>3</v>
      </c>
      <c r="E380" t="s">
        <v>17</v>
      </c>
      <c r="F380" t="s">
        <v>14</v>
      </c>
      <c r="G380" t="s">
        <v>21</v>
      </c>
      <c r="H380" s="2">
        <v>28132</v>
      </c>
      <c r="I380" s="2">
        <v>1</v>
      </c>
      <c r="J380" s="2">
        <v>100577</v>
      </c>
      <c r="K380" s="2">
        <v>113694</v>
      </c>
      <c r="L380" s="2">
        <v>9</v>
      </c>
      <c r="M380" t="str">
        <f>IF(Revv_bike_sales_data[[#This Row],[delivery_days]]&lt;=7, "Yes", "No")</f>
        <v>No</v>
      </c>
      <c r="N380" t="s">
        <v>16</v>
      </c>
      <c r="O380" s="2">
        <v>-13117</v>
      </c>
    </row>
    <row r="381" spans="1:15" x14ac:dyDescent="0.3">
      <c r="A381" s="2">
        <v>371</v>
      </c>
      <c r="B381" s="1">
        <v>44942.416666666664</v>
      </c>
      <c r="C381" s="1" t="str">
        <f t="shared" si="10"/>
        <v>01-2023</v>
      </c>
      <c r="D381" s="2">
        <f t="shared" si="11"/>
        <v>3</v>
      </c>
      <c r="E381" t="s">
        <v>22</v>
      </c>
      <c r="F381" t="s">
        <v>14</v>
      </c>
      <c r="G381" t="s">
        <v>19</v>
      </c>
      <c r="H381" s="2">
        <v>13356</v>
      </c>
      <c r="I381" s="2">
        <v>2</v>
      </c>
      <c r="J381" s="2">
        <v>102173</v>
      </c>
      <c r="K381" s="2">
        <v>24262</v>
      </c>
      <c r="L381" s="2">
        <v>7</v>
      </c>
      <c r="M381" t="str">
        <f>IF(Revv_bike_sales_data[[#This Row],[delivery_days]]&lt;=7, "Yes", "No")</f>
        <v>Yes</v>
      </c>
      <c r="N381" t="s">
        <v>16</v>
      </c>
      <c r="O381" s="2">
        <v>77911</v>
      </c>
    </row>
    <row r="382" spans="1:15" x14ac:dyDescent="0.3">
      <c r="A382" s="2">
        <v>372</v>
      </c>
      <c r="B382" s="1">
        <v>44942.458333333336</v>
      </c>
      <c r="C382" s="1" t="str">
        <f t="shared" si="10"/>
        <v>01-2023</v>
      </c>
      <c r="D382" s="2">
        <f t="shared" si="11"/>
        <v>3</v>
      </c>
      <c r="E382" t="s">
        <v>13</v>
      </c>
      <c r="F382" t="s">
        <v>14</v>
      </c>
      <c r="G382" t="s">
        <v>21</v>
      </c>
      <c r="H382" s="2">
        <v>57393</v>
      </c>
      <c r="I382" s="2">
        <v>7</v>
      </c>
      <c r="J382" s="2">
        <v>89771</v>
      </c>
      <c r="K382" s="2">
        <v>19487</v>
      </c>
      <c r="L382" s="2">
        <v>11</v>
      </c>
      <c r="M382" t="str">
        <f>IF(Revv_bike_sales_data[[#This Row],[delivery_days]]&lt;=7, "Yes", "No")</f>
        <v>No</v>
      </c>
      <c r="N382" t="s">
        <v>16</v>
      </c>
      <c r="O382" s="2">
        <v>70284</v>
      </c>
    </row>
    <row r="383" spans="1:15" x14ac:dyDescent="0.3">
      <c r="A383" s="2">
        <v>373</v>
      </c>
      <c r="B383" s="1">
        <v>44942.5</v>
      </c>
      <c r="C383" s="1" t="str">
        <f t="shared" si="10"/>
        <v>01-2023</v>
      </c>
      <c r="D383" s="2">
        <f t="shared" si="11"/>
        <v>3</v>
      </c>
      <c r="E383" t="s">
        <v>22</v>
      </c>
      <c r="F383" t="s">
        <v>14</v>
      </c>
      <c r="G383" t="s">
        <v>20</v>
      </c>
      <c r="H383" s="2">
        <v>71141</v>
      </c>
      <c r="I383" s="2">
        <v>0</v>
      </c>
      <c r="J383" s="2">
        <v>102865</v>
      </c>
      <c r="K383" s="2">
        <v>42341</v>
      </c>
      <c r="L383" s="2">
        <v>14</v>
      </c>
      <c r="M383" t="str">
        <f>IF(Revv_bike_sales_data[[#This Row],[delivery_days]]&lt;=7, "Yes", "No")</f>
        <v>No</v>
      </c>
      <c r="N383" t="s">
        <v>16</v>
      </c>
      <c r="O383" s="2">
        <v>60524</v>
      </c>
    </row>
    <row r="384" spans="1:15" x14ac:dyDescent="0.3">
      <c r="A384" s="2">
        <v>374</v>
      </c>
      <c r="B384" s="1">
        <v>44942.541666666664</v>
      </c>
      <c r="C384" s="1" t="str">
        <f t="shared" si="10"/>
        <v>01-2023</v>
      </c>
      <c r="D384" s="2">
        <f t="shared" si="11"/>
        <v>3</v>
      </c>
      <c r="E384" t="s">
        <v>18</v>
      </c>
      <c r="F384" t="s">
        <v>14</v>
      </c>
      <c r="G384" t="s">
        <v>20</v>
      </c>
      <c r="H384" s="2">
        <v>68549</v>
      </c>
      <c r="I384" s="2">
        <v>2</v>
      </c>
      <c r="J384" s="2">
        <v>124074</v>
      </c>
      <c r="K384" s="2">
        <v>123924</v>
      </c>
      <c r="L384" s="2">
        <v>13</v>
      </c>
      <c r="M384" t="str">
        <f>IF(Revv_bike_sales_data[[#This Row],[delivery_days]]&lt;=7, "Yes", "No")</f>
        <v>No</v>
      </c>
      <c r="N384" t="s">
        <v>16</v>
      </c>
      <c r="O384" s="2">
        <v>150</v>
      </c>
    </row>
    <row r="385" spans="1:15" x14ac:dyDescent="0.3">
      <c r="A385" s="2">
        <v>375</v>
      </c>
      <c r="B385" s="1">
        <v>44942.583333333336</v>
      </c>
      <c r="C385" s="1" t="str">
        <f t="shared" si="10"/>
        <v>01-2023</v>
      </c>
      <c r="D385" s="2">
        <f t="shared" si="11"/>
        <v>3</v>
      </c>
      <c r="E385" t="s">
        <v>25</v>
      </c>
      <c r="F385" t="s">
        <v>14</v>
      </c>
      <c r="G385" t="s">
        <v>15</v>
      </c>
      <c r="H385" s="2">
        <v>58682</v>
      </c>
      <c r="I385" s="2">
        <v>9</v>
      </c>
      <c r="J385" s="2">
        <v>61622</v>
      </c>
      <c r="K385" s="2">
        <v>28570</v>
      </c>
      <c r="L385" s="2">
        <v>6</v>
      </c>
      <c r="M385" t="str">
        <f>IF(Revv_bike_sales_data[[#This Row],[delivery_days]]&lt;=7, "Yes", "No")</f>
        <v>Yes</v>
      </c>
      <c r="N385" t="s">
        <v>16</v>
      </c>
      <c r="O385" s="2">
        <v>33052</v>
      </c>
    </row>
    <row r="386" spans="1:15" x14ac:dyDescent="0.3">
      <c r="A386" s="2">
        <v>376</v>
      </c>
      <c r="B386" s="1">
        <v>44942.625</v>
      </c>
      <c r="C386" s="1" t="str">
        <f t="shared" si="10"/>
        <v>01-2023</v>
      </c>
      <c r="D386" s="2">
        <f t="shared" si="11"/>
        <v>3</v>
      </c>
      <c r="E386" t="s">
        <v>18</v>
      </c>
      <c r="F386" t="s">
        <v>14</v>
      </c>
      <c r="G386" t="s">
        <v>21</v>
      </c>
      <c r="H386" s="2">
        <v>3301</v>
      </c>
      <c r="I386" s="2">
        <v>0</v>
      </c>
      <c r="J386" s="2">
        <v>60886</v>
      </c>
      <c r="K386" s="2">
        <v>72268</v>
      </c>
      <c r="L386" s="2">
        <v>7</v>
      </c>
      <c r="M386" t="str">
        <f>IF(Revv_bike_sales_data[[#This Row],[delivery_days]]&lt;=7, "Yes", "No")</f>
        <v>Yes</v>
      </c>
      <c r="N386" t="s">
        <v>16</v>
      </c>
      <c r="O386" s="2">
        <v>-11382</v>
      </c>
    </row>
    <row r="387" spans="1:15" x14ac:dyDescent="0.3">
      <c r="A387" s="2">
        <v>377</v>
      </c>
      <c r="B387" s="1">
        <v>44942.666666666664</v>
      </c>
      <c r="C387" s="1" t="str">
        <f t="shared" si="10"/>
        <v>01-2023</v>
      </c>
      <c r="D387" s="2">
        <f t="shared" si="11"/>
        <v>3</v>
      </c>
      <c r="E387" t="s">
        <v>13</v>
      </c>
      <c r="F387" t="s">
        <v>14</v>
      </c>
      <c r="G387" t="s">
        <v>20</v>
      </c>
      <c r="H387" s="2">
        <v>98381</v>
      </c>
      <c r="I387" s="2">
        <v>7</v>
      </c>
      <c r="J387" s="2">
        <v>165973</v>
      </c>
      <c r="K387" s="2">
        <v>136435</v>
      </c>
      <c r="L387" s="2">
        <v>8</v>
      </c>
      <c r="M387" t="str">
        <f>IF(Revv_bike_sales_data[[#This Row],[delivery_days]]&lt;=7, "Yes", "No")</f>
        <v>No</v>
      </c>
      <c r="N387" t="s">
        <v>16</v>
      </c>
      <c r="O387" s="2">
        <v>29538</v>
      </c>
    </row>
    <row r="388" spans="1:15" x14ac:dyDescent="0.3">
      <c r="A388" s="2">
        <v>378</v>
      </c>
      <c r="B388" s="1">
        <v>44942.708333333336</v>
      </c>
      <c r="C388" s="1" t="str">
        <f t="shared" si="10"/>
        <v>01-2023</v>
      </c>
      <c r="D388" s="2">
        <f t="shared" si="11"/>
        <v>3</v>
      </c>
      <c r="E388" t="s">
        <v>22</v>
      </c>
      <c r="F388" t="s">
        <v>14</v>
      </c>
      <c r="G388" t="s">
        <v>15</v>
      </c>
      <c r="H388" s="2">
        <v>79931</v>
      </c>
      <c r="I388" s="2">
        <v>0</v>
      </c>
      <c r="J388" s="2">
        <v>81377</v>
      </c>
      <c r="K388" s="2">
        <v>44605</v>
      </c>
      <c r="L388" s="2">
        <v>5</v>
      </c>
      <c r="M388" t="str">
        <f>IF(Revv_bike_sales_data[[#This Row],[delivery_days]]&lt;=7, "Yes", "No")</f>
        <v>Yes</v>
      </c>
      <c r="N388" t="s">
        <v>16</v>
      </c>
      <c r="O388" s="2">
        <v>36772</v>
      </c>
    </row>
    <row r="389" spans="1:15" x14ac:dyDescent="0.3">
      <c r="A389" s="2">
        <v>379</v>
      </c>
      <c r="B389" s="1">
        <v>44942.75</v>
      </c>
      <c r="C389" s="1" t="str">
        <f t="shared" si="10"/>
        <v>01-2023</v>
      </c>
      <c r="D389" s="2">
        <f t="shared" si="11"/>
        <v>3</v>
      </c>
      <c r="E389" t="s">
        <v>22</v>
      </c>
      <c r="F389" t="s">
        <v>14</v>
      </c>
      <c r="G389" t="s">
        <v>15</v>
      </c>
      <c r="H389" s="2">
        <v>40249</v>
      </c>
      <c r="I389" s="2">
        <v>4</v>
      </c>
      <c r="J389" s="2">
        <v>107910</v>
      </c>
      <c r="K389" s="2">
        <v>86602</v>
      </c>
      <c r="L389" s="2">
        <v>3</v>
      </c>
      <c r="M389" t="str">
        <f>IF(Revv_bike_sales_data[[#This Row],[delivery_days]]&lt;=7, "Yes", "No")</f>
        <v>Yes</v>
      </c>
      <c r="N389" t="s">
        <v>16</v>
      </c>
      <c r="O389" s="2">
        <v>21308</v>
      </c>
    </row>
    <row r="390" spans="1:15" x14ac:dyDescent="0.3">
      <c r="A390" s="2">
        <v>380</v>
      </c>
      <c r="B390" s="1">
        <v>44942.791666666664</v>
      </c>
      <c r="C390" s="1" t="str">
        <f t="shared" si="10"/>
        <v>01-2023</v>
      </c>
      <c r="D390" s="2">
        <f t="shared" si="11"/>
        <v>3</v>
      </c>
      <c r="E390" t="s">
        <v>17</v>
      </c>
      <c r="F390" t="s">
        <v>14</v>
      </c>
      <c r="G390" t="s">
        <v>19</v>
      </c>
      <c r="H390" s="2">
        <v>74257</v>
      </c>
      <c r="I390" s="2">
        <v>3</v>
      </c>
      <c r="J390" s="2">
        <v>143992</v>
      </c>
      <c r="K390" s="2">
        <v>117798</v>
      </c>
      <c r="L390" s="2">
        <v>3</v>
      </c>
      <c r="M390" t="str">
        <f>IF(Revv_bike_sales_data[[#This Row],[delivery_days]]&lt;=7, "Yes", "No")</f>
        <v>Yes</v>
      </c>
      <c r="N390" t="s">
        <v>16</v>
      </c>
      <c r="O390" s="2">
        <v>26194</v>
      </c>
    </row>
    <row r="391" spans="1:15" x14ac:dyDescent="0.3">
      <c r="A391" s="2">
        <v>381</v>
      </c>
      <c r="B391" s="1">
        <v>44942.833333333336</v>
      </c>
      <c r="C391" s="1" t="str">
        <f t="shared" si="10"/>
        <v>01-2023</v>
      </c>
      <c r="D391" s="2">
        <f t="shared" si="11"/>
        <v>3</v>
      </c>
      <c r="E391" t="s">
        <v>22</v>
      </c>
      <c r="F391" t="s">
        <v>23</v>
      </c>
      <c r="G391" t="s">
        <v>15</v>
      </c>
      <c r="H391" s="2">
        <v>56154</v>
      </c>
      <c r="I391" s="2">
        <v>6</v>
      </c>
      <c r="J391" s="2">
        <v>173731</v>
      </c>
      <c r="K391" s="2">
        <v>41723</v>
      </c>
      <c r="L391" s="2">
        <v>13</v>
      </c>
      <c r="M391" t="str">
        <f>IF(Revv_bike_sales_data[[#This Row],[delivery_days]]&lt;=7, "Yes", "No")</f>
        <v>No</v>
      </c>
      <c r="N391" t="s">
        <v>16</v>
      </c>
      <c r="O391" s="2">
        <v>132008</v>
      </c>
    </row>
    <row r="392" spans="1:15" x14ac:dyDescent="0.3">
      <c r="A392" s="2">
        <v>382</v>
      </c>
      <c r="B392" s="1">
        <v>44942.875</v>
      </c>
      <c r="C392" s="1" t="str">
        <f t="shared" si="10"/>
        <v>01-2023</v>
      </c>
      <c r="D392" s="2">
        <f t="shared" si="11"/>
        <v>3</v>
      </c>
      <c r="E392" t="s">
        <v>17</v>
      </c>
      <c r="F392" t="s">
        <v>14</v>
      </c>
      <c r="G392" t="s">
        <v>20</v>
      </c>
      <c r="H392" s="2">
        <v>72074</v>
      </c>
      <c r="I392" s="2">
        <v>4</v>
      </c>
      <c r="J392" s="2">
        <v>179525</v>
      </c>
      <c r="K392" s="2">
        <v>84108</v>
      </c>
      <c r="L392" s="2">
        <v>2</v>
      </c>
      <c r="M392" t="str">
        <f>IF(Revv_bike_sales_data[[#This Row],[delivery_days]]&lt;=7, "Yes", "No")</f>
        <v>Yes</v>
      </c>
      <c r="N392" t="s">
        <v>16</v>
      </c>
      <c r="O392" s="2">
        <v>95417</v>
      </c>
    </row>
    <row r="393" spans="1:15" x14ac:dyDescent="0.3">
      <c r="A393" s="2">
        <v>383</v>
      </c>
      <c r="B393" s="1">
        <v>44942.916666666664</v>
      </c>
      <c r="C393" s="1" t="str">
        <f t="shared" si="10"/>
        <v>01-2023</v>
      </c>
      <c r="D393" s="2">
        <f t="shared" si="11"/>
        <v>3</v>
      </c>
      <c r="E393" t="s">
        <v>25</v>
      </c>
      <c r="F393" t="s">
        <v>14</v>
      </c>
      <c r="G393" t="s">
        <v>19</v>
      </c>
      <c r="H393" s="2">
        <v>98067</v>
      </c>
      <c r="I393" s="2">
        <v>7</v>
      </c>
      <c r="J393" s="2">
        <v>41312</v>
      </c>
      <c r="K393" s="2">
        <v>93206</v>
      </c>
      <c r="L393" s="2">
        <v>8</v>
      </c>
      <c r="M393" t="str">
        <f>IF(Revv_bike_sales_data[[#This Row],[delivery_days]]&lt;=7, "Yes", "No")</f>
        <v>No</v>
      </c>
      <c r="N393" t="s">
        <v>24</v>
      </c>
      <c r="O393" s="2">
        <v>-51894</v>
      </c>
    </row>
    <row r="394" spans="1:15" x14ac:dyDescent="0.3">
      <c r="A394" s="2">
        <v>384</v>
      </c>
      <c r="B394" s="1">
        <v>44942.958333333336</v>
      </c>
      <c r="C394" s="1" t="str">
        <f t="shared" si="10"/>
        <v>01-2023</v>
      </c>
      <c r="D394" s="2">
        <f t="shared" si="11"/>
        <v>3</v>
      </c>
      <c r="E394" t="s">
        <v>13</v>
      </c>
      <c r="F394" t="s">
        <v>23</v>
      </c>
      <c r="G394" t="s">
        <v>21</v>
      </c>
      <c r="H394" s="2">
        <v>55881</v>
      </c>
      <c r="I394" s="2">
        <v>0</v>
      </c>
      <c r="J394" s="2">
        <v>26436</v>
      </c>
      <c r="K394" s="2">
        <v>75098</v>
      </c>
      <c r="L394" s="2">
        <v>1</v>
      </c>
      <c r="M394" t="str">
        <f>IF(Revv_bike_sales_data[[#This Row],[delivery_days]]&lt;=7, "Yes", "No")</f>
        <v>Yes</v>
      </c>
      <c r="N394" t="s">
        <v>16</v>
      </c>
      <c r="O394" s="2">
        <v>-48662</v>
      </c>
    </row>
    <row r="395" spans="1:15" x14ac:dyDescent="0.3">
      <c r="A395" s="2">
        <v>385</v>
      </c>
      <c r="B395" s="1">
        <v>44943</v>
      </c>
      <c r="C395" s="1" t="str">
        <f t="shared" ref="C395:C458" si="12">TEXT(B395,"mm-yyyy")</f>
        <v>01-2023</v>
      </c>
      <c r="D395" s="2">
        <f t="shared" ref="D395:D458" si="13">WEEKNUM(B395)</f>
        <v>3</v>
      </c>
      <c r="E395" t="s">
        <v>17</v>
      </c>
      <c r="F395" t="s">
        <v>14</v>
      </c>
      <c r="G395" t="s">
        <v>21</v>
      </c>
      <c r="H395" s="2">
        <v>59101</v>
      </c>
      <c r="I395" s="2">
        <v>4</v>
      </c>
      <c r="J395" s="2">
        <v>52569</v>
      </c>
      <c r="K395" s="2">
        <v>108375</v>
      </c>
      <c r="L395" s="2">
        <v>12</v>
      </c>
      <c r="M395" t="str">
        <f>IF(Revv_bike_sales_data[[#This Row],[delivery_days]]&lt;=7, "Yes", "No")</f>
        <v>No</v>
      </c>
      <c r="N395" t="s">
        <v>24</v>
      </c>
      <c r="O395" s="2">
        <v>-55806</v>
      </c>
    </row>
    <row r="396" spans="1:15" x14ac:dyDescent="0.3">
      <c r="A396" s="2">
        <v>386</v>
      </c>
      <c r="B396" s="1">
        <v>44943.041666666664</v>
      </c>
      <c r="C396" s="1" t="str">
        <f t="shared" si="12"/>
        <v>01-2023</v>
      </c>
      <c r="D396" s="2">
        <f t="shared" si="13"/>
        <v>3</v>
      </c>
      <c r="E396" t="s">
        <v>25</v>
      </c>
      <c r="F396" t="s">
        <v>14</v>
      </c>
      <c r="G396" t="s">
        <v>20</v>
      </c>
      <c r="H396" s="2">
        <v>15582</v>
      </c>
      <c r="I396" s="2">
        <v>3</v>
      </c>
      <c r="J396" s="2">
        <v>141787</v>
      </c>
      <c r="K396" s="2">
        <v>63707</v>
      </c>
      <c r="L396" s="2">
        <v>8</v>
      </c>
      <c r="M396" t="str">
        <f>IF(Revv_bike_sales_data[[#This Row],[delivery_days]]&lt;=7, "Yes", "No")</f>
        <v>No</v>
      </c>
      <c r="N396" t="s">
        <v>16</v>
      </c>
      <c r="O396" s="2">
        <v>78080</v>
      </c>
    </row>
    <row r="397" spans="1:15" x14ac:dyDescent="0.3">
      <c r="A397" s="2">
        <v>387</v>
      </c>
      <c r="B397" s="1">
        <v>44943.083333333336</v>
      </c>
      <c r="C397" s="1" t="str">
        <f t="shared" si="12"/>
        <v>01-2023</v>
      </c>
      <c r="D397" s="2">
        <f t="shared" si="13"/>
        <v>3</v>
      </c>
      <c r="E397" t="s">
        <v>22</v>
      </c>
      <c r="F397" t="s">
        <v>14</v>
      </c>
      <c r="G397" t="s">
        <v>20</v>
      </c>
      <c r="H397" s="2">
        <v>15148</v>
      </c>
      <c r="I397" s="2">
        <v>2</v>
      </c>
      <c r="J397" s="2">
        <v>115485</v>
      </c>
      <c r="K397" s="2">
        <v>64028</v>
      </c>
      <c r="L397" s="2">
        <v>3</v>
      </c>
      <c r="M397" t="str">
        <f>IF(Revv_bike_sales_data[[#This Row],[delivery_days]]&lt;=7, "Yes", "No")</f>
        <v>Yes</v>
      </c>
      <c r="N397" t="s">
        <v>16</v>
      </c>
      <c r="O397" s="2">
        <v>51457</v>
      </c>
    </row>
    <row r="398" spans="1:15" x14ac:dyDescent="0.3">
      <c r="A398" s="2">
        <v>388</v>
      </c>
      <c r="B398" s="1">
        <v>44943.125</v>
      </c>
      <c r="C398" s="1" t="str">
        <f t="shared" si="12"/>
        <v>01-2023</v>
      </c>
      <c r="D398" s="2">
        <f t="shared" si="13"/>
        <v>3</v>
      </c>
      <c r="E398" t="s">
        <v>22</v>
      </c>
      <c r="F398" t="s">
        <v>14</v>
      </c>
      <c r="G398" t="s">
        <v>19</v>
      </c>
      <c r="H398" s="2">
        <v>864</v>
      </c>
      <c r="I398" s="2">
        <v>4</v>
      </c>
      <c r="J398" s="2">
        <v>127555</v>
      </c>
      <c r="K398" s="2">
        <v>108937</v>
      </c>
      <c r="L398" s="2">
        <v>9</v>
      </c>
      <c r="M398" t="str">
        <f>IF(Revv_bike_sales_data[[#This Row],[delivery_days]]&lt;=7, "Yes", "No")</f>
        <v>No</v>
      </c>
      <c r="N398" t="s">
        <v>16</v>
      </c>
      <c r="O398" s="2">
        <v>18618</v>
      </c>
    </row>
    <row r="399" spans="1:15" x14ac:dyDescent="0.3">
      <c r="A399" s="2">
        <v>389</v>
      </c>
      <c r="B399" s="1">
        <v>44943.166666666664</v>
      </c>
      <c r="C399" s="1" t="str">
        <f t="shared" si="12"/>
        <v>01-2023</v>
      </c>
      <c r="D399" s="2">
        <f t="shared" si="13"/>
        <v>3</v>
      </c>
      <c r="E399" t="s">
        <v>25</v>
      </c>
      <c r="F399" t="s">
        <v>14</v>
      </c>
      <c r="G399" t="s">
        <v>19</v>
      </c>
      <c r="H399" s="2">
        <v>35068</v>
      </c>
      <c r="I399" s="2">
        <v>9</v>
      </c>
      <c r="J399" s="2">
        <v>165377</v>
      </c>
      <c r="K399" s="2">
        <v>71921</v>
      </c>
      <c r="L399" s="2">
        <v>12</v>
      </c>
      <c r="M399" t="str">
        <f>IF(Revv_bike_sales_data[[#This Row],[delivery_days]]&lt;=7, "Yes", "No")</f>
        <v>No</v>
      </c>
      <c r="N399" t="s">
        <v>16</v>
      </c>
      <c r="O399" s="2">
        <v>93456</v>
      </c>
    </row>
    <row r="400" spans="1:15" x14ac:dyDescent="0.3">
      <c r="A400" s="2">
        <v>390</v>
      </c>
      <c r="B400" s="1">
        <v>44943.208333333336</v>
      </c>
      <c r="C400" s="1" t="str">
        <f t="shared" si="12"/>
        <v>01-2023</v>
      </c>
      <c r="D400" s="2">
        <f t="shared" si="13"/>
        <v>3</v>
      </c>
      <c r="E400" t="s">
        <v>22</v>
      </c>
      <c r="F400" t="s">
        <v>14</v>
      </c>
      <c r="G400" t="s">
        <v>20</v>
      </c>
      <c r="H400" s="2">
        <v>80146</v>
      </c>
      <c r="I400" s="2">
        <v>2</v>
      </c>
      <c r="J400" s="2">
        <v>57646</v>
      </c>
      <c r="K400" s="2">
        <v>75760</v>
      </c>
      <c r="L400" s="2">
        <v>14</v>
      </c>
      <c r="M400" t="str">
        <f>IF(Revv_bike_sales_data[[#This Row],[delivery_days]]&lt;=7, "Yes", "No")</f>
        <v>No</v>
      </c>
      <c r="N400" t="s">
        <v>16</v>
      </c>
      <c r="O400" s="2">
        <v>-18114</v>
      </c>
    </row>
    <row r="401" spans="1:15" x14ac:dyDescent="0.3">
      <c r="A401" s="2">
        <v>391</v>
      </c>
      <c r="B401" s="1">
        <v>44943.25</v>
      </c>
      <c r="C401" s="1" t="str">
        <f t="shared" si="12"/>
        <v>01-2023</v>
      </c>
      <c r="D401" s="2">
        <f t="shared" si="13"/>
        <v>3</v>
      </c>
      <c r="E401" t="s">
        <v>25</v>
      </c>
      <c r="F401" t="s">
        <v>14</v>
      </c>
      <c r="G401" t="s">
        <v>20</v>
      </c>
      <c r="H401" s="2">
        <v>71994</v>
      </c>
      <c r="I401" s="2">
        <v>7</v>
      </c>
      <c r="J401" s="2">
        <v>101126</v>
      </c>
      <c r="K401" s="2">
        <v>25249</v>
      </c>
      <c r="L401" s="2">
        <v>12</v>
      </c>
      <c r="M401" t="str">
        <f>IF(Revv_bike_sales_data[[#This Row],[delivery_days]]&lt;=7, "Yes", "No")</f>
        <v>No</v>
      </c>
      <c r="N401" t="s">
        <v>16</v>
      </c>
      <c r="O401" s="2">
        <v>75877</v>
      </c>
    </row>
    <row r="402" spans="1:15" x14ac:dyDescent="0.3">
      <c r="A402" s="2">
        <v>392</v>
      </c>
      <c r="B402" s="1">
        <v>44943.291666666664</v>
      </c>
      <c r="C402" s="1" t="str">
        <f t="shared" si="12"/>
        <v>01-2023</v>
      </c>
      <c r="D402" s="2">
        <f t="shared" si="13"/>
        <v>3</v>
      </c>
      <c r="E402" t="s">
        <v>17</v>
      </c>
      <c r="F402" t="s">
        <v>23</v>
      </c>
      <c r="G402" t="s">
        <v>21</v>
      </c>
      <c r="H402" s="2">
        <v>75132</v>
      </c>
      <c r="I402" s="2">
        <v>2</v>
      </c>
      <c r="J402" s="2">
        <v>142922</v>
      </c>
      <c r="K402" s="2">
        <v>82847</v>
      </c>
      <c r="L402" s="2">
        <v>11</v>
      </c>
      <c r="M402" t="str">
        <f>IF(Revv_bike_sales_data[[#This Row],[delivery_days]]&lt;=7, "Yes", "No")</f>
        <v>No</v>
      </c>
      <c r="N402" t="s">
        <v>16</v>
      </c>
      <c r="O402" s="2">
        <v>60075</v>
      </c>
    </row>
    <row r="403" spans="1:15" x14ac:dyDescent="0.3">
      <c r="A403" s="2">
        <v>393</v>
      </c>
      <c r="B403" s="1">
        <v>44943.333333333336</v>
      </c>
      <c r="C403" s="1" t="str">
        <f t="shared" si="12"/>
        <v>01-2023</v>
      </c>
      <c r="D403" s="2">
        <f t="shared" si="13"/>
        <v>3</v>
      </c>
      <c r="E403" t="s">
        <v>17</v>
      </c>
      <c r="F403" t="s">
        <v>14</v>
      </c>
      <c r="G403" t="s">
        <v>21</v>
      </c>
      <c r="H403" s="2">
        <v>7936</v>
      </c>
      <c r="I403" s="2">
        <v>0</v>
      </c>
      <c r="J403" s="2">
        <v>65430</v>
      </c>
      <c r="K403" s="2">
        <v>112547</v>
      </c>
      <c r="L403" s="2">
        <v>2</v>
      </c>
      <c r="M403" t="str">
        <f>IF(Revv_bike_sales_data[[#This Row],[delivery_days]]&lt;=7, "Yes", "No")</f>
        <v>Yes</v>
      </c>
      <c r="N403" t="s">
        <v>16</v>
      </c>
      <c r="O403" s="2">
        <v>-47117</v>
      </c>
    </row>
    <row r="404" spans="1:15" x14ac:dyDescent="0.3">
      <c r="A404" s="2">
        <v>394</v>
      </c>
      <c r="B404" s="1">
        <v>44943.375</v>
      </c>
      <c r="C404" s="1" t="str">
        <f t="shared" si="12"/>
        <v>01-2023</v>
      </c>
      <c r="D404" s="2">
        <f t="shared" si="13"/>
        <v>3</v>
      </c>
      <c r="E404" t="s">
        <v>25</v>
      </c>
      <c r="F404" t="s">
        <v>14</v>
      </c>
      <c r="G404" t="s">
        <v>21</v>
      </c>
      <c r="H404" s="2">
        <v>87213</v>
      </c>
      <c r="I404" s="2">
        <v>8</v>
      </c>
      <c r="J404" s="2">
        <v>147238</v>
      </c>
      <c r="K404" s="2">
        <v>58839</v>
      </c>
      <c r="L404" s="2">
        <v>10</v>
      </c>
      <c r="M404" t="str">
        <f>IF(Revv_bike_sales_data[[#This Row],[delivery_days]]&lt;=7, "Yes", "No")</f>
        <v>No</v>
      </c>
      <c r="N404" t="s">
        <v>24</v>
      </c>
      <c r="O404" s="2">
        <v>88399</v>
      </c>
    </row>
    <row r="405" spans="1:15" x14ac:dyDescent="0.3">
      <c r="A405" s="2">
        <v>395</v>
      </c>
      <c r="B405" s="1">
        <v>44943.416666666664</v>
      </c>
      <c r="C405" s="1" t="str">
        <f t="shared" si="12"/>
        <v>01-2023</v>
      </c>
      <c r="D405" s="2">
        <f t="shared" si="13"/>
        <v>3</v>
      </c>
      <c r="E405" t="s">
        <v>17</v>
      </c>
      <c r="F405" t="s">
        <v>14</v>
      </c>
      <c r="G405" t="s">
        <v>20</v>
      </c>
      <c r="H405" s="2">
        <v>27254</v>
      </c>
      <c r="I405" s="2">
        <v>8</v>
      </c>
      <c r="J405" s="2">
        <v>93659</v>
      </c>
      <c r="K405" s="2">
        <v>120077</v>
      </c>
      <c r="L405" s="2">
        <v>9</v>
      </c>
      <c r="M405" t="str">
        <f>IF(Revv_bike_sales_data[[#This Row],[delivery_days]]&lt;=7, "Yes", "No")</f>
        <v>No</v>
      </c>
      <c r="N405" t="s">
        <v>16</v>
      </c>
      <c r="O405" s="2">
        <v>-26418</v>
      </c>
    </row>
    <row r="406" spans="1:15" x14ac:dyDescent="0.3">
      <c r="A406" s="2">
        <v>396</v>
      </c>
      <c r="B406" s="1">
        <v>44943.458333333336</v>
      </c>
      <c r="C406" s="1" t="str">
        <f t="shared" si="12"/>
        <v>01-2023</v>
      </c>
      <c r="D406" s="2">
        <f t="shared" si="13"/>
        <v>3</v>
      </c>
      <c r="E406" t="s">
        <v>17</v>
      </c>
      <c r="F406" t="s">
        <v>14</v>
      </c>
      <c r="G406" t="s">
        <v>15</v>
      </c>
      <c r="H406" s="2">
        <v>60694</v>
      </c>
      <c r="I406" s="2">
        <v>5</v>
      </c>
      <c r="J406" s="2">
        <v>140341</v>
      </c>
      <c r="K406" s="2">
        <v>54673</v>
      </c>
      <c r="L406" s="2">
        <v>6</v>
      </c>
      <c r="M406" t="str">
        <f>IF(Revv_bike_sales_data[[#This Row],[delivery_days]]&lt;=7, "Yes", "No")</f>
        <v>Yes</v>
      </c>
      <c r="N406" t="s">
        <v>24</v>
      </c>
      <c r="O406" s="2">
        <v>85668</v>
      </c>
    </row>
    <row r="407" spans="1:15" x14ac:dyDescent="0.3">
      <c r="A407" s="2">
        <v>397</v>
      </c>
      <c r="B407" s="1">
        <v>44943.5</v>
      </c>
      <c r="C407" s="1" t="str">
        <f t="shared" si="12"/>
        <v>01-2023</v>
      </c>
      <c r="D407" s="2">
        <f t="shared" si="13"/>
        <v>3</v>
      </c>
      <c r="E407" t="s">
        <v>17</v>
      </c>
      <c r="F407" t="s">
        <v>14</v>
      </c>
      <c r="G407" t="s">
        <v>20</v>
      </c>
      <c r="H407" s="2">
        <v>25044</v>
      </c>
      <c r="I407" s="2">
        <v>9</v>
      </c>
      <c r="J407" s="2">
        <v>29158</v>
      </c>
      <c r="K407" s="2">
        <v>18642</v>
      </c>
      <c r="L407" s="2">
        <v>1</v>
      </c>
      <c r="M407" t="str">
        <f>IF(Revv_bike_sales_data[[#This Row],[delivery_days]]&lt;=7, "Yes", "No")</f>
        <v>Yes</v>
      </c>
      <c r="N407" t="s">
        <v>16</v>
      </c>
      <c r="O407" s="2">
        <v>10516</v>
      </c>
    </row>
    <row r="408" spans="1:15" x14ac:dyDescent="0.3">
      <c r="A408" s="2">
        <v>398</v>
      </c>
      <c r="B408" s="1">
        <v>44943.541666666664</v>
      </c>
      <c r="C408" s="1" t="str">
        <f t="shared" si="12"/>
        <v>01-2023</v>
      </c>
      <c r="D408" s="2">
        <f t="shared" si="13"/>
        <v>3</v>
      </c>
      <c r="E408" t="s">
        <v>18</v>
      </c>
      <c r="F408" t="s">
        <v>14</v>
      </c>
      <c r="G408" t="s">
        <v>20</v>
      </c>
      <c r="H408" s="2">
        <v>60680</v>
      </c>
      <c r="I408" s="2">
        <v>0</v>
      </c>
      <c r="J408" s="2">
        <v>99236</v>
      </c>
      <c r="K408" s="2">
        <v>21338</v>
      </c>
      <c r="L408" s="2">
        <v>5</v>
      </c>
      <c r="M408" t="str">
        <f>IF(Revv_bike_sales_data[[#This Row],[delivery_days]]&lt;=7, "Yes", "No")</f>
        <v>Yes</v>
      </c>
      <c r="N408" t="s">
        <v>16</v>
      </c>
      <c r="O408" s="2">
        <v>77898</v>
      </c>
    </row>
    <row r="409" spans="1:15" x14ac:dyDescent="0.3">
      <c r="A409" s="2">
        <v>399</v>
      </c>
      <c r="B409" s="1">
        <v>44943.583333333336</v>
      </c>
      <c r="C409" s="1" t="str">
        <f t="shared" si="12"/>
        <v>01-2023</v>
      </c>
      <c r="D409" s="2">
        <f t="shared" si="13"/>
        <v>3</v>
      </c>
      <c r="E409" t="s">
        <v>13</v>
      </c>
      <c r="F409" t="s">
        <v>14</v>
      </c>
      <c r="G409" t="s">
        <v>21</v>
      </c>
      <c r="H409" s="2">
        <v>63795</v>
      </c>
      <c r="I409" s="2">
        <v>7</v>
      </c>
      <c r="J409" s="2">
        <v>101067</v>
      </c>
      <c r="K409" s="2">
        <v>129650</v>
      </c>
      <c r="L409" s="2">
        <v>10</v>
      </c>
      <c r="M409" t="str">
        <f>IF(Revv_bike_sales_data[[#This Row],[delivery_days]]&lt;=7, "Yes", "No")</f>
        <v>No</v>
      </c>
      <c r="N409" t="s">
        <v>16</v>
      </c>
      <c r="O409" s="2">
        <v>-28583</v>
      </c>
    </row>
    <row r="410" spans="1:15" x14ac:dyDescent="0.3">
      <c r="A410" s="2">
        <v>400</v>
      </c>
      <c r="B410" s="1">
        <v>44943.625</v>
      </c>
      <c r="C410" s="1" t="str">
        <f t="shared" si="12"/>
        <v>01-2023</v>
      </c>
      <c r="D410" s="2">
        <f t="shared" si="13"/>
        <v>3</v>
      </c>
      <c r="E410" t="s">
        <v>22</v>
      </c>
      <c r="F410" t="s">
        <v>14</v>
      </c>
      <c r="G410" t="s">
        <v>20</v>
      </c>
      <c r="H410" s="2">
        <v>13138</v>
      </c>
      <c r="I410" s="2">
        <v>1</v>
      </c>
      <c r="J410" s="2">
        <v>34879</v>
      </c>
      <c r="K410" s="2">
        <v>66761</v>
      </c>
      <c r="L410" s="2">
        <v>9</v>
      </c>
      <c r="M410" t="str">
        <f>IF(Revv_bike_sales_data[[#This Row],[delivery_days]]&lt;=7, "Yes", "No")</f>
        <v>No</v>
      </c>
      <c r="N410" t="s">
        <v>16</v>
      </c>
      <c r="O410" s="2">
        <v>-31882</v>
      </c>
    </row>
    <row r="411" spans="1:15" x14ac:dyDescent="0.3">
      <c r="A411" s="2">
        <v>401</v>
      </c>
      <c r="B411" s="1">
        <v>44943.666666666664</v>
      </c>
      <c r="C411" s="1" t="str">
        <f t="shared" si="12"/>
        <v>01-2023</v>
      </c>
      <c r="D411" s="2">
        <f t="shared" si="13"/>
        <v>3</v>
      </c>
      <c r="E411" t="s">
        <v>18</v>
      </c>
      <c r="F411" t="s">
        <v>14</v>
      </c>
      <c r="G411" t="s">
        <v>19</v>
      </c>
      <c r="H411" s="2">
        <v>66215</v>
      </c>
      <c r="I411" s="2">
        <v>8</v>
      </c>
      <c r="J411" s="2">
        <v>161615</v>
      </c>
      <c r="K411" s="2">
        <v>24622</v>
      </c>
      <c r="L411" s="2">
        <v>13</v>
      </c>
      <c r="M411" t="str">
        <f>IF(Revv_bike_sales_data[[#This Row],[delivery_days]]&lt;=7, "Yes", "No")</f>
        <v>No</v>
      </c>
      <c r="N411" t="s">
        <v>16</v>
      </c>
      <c r="O411" s="2">
        <v>136993</v>
      </c>
    </row>
    <row r="412" spans="1:15" x14ac:dyDescent="0.3">
      <c r="A412" s="2">
        <v>402</v>
      </c>
      <c r="B412" s="1">
        <v>44943.708333333336</v>
      </c>
      <c r="C412" s="1" t="str">
        <f t="shared" si="12"/>
        <v>01-2023</v>
      </c>
      <c r="D412" s="2">
        <f t="shared" si="13"/>
        <v>3</v>
      </c>
      <c r="E412" t="s">
        <v>17</v>
      </c>
      <c r="F412" t="s">
        <v>14</v>
      </c>
      <c r="G412" t="s">
        <v>20</v>
      </c>
      <c r="H412" s="2">
        <v>69909</v>
      </c>
      <c r="I412" s="2">
        <v>7</v>
      </c>
      <c r="J412" s="2">
        <v>137284</v>
      </c>
      <c r="K412" s="2">
        <v>63423</v>
      </c>
      <c r="L412" s="2">
        <v>6</v>
      </c>
      <c r="M412" t="str">
        <f>IF(Revv_bike_sales_data[[#This Row],[delivery_days]]&lt;=7, "Yes", "No")</f>
        <v>Yes</v>
      </c>
      <c r="N412" t="s">
        <v>16</v>
      </c>
      <c r="O412" s="2">
        <v>73861</v>
      </c>
    </row>
    <row r="413" spans="1:15" x14ac:dyDescent="0.3">
      <c r="A413" s="2">
        <v>403</v>
      </c>
      <c r="B413" s="1">
        <v>44943.75</v>
      </c>
      <c r="C413" s="1" t="str">
        <f t="shared" si="12"/>
        <v>01-2023</v>
      </c>
      <c r="D413" s="2">
        <f t="shared" si="13"/>
        <v>3</v>
      </c>
      <c r="E413" t="s">
        <v>25</v>
      </c>
      <c r="F413" t="s">
        <v>14</v>
      </c>
      <c r="G413" t="s">
        <v>20</v>
      </c>
      <c r="H413" s="2">
        <v>83606</v>
      </c>
      <c r="I413" s="2">
        <v>2</v>
      </c>
      <c r="J413" s="2">
        <v>109117</v>
      </c>
      <c r="K413" s="2">
        <v>57873</v>
      </c>
      <c r="L413" s="2">
        <v>7</v>
      </c>
      <c r="M413" t="str">
        <f>IF(Revv_bike_sales_data[[#This Row],[delivery_days]]&lt;=7, "Yes", "No")</f>
        <v>Yes</v>
      </c>
      <c r="N413" t="s">
        <v>16</v>
      </c>
      <c r="O413" s="2">
        <v>51244</v>
      </c>
    </row>
    <row r="414" spans="1:15" x14ac:dyDescent="0.3">
      <c r="A414" s="2">
        <v>404</v>
      </c>
      <c r="B414" s="1">
        <v>44943.791666666664</v>
      </c>
      <c r="C414" s="1" t="str">
        <f t="shared" si="12"/>
        <v>01-2023</v>
      </c>
      <c r="D414" s="2">
        <f t="shared" si="13"/>
        <v>3</v>
      </c>
      <c r="E414" t="s">
        <v>17</v>
      </c>
      <c r="F414" t="s">
        <v>14</v>
      </c>
      <c r="G414" t="s">
        <v>20</v>
      </c>
      <c r="H414" s="2">
        <v>17657</v>
      </c>
      <c r="I414" s="2">
        <v>4</v>
      </c>
      <c r="J414" s="2">
        <v>68888</v>
      </c>
      <c r="K414" s="2">
        <v>119544</v>
      </c>
      <c r="L414" s="2">
        <v>4</v>
      </c>
      <c r="M414" t="str">
        <f>IF(Revv_bike_sales_data[[#This Row],[delivery_days]]&lt;=7, "Yes", "No")</f>
        <v>Yes</v>
      </c>
      <c r="N414" t="s">
        <v>16</v>
      </c>
      <c r="O414" s="2">
        <v>-50656</v>
      </c>
    </row>
    <row r="415" spans="1:15" x14ac:dyDescent="0.3">
      <c r="A415" s="2">
        <v>405</v>
      </c>
      <c r="B415" s="1">
        <v>44943.833333333336</v>
      </c>
      <c r="C415" s="1" t="str">
        <f t="shared" si="12"/>
        <v>01-2023</v>
      </c>
      <c r="D415" s="2">
        <f t="shared" si="13"/>
        <v>3</v>
      </c>
      <c r="E415" t="s">
        <v>13</v>
      </c>
      <c r="F415" t="s">
        <v>14</v>
      </c>
      <c r="G415" t="s">
        <v>20</v>
      </c>
      <c r="H415" s="2">
        <v>46065</v>
      </c>
      <c r="I415" s="2">
        <v>8</v>
      </c>
      <c r="J415" s="2">
        <v>55276</v>
      </c>
      <c r="K415" s="2">
        <v>62565</v>
      </c>
      <c r="L415" s="2">
        <v>1</v>
      </c>
      <c r="M415" t="str">
        <f>IF(Revv_bike_sales_data[[#This Row],[delivery_days]]&lt;=7, "Yes", "No")</f>
        <v>Yes</v>
      </c>
      <c r="N415" t="s">
        <v>16</v>
      </c>
      <c r="O415" s="2">
        <v>-7289</v>
      </c>
    </row>
    <row r="416" spans="1:15" x14ac:dyDescent="0.3">
      <c r="A416" s="2">
        <v>406</v>
      </c>
      <c r="B416" s="1">
        <v>44943.875</v>
      </c>
      <c r="C416" s="1" t="str">
        <f t="shared" si="12"/>
        <v>01-2023</v>
      </c>
      <c r="D416" s="2">
        <f t="shared" si="13"/>
        <v>3</v>
      </c>
      <c r="E416" t="s">
        <v>17</v>
      </c>
      <c r="F416" t="s">
        <v>14</v>
      </c>
      <c r="G416" t="s">
        <v>15</v>
      </c>
      <c r="H416" s="2">
        <v>70496</v>
      </c>
      <c r="I416" s="2">
        <v>0</v>
      </c>
      <c r="J416" s="2">
        <v>29799</v>
      </c>
      <c r="K416" s="2">
        <v>22806</v>
      </c>
      <c r="L416" s="2">
        <v>5</v>
      </c>
      <c r="M416" t="str">
        <f>IF(Revv_bike_sales_data[[#This Row],[delivery_days]]&lt;=7, "Yes", "No")</f>
        <v>Yes</v>
      </c>
      <c r="N416" t="s">
        <v>16</v>
      </c>
      <c r="O416" s="2">
        <v>6993</v>
      </c>
    </row>
    <row r="417" spans="1:15" x14ac:dyDescent="0.3">
      <c r="A417" s="2">
        <v>407</v>
      </c>
      <c r="B417" s="1">
        <v>44943.916666666664</v>
      </c>
      <c r="C417" s="1" t="str">
        <f t="shared" si="12"/>
        <v>01-2023</v>
      </c>
      <c r="D417" s="2">
        <f t="shared" si="13"/>
        <v>3</v>
      </c>
      <c r="E417" t="s">
        <v>25</v>
      </c>
      <c r="F417" t="s">
        <v>14</v>
      </c>
      <c r="G417" t="s">
        <v>20</v>
      </c>
      <c r="H417" s="2">
        <v>66388</v>
      </c>
      <c r="I417" s="2">
        <v>8</v>
      </c>
      <c r="J417" s="2">
        <v>137529</v>
      </c>
      <c r="K417" s="2">
        <v>15757</v>
      </c>
      <c r="L417" s="2">
        <v>2</v>
      </c>
      <c r="M417" t="str">
        <f>IF(Revv_bike_sales_data[[#This Row],[delivery_days]]&lt;=7, "Yes", "No")</f>
        <v>Yes</v>
      </c>
      <c r="N417" t="s">
        <v>16</v>
      </c>
      <c r="O417" s="2">
        <v>121772</v>
      </c>
    </row>
    <row r="418" spans="1:15" x14ac:dyDescent="0.3">
      <c r="A418" s="2">
        <v>408</v>
      </c>
      <c r="B418" s="1">
        <v>44943.958333333336</v>
      </c>
      <c r="C418" s="1" t="str">
        <f t="shared" si="12"/>
        <v>01-2023</v>
      </c>
      <c r="D418" s="2">
        <f t="shared" si="13"/>
        <v>3</v>
      </c>
      <c r="E418" t="s">
        <v>13</v>
      </c>
      <c r="F418" t="s">
        <v>14</v>
      </c>
      <c r="G418" t="s">
        <v>19</v>
      </c>
      <c r="H418" s="2">
        <v>56595</v>
      </c>
      <c r="I418" s="2">
        <v>3</v>
      </c>
      <c r="J418" s="2">
        <v>149713</v>
      </c>
      <c r="K418" s="2">
        <v>107246</v>
      </c>
      <c r="L418" s="2">
        <v>8</v>
      </c>
      <c r="M418" t="str">
        <f>IF(Revv_bike_sales_data[[#This Row],[delivery_days]]&lt;=7, "Yes", "No")</f>
        <v>No</v>
      </c>
      <c r="N418" t="s">
        <v>16</v>
      </c>
      <c r="O418" s="2">
        <v>42467</v>
      </c>
    </row>
    <row r="419" spans="1:15" x14ac:dyDescent="0.3">
      <c r="A419" s="2">
        <v>409</v>
      </c>
      <c r="B419" s="1">
        <v>44944</v>
      </c>
      <c r="C419" s="1" t="str">
        <f t="shared" si="12"/>
        <v>01-2023</v>
      </c>
      <c r="D419" s="2">
        <f t="shared" si="13"/>
        <v>3</v>
      </c>
      <c r="E419" t="s">
        <v>17</v>
      </c>
      <c r="F419" t="s">
        <v>23</v>
      </c>
      <c r="G419" t="s">
        <v>19</v>
      </c>
      <c r="H419" s="2">
        <v>65447</v>
      </c>
      <c r="I419" s="2">
        <v>3</v>
      </c>
      <c r="J419" s="2">
        <v>115141</v>
      </c>
      <c r="K419" s="2">
        <v>36470</v>
      </c>
      <c r="L419" s="2">
        <v>4</v>
      </c>
      <c r="M419" t="str">
        <f>IF(Revv_bike_sales_data[[#This Row],[delivery_days]]&lt;=7, "Yes", "No")</f>
        <v>Yes</v>
      </c>
      <c r="N419" t="s">
        <v>16</v>
      </c>
      <c r="O419" s="2">
        <v>78671</v>
      </c>
    </row>
    <row r="420" spans="1:15" x14ac:dyDescent="0.3">
      <c r="A420" s="2">
        <v>410</v>
      </c>
      <c r="B420" s="1">
        <v>44944.041666666664</v>
      </c>
      <c r="C420" s="1" t="str">
        <f t="shared" si="12"/>
        <v>01-2023</v>
      </c>
      <c r="D420" s="2">
        <f t="shared" si="13"/>
        <v>3</v>
      </c>
      <c r="E420" t="s">
        <v>13</v>
      </c>
      <c r="F420" t="s">
        <v>14</v>
      </c>
      <c r="G420" t="s">
        <v>20</v>
      </c>
      <c r="H420" s="2">
        <v>87622</v>
      </c>
      <c r="I420" s="2">
        <v>3</v>
      </c>
      <c r="J420" s="2">
        <v>140013</v>
      </c>
      <c r="K420" s="2">
        <v>21220</v>
      </c>
      <c r="L420" s="2">
        <v>1</v>
      </c>
      <c r="M420" t="str">
        <f>IF(Revv_bike_sales_data[[#This Row],[delivery_days]]&lt;=7, "Yes", "No")</f>
        <v>Yes</v>
      </c>
      <c r="N420" t="s">
        <v>16</v>
      </c>
      <c r="O420" s="2">
        <v>118793</v>
      </c>
    </row>
    <row r="421" spans="1:15" x14ac:dyDescent="0.3">
      <c r="A421" s="2">
        <v>411</v>
      </c>
      <c r="B421" s="1">
        <v>44944.083333333336</v>
      </c>
      <c r="C421" s="1" t="str">
        <f t="shared" si="12"/>
        <v>01-2023</v>
      </c>
      <c r="D421" s="2">
        <f t="shared" si="13"/>
        <v>3</v>
      </c>
      <c r="E421" t="s">
        <v>22</v>
      </c>
      <c r="F421" t="s">
        <v>23</v>
      </c>
      <c r="G421" t="s">
        <v>21</v>
      </c>
      <c r="H421" s="2">
        <v>71380</v>
      </c>
      <c r="I421" s="2">
        <v>9</v>
      </c>
      <c r="J421" s="2">
        <v>56668</v>
      </c>
      <c r="K421" s="2">
        <v>123408</v>
      </c>
      <c r="L421" s="2">
        <v>10</v>
      </c>
      <c r="M421" t="str">
        <f>IF(Revv_bike_sales_data[[#This Row],[delivery_days]]&lt;=7, "Yes", "No")</f>
        <v>No</v>
      </c>
      <c r="N421" t="s">
        <v>16</v>
      </c>
      <c r="O421" s="2">
        <v>-66740</v>
      </c>
    </row>
    <row r="422" spans="1:15" x14ac:dyDescent="0.3">
      <c r="A422" s="2">
        <v>412</v>
      </c>
      <c r="B422" s="1">
        <v>44944.125</v>
      </c>
      <c r="C422" s="1" t="str">
        <f t="shared" si="12"/>
        <v>01-2023</v>
      </c>
      <c r="D422" s="2">
        <f t="shared" si="13"/>
        <v>3</v>
      </c>
      <c r="E422" t="s">
        <v>22</v>
      </c>
      <c r="F422" t="s">
        <v>14</v>
      </c>
      <c r="G422" t="s">
        <v>15</v>
      </c>
      <c r="H422" s="2">
        <v>5007</v>
      </c>
      <c r="I422" s="2">
        <v>8</v>
      </c>
      <c r="J422" s="2">
        <v>160183</v>
      </c>
      <c r="K422" s="2">
        <v>106851</v>
      </c>
      <c r="L422" s="2">
        <v>7</v>
      </c>
      <c r="M422" t="str">
        <f>IF(Revv_bike_sales_data[[#This Row],[delivery_days]]&lt;=7, "Yes", "No")</f>
        <v>Yes</v>
      </c>
      <c r="N422" t="s">
        <v>24</v>
      </c>
      <c r="O422" s="2">
        <v>53332</v>
      </c>
    </row>
    <row r="423" spans="1:15" x14ac:dyDescent="0.3">
      <c r="A423" s="2">
        <v>413</v>
      </c>
      <c r="B423" s="1">
        <v>44944.166666666664</v>
      </c>
      <c r="C423" s="1" t="str">
        <f t="shared" si="12"/>
        <v>01-2023</v>
      </c>
      <c r="D423" s="2">
        <f t="shared" si="13"/>
        <v>3</v>
      </c>
      <c r="E423" t="s">
        <v>17</v>
      </c>
      <c r="F423" t="s">
        <v>23</v>
      </c>
      <c r="G423" t="s">
        <v>20</v>
      </c>
      <c r="H423" s="2">
        <v>44488</v>
      </c>
      <c r="I423" s="2">
        <v>5</v>
      </c>
      <c r="J423" s="2">
        <v>97392</v>
      </c>
      <c r="K423" s="2">
        <v>69754</v>
      </c>
      <c r="L423" s="2">
        <v>12</v>
      </c>
      <c r="M423" t="str">
        <f>IF(Revv_bike_sales_data[[#This Row],[delivery_days]]&lt;=7, "Yes", "No")</f>
        <v>No</v>
      </c>
      <c r="N423" t="s">
        <v>16</v>
      </c>
      <c r="O423" s="2">
        <v>27638</v>
      </c>
    </row>
    <row r="424" spans="1:15" x14ac:dyDescent="0.3">
      <c r="A424" s="2">
        <v>414</v>
      </c>
      <c r="B424" s="1">
        <v>44944.208333333336</v>
      </c>
      <c r="C424" s="1" t="str">
        <f t="shared" si="12"/>
        <v>01-2023</v>
      </c>
      <c r="D424" s="2">
        <f t="shared" si="13"/>
        <v>3</v>
      </c>
      <c r="E424" t="s">
        <v>13</v>
      </c>
      <c r="F424" t="s">
        <v>14</v>
      </c>
      <c r="G424" t="s">
        <v>20</v>
      </c>
      <c r="H424" s="2">
        <v>98921</v>
      </c>
      <c r="I424" s="2">
        <v>7</v>
      </c>
      <c r="J424" s="2">
        <v>41490</v>
      </c>
      <c r="K424" s="2">
        <v>108329</v>
      </c>
      <c r="L424" s="2">
        <v>11</v>
      </c>
      <c r="M424" t="str">
        <f>IF(Revv_bike_sales_data[[#This Row],[delivery_days]]&lt;=7, "Yes", "No")</f>
        <v>No</v>
      </c>
      <c r="N424" t="s">
        <v>16</v>
      </c>
      <c r="O424" s="2">
        <v>-66839</v>
      </c>
    </row>
    <row r="425" spans="1:15" x14ac:dyDescent="0.3">
      <c r="A425" s="2">
        <v>415</v>
      </c>
      <c r="B425" s="1">
        <v>44944.25</v>
      </c>
      <c r="C425" s="1" t="str">
        <f t="shared" si="12"/>
        <v>01-2023</v>
      </c>
      <c r="D425" s="2">
        <f t="shared" si="13"/>
        <v>3</v>
      </c>
      <c r="E425" t="s">
        <v>25</v>
      </c>
      <c r="F425" t="s">
        <v>23</v>
      </c>
      <c r="G425" t="s">
        <v>20</v>
      </c>
      <c r="H425" s="2">
        <v>17365</v>
      </c>
      <c r="I425" s="2">
        <v>3</v>
      </c>
      <c r="J425" s="2">
        <v>170569</v>
      </c>
      <c r="K425" s="2">
        <v>94852</v>
      </c>
      <c r="L425" s="2">
        <v>2</v>
      </c>
      <c r="M425" t="str">
        <f>IF(Revv_bike_sales_data[[#This Row],[delivery_days]]&lt;=7, "Yes", "No")</f>
        <v>Yes</v>
      </c>
      <c r="N425" t="s">
        <v>16</v>
      </c>
      <c r="O425" s="2">
        <v>75717</v>
      </c>
    </row>
    <row r="426" spans="1:15" x14ac:dyDescent="0.3">
      <c r="A426" s="2">
        <v>416</v>
      </c>
      <c r="B426" s="1">
        <v>44944.291666666664</v>
      </c>
      <c r="C426" s="1" t="str">
        <f t="shared" si="12"/>
        <v>01-2023</v>
      </c>
      <c r="D426" s="2">
        <f t="shared" si="13"/>
        <v>3</v>
      </c>
      <c r="E426" t="s">
        <v>17</v>
      </c>
      <c r="F426" t="s">
        <v>23</v>
      </c>
      <c r="G426" t="s">
        <v>21</v>
      </c>
      <c r="H426" s="2">
        <v>27713</v>
      </c>
      <c r="I426" s="2">
        <v>2</v>
      </c>
      <c r="J426" s="2">
        <v>142219</v>
      </c>
      <c r="K426" s="2">
        <v>122630</v>
      </c>
      <c r="L426" s="2">
        <v>3</v>
      </c>
      <c r="M426" t="str">
        <f>IF(Revv_bike_sales_data[[#This Row],[delivery_days]]&lt;=7, "Yes", "No")</f>
        <v>Yes</v>
      </c>
      <c r="N426" t="s">
        <v>16</v>
      </c>
      <c r="O426" s="2">
        <v>19589</v>
      </c>
    </row>
    <row r="427" spans="1:15" x14ac:dyDescent="0.3">
      <c r="A427" s="2">
        <v>417</v>
      </c>
      <c r="B427" s="1">
        <v>44944.333333333336</v>
      </c>
      <c r="C427" s="1" t="str">
        <f t="shared" si="12"/>
        <v>01-2023</v>
      </c>
      <c r="D427" s="2">
        <f t="shared" si="13"/>
        <v>3</v>
      </c>
      <c r="E427" t="s">
        <v>22</v>
      </c>
      <c r="F427" t="s">
        <v>14</v>
      </c>
      <c r="G427" t="s">
        <v>21</v>
      </c>
      <c r="H427" s="2">
        <v>56454</v>
      </c>
      <c r="I427" s="2">
        <v>0</v>
      </c>
      <c r="J427" s="2">
        <v>69104</v>
      </c>
      <c r="K427" s="2">
        <v>37505</v>
      </c>
      <c r="L427" s="2">
        <v>14</v>
      </c>
      <c r="M427" t="str">
        <f>IF(Revv_bike_sales_data[[#This Row],[delivery_days]]&lt;=7, "Yes", "No")</f>
        <v>No</v>
      </c>
      <c r="N427" t="s">
        <v>16</v>
      </c>
      <c r="O427" s="2">
        <v>31599</v>
      </c>
    </row>
    <row r="428" spans="1:15" x14ac:dyDescent="0.3">
      <c r="A428" s="2">
        <v>418</v>
      </c>
      <c r="B428" s="1">
        <v>44944.375</v>
      </c>
      <c r="C428" s="1" t="str">
        <f t="shared" si="12"/>
        <v>01-2023</v>
      </c>
      <c r="D428" s="2">
        <f t="shared" si="13"/>
        <v>3</v>
      </c>
      <c r="E428" t="s">
        <v>22</v>
      </c>
      <c r="F428" t="s">
        <v>23</v>
      </c>
      <c r="G428" t="s">
        <v>21</v>
      </c>
      <c r="H428" s="2">
        <v>57950</v>
      </c>
      <c r="I428" s="2">
        <v>9</v>
      </c>
      <c r="J428" s="2">
        <v>30316</v>
      </c>
      <c r="K428" s="2">
        <v>43288</v>
      </c>
      <c r="L428" s="2">
        <v>9</v>
      </c>
      <c r="M428" t="str">
        <f>IF(Revv_bike_sales_data[[#This Row],[delivery_days]]&lt;=7, "Yes", "No")</f>
        <v>No</v>
      </c>
      <c r="N428" t="s">
        <v>16</v>
      </c>
      <c r="O428" s="2">
        <v>-12972</v>
      </c>
    </row>
    <row r="429" spans="1:15" x14ac:dyDescent="0.3">
      <c r="A429" s="2">
        <v>419</v>
      </c>
      <c r="B429" s="1">
        <v>44944.416666666664</v>
      </c>
      <c r="C429" s="1" t="str">
        <f t="shared" si="12"/>
        <v>01-2023</v>
      </c>
      <c r="D429" s="2">
        <f t="shared" si="13"/>
        <v>3</v>
      </c>
      <c r="E429" t="s">
        <v>17</v>
      </c>
      <c r="F429" t="s">
        <v>14</v>
      </c>
      <c r="G429" t="s">
        <v>15</v>
      </c>
      <c r="H429" s="2">
        <v>4977</v>
      </c>
      <c r="I429" s="2">
        <v>6</v>
      </c>
      <c r="J429" s="2">
        <v>63130</v>
      </c>
      <c r="K429" s="2">
        <v>89492</v>
      </c>
      <c r="L429" s="2">
        <v>13</v>
      </c>
      <c r="M429" t="str">
        <f>IF(Revv_bike_sales_data[[#This Row],[delivery_days]]&lt;=7, "Yes", "No")</f>
        <v>No</v>
      </c>
      <c r="N429" t="s">
        <v>16</v>
      </c>
      <c r="O429" s="2">
        <v>-26362</v>
      </c>
    </row>
    <row r="430" spans="1:15" x14ac:dyDescent="0.3">
      <c r="A430" s="2">
        <v>420</v>
      </c>
      <c r="B430" s="1">
        <v>44944.458333333336</v>
      </c>
      <c r="C430" s="1" t="str">
        <f t="shared" si="12"/>
        <v>01-2023</v>
      </c>
      <c r="D430" s="2">
        <f t="shared" si="13"/>
        <v>3</v>
      </c>
      <c r="E430" t="s">
        <v>13</v>
      </c>
      <c r="F430" t="s">
        <v>14</v>
      </c>
      <c r="G430" t="s">
        <v>19</v>
      </c>
      <c r="H430" s="2">
        <v>62722</v>
      </c>
      <c r="I430" s="2">
        <v>3</v>
      </c>
      <c r="J430" s="2">
        <v>132294</v>
      </c>
      <c r="K430" s="2">
        <v>34109</v>
      </c>
      <c r="L430" s="2">
        <v>9</v>
      </c>
      <c r="M430" t="str">
        <f>IF(Revv_bike_sales_data[[#This Row],[delivery_days]]&lt;=7, "Yes", "No")</f>
        <v>No</v>
      </c>
      <c r="N430" t="s">
        <v>16</v>
      </c>
      <c r="O430" s="2">
        <v>98185</v>
      </c>
    </row>
    <row r="431" spans="1:15" x14ac:dyDescent="0.3">
      <c r="A431" s="2">
        <v>421</v>
      </c>
      <c r="B431" s="1">
        <v>44944.5</v>
      </c>
      <c r="C431" s="1" t="str">
        <f t="shared" si="12"/>
        <v>01-2023</v>
      </c>
      <c r="D431" s="2">
        <f t="shared" si="13"/>
        <v>3</v>
      </c>
      <c r="E431" t="s">
        <v>22</v>
      </c>
      <c r="F431" t="s">
        <v>14</v>
      </c>
      <c r="G431" t="s">
        <v>15</v>
      </c>
      <c r="H431" s="2">
        <v>7033</v>
      </c>
      <c r="I431" s="2">
        <v>7</v>
      </c>
      <c r="J431" s="2">
        <v>54954</v>
      </c>
      <c r="K431" s="2">
        <v>133056</v>
      </c>
      <c r="L431" s="2">
        <v>2</v>
      </c>
      <c r="M431" t="str">
        <f>IF(Revv_bike_sales_data[[#This Row],[delivery_days]]&lt;=7, "Yes", "No")</f>
        <v>Yes</v>
      </c>
      <c r="N431" t="s">
        <v>16</v>
      </c>
      <c r="O431" s="2">
        <v>-78102</v>
      </c>
    </row>
    <row r="432" spans="1:15" x14ac:dyDescent="0.3">
      <c r="A432" s="2">
        <v>422</v>
      </c>
      <c r="B432" s="1">
        <v>44944.541666666664</v>
      </c>
      <c r="C432" s="1" t="str">
        <f t="shared" si="12"/>
        <v>01-2023</v>
      </c>
      <c r="D432" s="2">
        <f t="shared" si="13"/>
        <v>3</v>
      </c>
      <c r="E432" t="s">
        <v>13</v>
      </c>
      <c r="F432" t="s">
        <v>14</v>
      </c>
      <c r="G432" t="s">
        <v>21</v>
      </c>
      <c r="H432" s="2">
        <v>49895</v>
      </c>
      <c r="I432" s="2">
        <v>2</v>
      </c>
      <c r="J432" s="2">
        <v>138437</v>
      </c>
      <c r="K432" s="2">
        <v>18497</v>
      </c>
      <c r="L432" s="2">
        <v>3</v>
      </c>
      <c r="M432" t="str">
        <f>IF(Revv_bike_sales_data[[#This Row],[delivery_days]]&lt;=7, "Yes", "No")</f>
        <v>Yes</v>
      </c>
      <c r="N432" t="s">
        <v>16</v>
      </c>
      <c r="O432" s="2">
        <v>119940</v>
      </c>
    </row>
    <row r="433" spans="1:15" x14ac:dyDescent="0.3">
      <c r="A433" s="2">
        <v>423</v>
      </c>
      <c r="B433" s="1">
        <v>44944.583333333336</v>
      </c>
      <c r="C433" s="1" t="str">
        <f t="shared" si="12"/>
        <v>01-2023</v>
      </c>
      <c r="D433" s="2">
        <f t="shared" si="13"/>
        <v>3</v>
      </c>
      <c r="E433" t="s">
        <v>22</v>
      </c>
      <c r="F433" t="s">
        <v>14</v>
      </c>
      <c r="G433" t="s">
        <v>19</v>
      </c>
      <c r="H433" s="2">
        <v>23896</v>
      </c>
      <c r="I433" s="2">
        <v>0</v>
      </c>
      <c r="J433" s="2">
        <v>177724</v>
      </c>
      <c r="K433" s="2">
        <v>72326</v>
      </c>
      <c r="L433" s="2">
        <v>11</v>
      </c>
      <c r="M433" t="str">
        <f>IF(Revv_bike_sales_data[[#This Row],[delivery_days]]&lt;=7, "Yes", "No")</f>
        <v>No</v>
      </c>
      <c r="N433" t="s">
        <v>16</v>
      </c>
      <c r="O433" s="2">
        <v>105398</v>
      </c>
    </row>
    <row r="434" spans="1:15" x14ac:dyDescent="0.3">
      <c r="A434" s="2">
        <v>424</v>
      </c>
      <c r="B434" s="1">
        <v>44944.625</v>
      </c>
      <c r="C434" s="1" t="str">
        <f t="shared" si="12"/>
        <v>01-2023</v>
      </c>
      <c r="D434" s="2">
        <f t="shared" si="13"/>
        <v>3</v>
      </c>
      <c r="E434" t="s">
        <v>22</v>
      </c>
      <c r="F434" t="s">
        <v>14</v>
      </c>
      <c r="G434" t="s">
        <v>19</v>
      </c>
      <c r="H434" s="2">
        <v>13255</v>
      </c>
      <c r="I434" s="2">
        <v>4</v>
      </c>
      <c r="J434" s="2">
        <v>170250</v>
      </c>
      <c r="K434" s="2">
        <v>24864</v>
      </c>
      <c r="L434" s="2">
        <v>12</v>
      </c>
      <c r="M434" t="str">
        <f>IF(Revv_bike_sales_data[[#This Row],[delivery_days]]&lt;=7, "Yes", "No")</f>
        <v>No</v>
      </c>
      <c r="N434" t="s">
        <v>16</v>
      </c>
      <c r="O434" s="2">
        <v>145386</v>
      </c>
    </row>
    <row r="435" spans="1:15" x14ac:dyDescent="0.3">
      <c r="A435" s="2">
        <v>425</v>
      </c>
      <c r="B435" s="1">
        <v>44944.666666666664</v>
      </c>
      <c r="C435" s="1" t="str">
        <f t="shared" si="12"/>
        <v>01-2023</v>
      </c>
      <c r="D435" s="2">
        <f t="shared" si="13"/>
        <v>3</v>
      </c>
      <c r="E435" t="s">
        <v>18</v>
      </c>
      <c r="F435" t="s">
        <v>23</v>
      </c>
      <c r="G435" t="s">
        <v>21</v>
      </c>
      <c r="H435" s="2">
        <v>1365</v>
      </c>
      <c r="I435" s="2">
        <v>1</v>
      </c>
      <c r="J435" s="2">
        <v>170823</v>
      </c>
      <c r="K435" s="2">
        <v>112046</v>
      </c>
      <c r="L435" s="2">
        <v>9</v>
      </c>
      <c r="M435" t="str">
        <f>IF(Revv_bike_sales_data[[#This Row],[delivery_days]]&lt;=7, "Yes", "No")</f>
        <v>No</v>
      </c>
      <c r="N435" t="s">
        <v>16</v>
      </c>
      <c r="O435" s="2">
        <v>58777</v>
      </c>
    </row>
    <row r="436" spans="1:15" x14ac:dyDescent="0.3">
      <c r="A436" s="2">
        <v>426</v>
      </c>
      <c r="B436" s="1">
        <v>44944.708333333336</v>
      </c>
      <c r="C436" s="1" t="str">
        <f t="shared" si="12"/>
        <v>01-2023</v>
      </c>
      <c r="D436" s="2">
        <f t="shared" si="13"/>
        <v>3</v>
      </c>
      <c r="E436" t="s">
        <v>22</v>
      </c>
      <c r="F436" t="s">
        <v>14</v>
      </c>
      <c r="G436" t="s">
        <v>21</v>
      </c>
      <c r="H436" s="2">
        <v>11673</v>
      </c>
      <c r="I436" s="2">
        <v>2</v>
      </c>
      <c r="J436" s="2">
        <v>159116</v>
      </c>
      <c r="K436" s="2">
        <v>108517</v>
      </c>
      <c r="L436" s="2">
        <v>1</v>
      </c>
      <c r="M436" t="str">
        <f>IF(Revv_bike_sales_data[[#This Row],[delivery_days]]&lt;=7, "Yes", "No")</f>
        <v>Yes</v>
      </c>
      <c r="N436" t="s">
        <v>16</v>
      </c>
      <c r="O436" s="2">
        <v>50599</v>
      </c>
    </row>
    <row r="437" spans="1:15" x14ac:dyDescent="0.3">
      <c r="A437" s="2">
        <v>427</v>
      </c>
      <c r="B437" s="1">
        <v>44944.75</v>
      </c>
      <c r="C437" s="1" t="str">
        <f t="shared" si="12"/>
        <v>01-2023</v>
      </c>
      <c r="D437" s="2">
        <f t="shared" si="13"/>
        <v>3</v>
      </c>
      <c r="E437" t="s">
        <v>25</v>
      </c>
      <c r="F437" t="s">
        <v>14</v>
      </c>
      <c r="G437" t="s">
        <v>15</v>
      </c>
      <c r="H437" s="2">
        <v>59405</v>
      </c>
      <c r="I437" s="2">
        <v>5</v>
      </c>
      <c r="J437" s="2">
        <v>88165</v>
      </c>
      <c r="K437" s="2">
        <v>102562</v>
      </c>
      <c r="L437" s="2">
        <v>2</v>
      </c>
      <c r="M437" t="str">
        <f>IF(Revv_bike_sales_data[[#This Row],[delivery_days]]&lt;=7, "Yes", "No")</f>
        <v>Yes</v>
      </c>
      <c r="N437" t="s">
        <v>16</v>
      </c>
      <c r="O437" s="2">
        <v>-14397</v>
      </c>
    </row>
    <row r="438" spans="1:15" x14ac:dyDescent="0.3">
      <c r="A438" s="2">
        <v>428</v>
      </c>
      <c r="B438" s="1">
        <v>44944.791666666664</v>
      </c>
      <c r="C438" s="1" t="str">
        <f t="shared" si="12"/>
        <v>01-2023</v>
      </c>
      <c r="D438" s="2">
        <f t="shared" si="13"/>
        <v>3</v>
      </c>
      <c r="E438" t="s">
        <v>17</v>
      </c>
      <c r="F438" t="s">
        <v>23</v>
      </c>
      <c r="G438" t="s">
        <v>21</v>
      </c>
      <c r="H438" s="2">
        <v>38597</v>
      </c>
      <c r="I438" s="2">
        <v>2</v>
      </c>
      <c r="J438" s="2">
        <v>167552</v>
      </c>
      <c r="K438" s="2">
        <v>89310</v>
      </c>
      <c r="L438" s="2">
        <v>11</v>
      </c>
      <c r="M438" t="str">
        <f>IF(Revv_bike_sales_data[[#This Row],[delivery_days]]&lt;=7, "Yes", "No")</f>
        <v>No</v>
      </c>
      <c r="N438" t="s">
        <v>16</v>
      </c>
      <c r="O438" s="2">
        <v>78242</v>
      </c>
    </row>
    <row r="439" spans="1:15" x14ac:dyDescent="0.3">
      <c r="A439" s="2">
        <v>429</v>
      </c>
      <c r="B439" s="1">
        <v>44944.833333333336</v>
      </c>
      <c r="C439" s="1" t="str">
        <f t="shared" si="12"/>
        <v>01-2023</v>
      </c>
      <c r="D439" s="2">
        <f t="shared" si="13"/>
        <v>3</v>
      </c>
      <c r="E439" t="s">
        <v>17</v>
      </c>
      <c r="F439" t="s">
        <v>23</v>
      </c>
      <c r="G439" t="s">
        <v>19</v>
      </c>
      <c r="H439" s="2">
        <v>33871</v>
      </c>
      <c r="I439" s="2">
        <v>2</v>
      </c>
      <c r="J439" s="2">
        <v>91775</v>
      </c>
      <c r="K439" s="2">
        <v>134454</v>
      </c>
      <c r="L439" s="2">
        <v>2</v>
      </c>
      <c r="M439" t="str">
        <f>IF(Revv_bike_sales_data[[#This Row],[delivery_days]]&lt;=7, "Yes", "No")</f>
        <v>Yes</v>
      </c>
      <c r="N439" t="s">
        <v>16</v>
      </c>
      <c r="O439" s="2">
        <v>-42679</v>
      </c>
    </row>
    <row r="440" spans="1:15" x14ac:dyDescent="0.3">
      <c r="A440" s="2">
        <v>430</v>
      </c>
      <c r="B440" s="1">
        <v>44944.875</v>
      </c>
      <c r="C440" s="1" t="str">
        <f t="shared" si="12"/>
        <v>01-2023</v>
      </c>
      <c r="D440" s="2">
        <f t="shared" si="13"/>
        <v>3</v>
      </c>
      <c r="E440" t="s">
        <v>13</v>
      </c>
      <c r="F440" t="s">
        <v>23</v>
      </c>
      <c r="G440" t="s">
        <v>20</v>
      </c>
      <c r="H440" s="2">
        <v>11754</v>
      </c>
      <c r="I440" s="2">
        <v>5</v>
      </c>
      <c r="J440" s="2">
        <v>162638</v>
      </c>
      <c r="K440" s="2">
        <v>127343</v>
      </c>
      <c r="L440" s="2">
        <v>10</v>
      </c>
      <c r="M440" t="str">
        <f>IF(Revv_bike_sales_data[[#This Row],[delivery_days]]&lt;=7, "Yes", "No")</f>
        <v>No</v>
      </c>
      <c r="N440" t="s">
        <v>16</v>
      </c>
      <c r="O440" s="2">
        <v>35295</v>
      </c>
    </row>
    <row r="441" spans="1:15" x14ac:dyDescent="0.3">
      <c r="A441" s="2">
        <v>431</v>
      </c>
      <c r="B441" s="1">
        <v>44944.916666666664</v>
      </c>
      <c r="C441" s="1" t="str">
        <f t="shared" si="12"/>
        <v>01-2023</v>
      </c>
      <c r="D441" s="2">
        <f t="shared" si="13"/>
        <v>3</v>
      </c>
      <c r="E441" t="s">
        <v>22</v>
      </c>
      <c r="F441" t="s">
        <v>14</v>
      </c>
      <c r="G441" t="s">
        <v>21</v>
      </c>
      <c r="H441" s="2">
        <v>4518</v>
      </c>
      <c r="I441" s="2">
        <v>4</v>
      </c>
      <c r="J441" s="2">
        <v>110311</v>
      </c>
      <c r="K441" s="2">
        <v>36017</v>
      </c>
      <c r="L441" s="2">
        <v>14</v>
      </c>
      <c r="M441" t="str">
        <f>IF(Revv_bike_sales_data[[#This Row],[delivery_days]]&lt;=7, "Yes", "No")</f>
        <v>No</v>
      </c>
      <c r="N441" t="s">
        <v>16</v>
      </c>
      <c r="O441" s="2">
        <v>74294</v>
      </c>
    </row>
    <row r="442" spans="1:15" x14ac:dyDescent="0.3">
      <c r="A442" s="2">
        <v>432</v>
      </c>
      <c r="B442" s="1">
        <v>44944.958333333336</v>
      </c>
      <c r="C442" s="1" t="str">
        <f t="shared" si="12"/>
        <v>01-2023</v>
      </c>
      <c r="D442" s="2">
        <f t="shared" si="13"/>
        <v>3</v>
      </c>
      <c r="E442" t="s">
        <v>25</v>
      </c>
      <c r="F442" t="s">
        <v>23</v>
      </c>
      <c r="G442" t="s">
        <v>21</v>
      </c>
      <c r="H442" s="2">
        <v>5692</v>
      </c>
      <c r="I442" s="2">
        <v>9</v>
      </c>
      <c r="J442" s="2">
        <v>78149</v>
      </c>
      <c r="K442" s="2">
        <v>16821</v>
      </c>
      <c r="L442" s="2">
        <v>3</v>
      </c>
      <c r="M442" t="str">
        <f>IF(Revv_bike_sales_data[[#This Row],[delivery_days]]&lt;=7, "Yes", "No")</f>
        <v>Yes</v>
      </c>
      <c r="N442" t="s">
        <v>16</v>
      </c>
      <c r="O442" s="2">
        <v>61328</v>
      </c>
    </row>
    <row r="443" spans="1:15" x14ac:dyDescent="0.3">
      <c r="A443" s="2">
        <v>433</v>
      </c>
      <c r="B443" s="1">
        <v>44945</v>
      </c>
      <c r="C443" s="1" t="str">
        <f t="shared" si="12"/>
        <v>01-2023</v>
      </c>
      <c r="D443" s="2">
        <f t="shared" si="13"/>
        <v>3</v>
      </c>
      <c r="E443" t="s">
        <v>13</v>
      </c>
      <c r="F443" t="s">
        <v>14</v>
      </c>
      <c r="G443" t="s">
        <v>15</v>
      </c>
      <c r="H443" s="2">
        <v>2515</v>
      </c>
      <c r="I443" s="2">
        <v>8</v>
      </c>
      <c r="J443" s="2">
        <v>159078</v>
      </c>
      <c r="K443" s="2">
        <v>65337</v>
      </c>
      <c r="L443" s="2">
        <v>10</v>
      </c>
      <c r="M443" t="str">
        <f>IF(Revv_bike_sales_data[[#This Row],[delivery_days]]&lt;=7, "Yes", "No")</f>
        <v>No</v>
      </c>
      <c r="N443" t="s">
        <v>16</v>
      </c>
      <c r="O443" s="2">
        <v>93741</v>
      </c>
    </row>
    <row r="444" spans="1:15" x14ac:dyDescent="0.3">
      <c r="A444" s="2">
        <v>434</v>
      </c>
      <c r="B444" s="1">
        <v>44945.041666666664</v>
      </c>
      <c r="C444" s="1" t="str">
        <f t="shared" si="12"/>
        <v>01-2023</v>
      </c>
      <c r="D444" s="2">
        <f t="shared" si="13"/>
        <v>3</v>
      </c>
      <c r="E444" t="s">
        <v>18</v>
      </c>
      <c r="F444" t="s">
        <v>14</v>
      </c>
      <c r="G444" t="s">
        <v>15</v>
      </c>
      <c r="H444" s="2">
        <v>69416</v>
      </c>
      <c r="I444" s="2">
        <v>0</v>
      </c>
      <c r="J444" s="2">
        <v>97561</v>
      </c>
      <c r="K444" s="2">
        <v>60485</v>
      </c>
      <c r="L444" s="2">
        <v>3</v>
      </c>
      <c r="M444" t="str">
        <f>IF(Revv_bike_sales_data[[#This Row],[delivery_days]]&lt;=7, "Yes", "No")</f>
        <v>Yes</v>
      </c>
      <c r="N444" t="s">
        <v>16</v>
      </c>
      <c r="O444" s="2">
        <v>37076</v>
      </c>
    </row>
    <row r="445" spans="1:15" x14ac:dyDescent="0.3">
      <c r="A445" s="2">
        <v>435</v>
      </c>
      <c r="B445" s="1">
        <v>44945.083333333336</v>
      </c>
      <c r="C445" s="1" t="str">
        <f t="shared" si="12"/>
        <v>01-2023</v>
      </c>
      <c r="D445" s="2">
        <f t="shared" si="13"/>
        <v>3</v>
      </c>
      <c r="E445" t="s">
        <v>13</v>
      </c>
      <c r="F445" t="s">
        <v>14</v>
      </c>
      <c r="G445" t="s">
        <v>21</v>
      </c>
      <c r="H445" s="2">
        <v>28843</v>
      </c>
      <c r="I445" s="2">
        <v>2</v>
      </c>
      <c r="J445" s="2">
        <v>175495</v>
      </c>
      <c r="K445" s="2">
        <v>98557</v>
      </c>
      <c r="L445" s="2">
        <v>10</v>
      </c>
      <c r="M445" t="str">
        <f>IF(Revv_bike_sales_data[[#This Row],[delivery_days]]&lt;=7, "Yes", "No")</f>
        <v>No</v>
      </c>
      <c r="N445" t="s">
        <v>16</v>
      </c>
      <c r="O445" s="2">
        <v>76938</v>
      </c>
    </row>
    <row r="446" spans="1:15" x14ac:dyDescent="0.3">
      <c r="A446" s="2">
        <v>436</v>
      </c>
      <c r="B446" s="1">
        <v>44945.125</v>
      </c>
      <c r="C446" s="1" t="str">
        <f t="shared" si="12"/>
        <v>01-2023</v>
      </c>
      <c r="D446" s="2">
        <f t="shared" si="13"/>
        <v>3</v>
      </c>
      <c r="E446" t="s">
        <v>13</v>
      </c>
      <c r="F446" t="s">
        <v>14</v>
      </c>
      <c r="G446" t="s">
        <v>19</v>
      </c>
      <c r="H446" s="2">
        <v>69806</v>
      </c>
      <c r="I446" s="2">
        <v>2</v>
      </c>
      <c r="J446" s="2">
        <v>115710</v>
      </c>
      <c r="K446" s="2">
        <v>71388</v>
      </c>
      <c r="L446" s="2">
        <v>13</v>
      </c>
      <c r="M446" t="str">
        <f>IF(Revv_bike_sales_data[[#This Row],[delivery_days]]&lt;=7, "Yes", "No")</f>
        <v>No</v>
      </c>
      <c r="N446" t="s">
        <v>16</v>
      </c>
      <c r="O446" s="2">
        <v>44322</v>
      </c>
    </row>
    <row r="447" spans="1:15" x14ac:dyDescent="0.3">
      <c r="A447" s="2">
        <v>437</v>
      </c>
      <c r="B447" s="1">
        <v>44945.166666666664</v>
      </c>
      <c r="C447" s="1" t="str">
        <f t="shared" si="12"/>
        <v>01-2023</v>
      </c>
      <c r="D447" s="2">
        <f t="shared" si="13"/>
        <v>3</v>
      </c>
      <c r="E447" t="s">
        <v>22</v>
      </c>
      <c r="F447" t="s">
        <v>14</v>
      </c>
      <c r="G447" t="s">
        <v>19</v>
      </c>
      <c r="H447" s="2">
        <v>6329</v>
      </c>
      <c r="I447" s="2">
        <v>5</v>
      </c>
      <c r="J447" s="2">
        <v>117199</v>
      </c>
      <c r="K447" s="2">
        <v>25372</v>
      </c>
      <c r="L447" s="2">
        <v>2</v>
      </c>
      <c r="M447" t="str">
        <f>IF(Revv_bike_sales_data[[#This Row],[delivery_days]]&lt;=7, "Yes", "No")</f>
        <v>Yes</v>
      </c>
      <c r="N447" t="s">
        <v>16</v>
      </c>
      <c r="O447" s="2">
        <v>91827</v>
      </c>
    </row>
    <row r="448" spans="1:15" x14ac:dyDescent="0.3">
      <c r="A448" s="2">
        <v>438</v>
      </c>
      <c r="B448" s="1">
        <v>44945.208333333336</v>
      </c>
      <c r="C448" s="1" t="str">
        <f t="shared" si="12"/>
        <v>01-2023</v>
      </c>
      <c r="D448" s="2">
        <f t="shared" si="13"/>
        <v>3</v>
      </c>
      <c r="E448" t="s">
        <v>18</v>
      </c>
      <c r="F448" t="s">
        <v>14</v>
      </c>
      <c r="G448" t="s">
        <v>20</v>
      </c>
      <c r="H448" s="2">
        <v>34881</v>
      </c>
      <c r="I448" s="2">
        <v>7</v>
      </c>
      <c r="J448" s="2">
        <v>52326</v>
      </c>
      <c r="K448" s="2">
        <v>121684</v>
      </c>
      <c r="L448" s="2">
        <v>8</v>
      </c>
      <c r="M448" t="str">
        <f>IF(Revv_bike_sales_data[[#This Row],[delivery_days]]&lt;=7, "Yes", "No")</f>
        <v>No</v>
      </c>
      <c r="N448" t="s">
        <v>24</v>
      </c>
      <c r="O448" s="2">
        <v>-69358</v>
      </c>
    </row>
    <row r="449" spans="1:15" x14ac:dyDescent="0.3">
      <c r="A449" s="2">
        <v>439</v>
      </c>
      <c r="B449" s="1">
        <v>44945.25</v>
      </c>
      <c r="C449" s="1" t="str">
        <f t="shared" si="12"/>
        <v>01-2023</v>
      </c>
      <c r="D449" s="2">
        <f t="shared" si="13"/>
        <v>3</v>
      </c>
      <c r="E449" t="s">
        <v>13</v>
      </c>
      <c r="F449" t="s">
        <v>14</v>
      </c>
      <c r="G449" t="s">
        <v>21</v>
      </c>
      <c r="H449" s="2">
        <v>81581</v>
      </c>
      <c r="I449" s="2">
        <v>2</v>
      </c>
      <c r="J449" s="2">
        <v>142272</v>
      </c>
      <c r="K449" s="2">
        <v>115050</v>
      </c>
      <c r="L449" s="2">
        <v>8</v>
      </c>
      <c r="M449" t="str">
        <f>IF(Revv_bike_sales_data[[#This Row],[delivery_days]]&lt;=7, "Yes", "No")</f>
        <v>No</v>
      </c>
      <c r="N449" t="s">
        <v>16</v>
      </c>
      <c r="O449" s="2">
        <v>27222</v>
      </c>
    </row>
    <row r="450" spans="1:15" x14ac:dyDescent="0.3">
      <c r="A450" s="2">
        <v>440</v>
      </c>
      <c r="B450" s="1">
        <v>44945.291666666664</v>
      </c>
      <c r="C450" s="1" t="str">
        <f t="shared" si="12"/>
        <v>01-2023</v>
      </c>
      <c r="D450" s="2">
        <f t="shared" si="13"/>
        <v>3</v>
      </c>
      <c r="E450" t="s">
        <v>25</v>
      </c>
      <c r="F450" t="s">
        <v>14</v>
      </c>
      <c r="G450" t="s">
        <v>15</v>
      </c>
      <c r="H450" s="2">
        <v>18763</v>
      </c>
      <c r="I450" s="2">
        <v>2</v>
      </c>
      <c r="J450" s="2">
        <v>56139</v>
      </c>
      <c r="K450" s="2">
        <v>108938</v>
      </c>
      <c r="L450" s="2">
        <v>8</v>
      </c>
      <c r="M450" t="str">
        <f>IF(Revv_bike_sales_data[[#This Row],[delivery_days]]&lt;=7, "Yes", "No")</f>
        <v>No</v>
      </c>
      <c r="N450" t="s">
        <v>16</v>
      </c>
      <c r="O450" s="2">
        <v>-52799</v>
      </c>
    </row>
    <row r="451" spans="1:15" x14ac:dyDescent="0.3">
      <c r="A451" s="2">
        <v>441</v>
      </c>
      <c r="B451" s="1">
        <v>44945.333333333336</v>
      </c>
      <c r="C451" s="1" t="str">
        <f t="shared" si="12"/>
        <v>01-2023</v>
      </c>
      <c r="D451" s="2">
        <f t="shared" si="13"/>
        <v>3</v>
      </c>
      <c r="E451" t="s">
        <v>25</v>
      </c>
      <c r="F451" t="s">
        <v>14</v>
      </c>
      <c r="G451" t="s">
        <v>19</v>
      </c>
      <c r="H451" s="2">
        <v>53760</v>
      </c>
      <c r="I451" s="2">
        <v>5</v>
      </c>
      <c r="J451" s="2">
        <v>98638</v>
      </c>
      <c r="K451" s="2">
        <v>86333</v>
      </c>
      <c r="L451" s="2">
        <v>2</v>
      </c>
      <c r="M451" t="str">
        <f>IF(Revv_bike_sales_data[[#This Row],[delivery_days]]&lt;=7, "Yes", "No")</f>
        <v>Yes</v>
      </c>
      <c r="N451" t="s">
        <v>16</v>
      </c>
      <c r="O451" s="2">
        <v>12305</v>
      </c>
    </row>
    <row r="452" spans="1:15" x14ac:dyDescent="0.3">
      <c r="A452" s="2">
        <v>442</v>
      </c>
      <c r="B452" s="1">
        <v>44945.375</v>
      </c>
      <c r="C452" s="1" t="str">
        <f t="shared" si="12"/>
        <v>01-2023</v>
      </c>
      <c r="D452" s="2">
        <f t="shared" si="13"/>
        <v>3</v>
      </c>
      <c r="E452" t="s">
        <v>17</v>
      </c>
      <c r="F452" t="s">
        <v>14</v>
      </c>
      <c r="G452" t="s">
        <v>20</v>
      </c>
      <c r="H452" s="2">
        <v>43806</v>
      </c>
      <c r="I452" s="2">
        <v>7</v>
      </c>
      <c r="J452" s="2">
        <v>97652</v>
      </c>
      <c r="K452" s="2">
        <v>31283</v>
      </c>
      <c r="L452" s="2">
        <v>13</v>
      </c>
      <c r="M452" t="str">
        <f>IF(Revv_bike_sales_data[[#This Row],[delivery_days]]&lt;=7, "Yes", "No")</f>
        <v>No</v>
      </c>
      <c r="N452" t="s">
        <v>16</v>
      </c>
      <c r="O452" s="2">
        <v>66369</v>
      </c>
    </row>
    <row r="453" spans="1:15" x14ac:dyDescent="0.3">
      <c r="A453" s="2">
        <v>443</v>
      </c>
      <c r="B453" s="1">
        <v>44945.416666666664</v>
      </c>
      <c r="C453" s="1" t="str">
        <f t="shared" si="12"/>
        <v>01-2023</v>
      </c>
      <c r="D453" s="2">
        <f t="shared" si="13"/>
        <v>3</v>
      </c>
      <c r="E453" t="s">
        <v>18</v>
      </c>
      <c r="F453" t="s">
        <v>14</v>
      </c>
      <c r="G453" t="s">
        <v>21</v>
      </c>
      <c r="H453" s="2">
        <v>91711</v>
      </c>
      <c r="I453" s="2">
        <v>5</v>
      </c>
      <c r="J453" s="2">
        <v>37937</v>
      </c>
      <c r="K453" s="2">
        <v>55857</v>
      </c>
      <c r="L453" s="2">
        <v>9</v>
      </c>
      <c r="M453" t="str">
        <f>IF(Revv_bike_sales_data[[#This Row],[delivery_days]]&lt;=7, "Yes", "No")</f>
        <v>No</v>
      </c>
      <c r="N453" t="s">
        <v>16</v>
      </c>
      <c r="O453" s="2">
        <v>-17920</v>
      </c>
    </row>
    <row r="454" spans="1:15" x14ac:dyDescent="0.3">
      <c r="A454" s="2">
        <v>444</v>
      </c>
      <c r="B454" s="1">
        <v>44945.458333333336</v>
      </c>
      <c r="C454" s="1" t="str">
        <f t="shared" si="12"/>
        <v>01-2023</v>
      </c>
      <c r="D454" s="2">
        <f t="shared" si="13"/>
        <v>3</v>
      </c>
      <c r="E454" t="s">
        <v>18</v>
      </c>
      <c r="F454" t="s">
        <v>14</v>
      </c>
      <c r="G454" t="s">
        <v>19</v>
      </c>
      <c r="H454" s="2">
        <v>58918</v>
      </c>
      <c r="I454" s="2">
        <v>9</v>
      </c>
      <c r="J454" s="2">
        <v>55161</v>
      </c>
      <c r="K454" s="2">
        <v>66772</v>
      </c>
      <c r="L454" s="2">
        <v>11</v>
      </c>
      <c r="M454" t="str">
        <f>IF(Revv_bike_sales_data[[#This Row],[delivery_days]]&lt;=7, "Yes", "No")</f>
        <v>No</v>
      </c>
      <c r="N454" t="s">
        <v>16</v>
      </c>
      <c r="O454" s="2">
        <v>-11611</v>
      </c>
    </row>
    <row r="455" spans="1:15" x14ac:dyDescent="0.3">
      <c r="A455" s="2">
        <v>445</v>
      </c>
      <c r="B455" s="1">
        <v>44945.5</v>
      </c>
      <c r="C455" s="1" t="str">
        <f t="shared" si="12"/>
        <v>01-2023</v>
      </c>
      <c r="D455" s="2">
        <f t="shared" si="13"/>
        <v>3</v>
      </c>
      <c r="E455" t="s">
        <v>17</v>
      </c>
      <c r="F455" t="s">
        <v>14</v>
      </c>
      <c r="G455" t="s">
        <v>21</v>
      </c>
      <c r="H455" s="2">
        <v>91398</v>
      </c>
      <c r="I455" s="2">
        <v>2</v>
      </c>
      <c r="J455" s="2">
        <v>160455</v>
      </c>
      <c r="K455" s="2">
        <v>125441</v>
      </c>
      <c r="L455" s="2">
        <v>7</v>
      </c>
      <c r="M455" t="str">
        <f>IF(Revv_bike_sales_data[[#This Row],[delivery_days]]&lt;=7, "Yes", "No")</f>
        <v>Yes</v>
      </c>
      <c r="N455" t="s">
        <v>16</v>
      </c>
      <c r="O455" s="2">
        <v>35014</v>
      </c>
    </row>
    <row r="456" spans="1:15" x14ac:dyDescent="0.3">
      <c r="A456" s="2">
        <v>446</v>
      </c>
      <c r="B456" s="1">
        <v>44945.541666666664</v>
      </c>
      <c r="C456" s="1" t="str">
        <f t="shared" si="12"/>
        <v>01-2023</v>
      </c>
      <c r="D456" s="2">
        <f t="shared" si="13"/>
        <v>3</v>
      </c>
      <c r="E456" t="s">
        <v>13</v>
      </c>
      <c r="F456" t="s">
        <v>14</v>
      </c>
      <c r="G456" t="s">
        <v>21</v>
      </c>
      <c r="H456" s="2">
        <v>648</v>
      </c>
      <c r="I456" s="2">
        <v>3</v>
      </c>
      <c r="J456" s="2">
        <v>110856</v>
      </c>
      <c r="K456" s="2">
        <v>74670</v>
      </c>
      <c r="L456" s="2">
        <v>12</v>
      </c>
      <c r="M456" t="str">
        <f>IF(Revv_bike_sales_data[[#This Row],[delivery_days]]&lt;=7, "Yes", "No")</f>
        <v>No</v>
      </c>
      <c r="N456" t="s">
        <v>16</v>
      </c>
      <c r="O456" s="2">
        <v>36186</v>
      </c>
    </row>
    <row r="457" spans="1:15" x14ac:dyDescent="0.3">
      <c r="A457" s="2">
        <v>447</v>
      </c>
      <c r="B457" s="1">
        <v>44945.583333333336</v>
      </c>
      <c r="C457" s="1" t="str">
        <f t="shared" si="12"/>
        <v>01-2023</v>
      </c>
      <c r="D457" s="2">
        <f t="shared" si="13"/>
        <v>3</v>
      </c>
      <c r="E457" t="s">
        <v>18</v>
      </c>
      <c r="F457" t="s">
        <v>23</v>
      </c>
      <c r="G457" t="s">
        <v>19</v>
      </c>
      <c r="H457" s="2">
        <v>2254</v>
      </c>
      <c r="I457" s="2">
        <v>0</v>
      </c>
      <c r="J457" s="2">
        <v>95043</v>
      </c>
      <c r="K457" s="2">
        <v>88133</v>
      </c>
      <c r="L457" s="2">
        <v>5</v>
      </c>
      <c r="M457" t="str">
        <f>IF(Revv_bike_sales_data[[#This Row],[delivery_days]]&lt;=7, "Yes", "No")</f>
        <v>Yes</v>
      </c>
      <c r="N457" t="s">
        <v>16</v>
      </c>
      <c r="O457" s="2">
        <v>6910</v>
      </c>
    </row>
    <row r="458" spans="1:15" x14ac:dyDescent="0.3">
      <c r="A458" s="2">
        <v>448</v>
      </c>
      <c r="B458" s="1">
        <v>44945.625</v>
      </c>
      <c r="C458" s="1" t="str">
        <f t="shared" si="12"/>
        <v>01-2023</v>
      </c>
      <c r="D458" s="2">
        <f t="shared" si="13"/>
        <v>3</v>
      </c>
      <c r="E458" t="s">
        <v>25</v>
      </c>
      <c r="F458" t="s">
        <v>14</v>
      </c>
      <c r="G458" t="s">
        <v>19</v>
      </c>
      <c r="H458" s="2">
        <v>27245</v>
      </c>
      <c r="I458" s="2">
        <v>7</v>
      </c>
      <c r="J458" s="2">
        <v>170807</v>
      </c>
      <c r="K458" s="2">
        <v>110856</v>
      </c>
      <c r="L458" s="2">
        <v>7</v>
      </c>
      <c r="M458" t="str">
        <f>IF(Revv_bike_sales_data[[#This Row],[delivery_days]]&lt;=7, "Yes", "No")</f>
        <v>Yes</v>
      </c>
      <c r="N458" t="s">
        <v>16</v>
      </c>
      <c r="O458" s="2">
        <v>59951</v>
      </c>
    </row>
    <row r="459" spans="1:15" x14ac:dyDescent="0.3">
      <c r="A459" s="2">
        <v>449</v>
      </c>
      <c r="B459" s="1">
        <v>44945.666666666664</v>
      </c>
      <c r="C459" s="1" t="str">
        <f t="shared" ref="C459:C522" si="14">TEXT(B459,"mm-yyyy")</f>
        <v>01-2023</v>
      </c>
      <c r="D459" s="2">
        <f t="shared" ref="D459:D522" si="15">WEEKNUM(B459)</f>
        <v>3</v>
      </c>
      <c r="E459" t="s">
        <v>25</v>
      </c>
      <c r="F459" t="s">
        <v>14</v>
      </c>
      <c r="G459" t="s">
        <v>19</v>
      </c>
      <c r="H459" s="2">
        <v>73414</v>
      </c>
      <c r="I459" s="2">
        <v>3</v>
      </c>
      <c r="J459" s="2">
        <v>84919</v>
      </c>
      <c r="K459" s="2">
        <v>46261</v>
      </c>
      <c r="L459" s="2">
        <v>8</v>
      </c>
      <c r="M459" t="str">
        <f>IF(Revv_bike_sales_data[[#This Row],[delivery_days]]&lt;=7, "Yes", "No")</f>
        <v>No</v>
      </c>
      <c r="N459" t="s">
        <v>16</v>
      </c>
      <c r="O459" s="2">
        <v>38658</v>
      </c>
    </row>
    <row r="460" spans="1:15" x14ac:dyDescent="0.3">
      <c r="A460" s="2">
        <v>450</v>
      </c>
      <c r="B460" s="1">
        <v>44945.708333333336</v>
      </c>
      <c r="C460" s="1" t="str">
        <f t="shared" si="14"/>
        <v>01-2023</v>
      </c>
      <c r="D460" s="2">
        <f t="shared" si="15"/>
        <v>3</v>
      </c>
      <c r="E460" t="s">
        <v>22</v>
      </c>
      <c r="F460" t="s">
        <v>14</v>
      </c>
      <c r="G460" t="s">
        <v>21</v>
      </c>
      <c r="H460" s="2">
        <v>56333</v>
      </c>
      <c r="I460" s="2">
        <v>5</v>
      </c>
      <c r="J460" s="2">
        <v>107055</v>
      </c>
      <c r="K460" s="2">
        <v>72154</v>
      </c>
      <c r="L460" s="2">
        <v>9</v>
      </c>
      <c r="M460" t="str">
        <f>IF(Revv_bike_sales_data[[#This Row],[delivery_days]]&lt;=7, "Yes", "No")</f>
        <v>No</v>
      </c>
      <c r="N460" t="s">
        <v>16</v>
      </c>
      <c r="O460" s="2">
        <v>34901</v>
      </c>
    </row>
    <row r="461" spans="1:15" x14ac:dyDescent="0.3">
      <c r="A461" s="2">
        <v>451</v>
      </c>
      <c r="B461" s="1">
        <v>44945.75</v>
      </c>
      <c r="C461" s="1" t="str">
        <f t="shared" si="14"/>
        <v>01-2023</v>
      </c>
      <c r="D461" s="2">
        <f t="shared" si="15"/>
        <v>3</v>
      </c>
      <c r="E461" t="s">
        <v>18</v>
      </c>
      <c r="F461" t="s">
        <v>14</v>
      </c>
      <c r="G461" t="s">
        <v>21</v>
      </c>
      <c r="H461" s="2">
        <v>20640</v>
      </c>
      <c r="I461" s="2">
        <v>2</v>
      </c>
      <c r="J461" s="2">
        <v>110455</v>
      </c>
      <c r="K461" s="2">
        <v>21107</v>
      </c>
      <c r="L461" s="2">
        <v>2</v>
      </c>
      <c r="M461" t="str">
        <f>IF(Revv_bike_sales_data[[#This Row],[delivery_days]]&lt;=7, "Yes", "No")</f>
        <v>Yes</v>
      </c>
      <c r="N461" t="s">
        <v>16</v>
      </c>
      <c r="O461" s="2">
        <v>89348</v>
      </c>
    </row>
    <row r="462" spans="1:15" x14ac:dyDescent="0.3">
      <c r="A462" s="2">
        <v>452</v>
      </c>
      <c r="B462" s="1">
        <v>44945.791666666664</v>
      </c>
      <c r="C462" s="1" t="str">
        <f t="shared" si="14"/>
        <v>01-2023</v>
      </c>
      <c r="D462" s="2">
        <f t="shared" si="15"/>
        <v>3</v>
      </c>
      <c r="E462" t="s">
        <v>13</v>
      </c>
      <c r="F462" t="s">
        <v>14</v>
      </c>
      <c r="G462" t="s">
        <v>20</v>
      </c>
      <c r="H462" s="2">
        <v>75407</v>
      </c>
      <c r="I462" s="2">
        <v>5</v>
      </c>
      <c r="J462" s="2">
        <v>63135</v>
      </c>
      <c r="K462" s="2">
        <v>106296</v>
      </c>
      <c r="L462" s="2">
        <v>6</v>
      </c>
      <c r="M462" t="str">
        <f>IF(Revv_bike_sales_data[[#This Row],[delivery_days]]&lt;=7, "Yes", "No")</f>
        <v>Yes</v>
      </c>
      <c r="N462" t="s">
        <v>16</v>
      </c>
      <c r="O462" s="2">
        <v>-43161</v>
      </c>
    </row>
    <row r="463" spans="1:15" x14ac:dyDescent="0.3">
      <c r="A463" s="2">
        <v>453</v>
      </c>
      <c r="B463" s="1">
        <v>44945.833333333336</v>
      </c>
      <c r="C463" s="1" t="str">
        <f t="shared" si="14"/>
        <v>01-2023</v>
      </c>
      <c r="D463" s="2">
        <f t="shared" si="15"/>
        <v>3</v>
      </c>
      <c r="E463" t="s">
        <v>17</v>
      </c>
      <c r="F463" t="s">
        <v>14</v>
      </c>
      <c r="G463" t="s">
        <v>15</v>
      </c>
      <c r="H463" s="2">
        <v>61153</v>
      </c>
      <c r="I463" s="2">
        <v>8</v>
      </c>
      <c r="J463" s="2">
        <v>109677</v>
      </c>
      <c r="K463" s="2">
        <v>50561</v>
      </c>
      <c r="L463" s="2">
        <v>9</v>
      </c>
      <c r="M463" t="str">
        <f>IF(Revv_bike_sales_data[[#This Row],[delivery_days]]&lt;=7, "Yes", "No")</f>
        <v>No</v>
      </c>
      <c r="N463" t="s">
        <v>16</v>
      </c>
      <c r="O463" s="2">
        <v>59116</v>
      </c>
    </row>
    <row r="464" spans="1:15" x14ac:dyDescent="0.3">
      <c r="A464" s="2">
        <v>454</v>
      </c>
      <c r="B464" s="1">
        <v>44945.875</v>
      </c>
      <c r="C464" s="1" t="str">
        <f t="shared" si="14"/>
        <v>01-2023</v>
      </c>
      <c r="D464" s="2">
        <f t="shared" si="15"/>
        <v>3</v>
      </c>
      <c r="E464" t="s">
        <v>17</v>
      </c>
      <c r="F464" t="s">
        <v>14</v>
      </c>
      <c r="G464" t="s">
        <v>21</v>
      </c>
      <c r="H464" s="2">
        <v>93035</v>
      </c>
      <c r="I464" s="2">
        <v>8</v>
      </c>
      <c r="J464" s="2">
        <v>54696</v>
      </c>
      <c r="K464" s="2">
        <v>91674</v>
      </c>
      <c r="L464" s="2">
        <v>13</v>
      </c>
      <c r="M464" t="str">
        <f>IF(Revv_bike_sales_data[[#This Row],[delivery_days]]&lt;=7, "Yes", "No")</f>
        <v>No</v>
      </c>
      <c r="N464" t="s">
        <v>16</v>
      </c>
      <c r="O464" s="2">
        <v>-36978</v>
      </c>
    </row>
    <row r="465" spans="1:15" x14ac:dyDescent="0.3">
      <c r="A465" s="2">
        <v>455</v>
      </c>
      <c r="B465" s="1">
        <v>44945.916666666664</v>
      </c>
      <c r="C465" s="1" t="str">
        <f t="shared" si="14"/>
        <v>01-2023</v>
      </c>
      <c r="D465" s="2">
        <f t="shared" si="15"/>
        <v>3</v>
      </c>
      <c r="E465" t="s">
        <v>13</v>
      </c>
      <c r="F465" t="s">
        <v>14</v>
      </c>
      <c r="G465" t="s">
        <v>15</v>
      </c>
      <c r="H465" s="2">
        <v>62021</v>
      </c>
      <c r="I465" s="2">
        <v>9</v>
      </c>
      <c r="J465" s="2">
        <v>159845</v>
      </c>
      <c r="K465" s="2">
        <v>50268</v>
      </c>
      <c r="L465" s="2">
        <v>6</v>
      </c>
      <c r="M465" t="str">
        <f>IF(Revv_bike_sales_data[[#This Row],[delivery_days]]&lt;=7, "Yes", "No")</f>
        <v>Yes</v>
      </c>
      <c r="N465" t="s">
        <v>24</v>
      </c>
      <c r="O465" s="2">
        <v>109577</v>
      </c>
    </row>
    <row r="466" spans="1:15" x14ac:dyDescent="0.3">
      <c r="A466" s="2">
        <v>456</v>
      </c>
      <c r="B466" s="1">
        <v>44945.958333333336</v>
      </c>
      <c r="C466" s="1" t="str">
        <f t="shared" si="14"/>
        <v>01-2023</v>
      </c>
      <c r="D466" s="2">
        <f t="shared" si="15"/>
        <v>3</v>
      </c>
      <c r="E466" t="s">
        <v>22</v>
      </c>
      <c r="F466" t="s">
        <v>14</v>
      </c>
      <c r="G466" t="s">
        <v>19</v>
      </c>
      <c r="H466" s="2">
        <v>78815</v>
      </c>
      <c r="I466" s="2">
        <v>2</v>
      </c>
      <c r="J466" s="2">
        <v>49956</v>
      </c>
      <c r="K466" s="2">
        <v>46608</v>
      </c>
      <c r="L466" s="2">
        <v>2</v>
      </c>
      <c r="M466" t="str">
        <f>IF(Revv_bike_sales_data[[#This Row],[delivery_days]]&lt;=7, "Yes", "No")</f>
        <v>Yes</v>
      </c>
      <c r="N466" t="s">
        <v>24</v>
      </c>
      <c r="O466" s="2">
        <v>3348</v>
      </c>
    </row>
    <row r="467" spans="1:15" x14ac:dyDescent="0.3">
      <c r="A467" s="2">
        <v>457</v>
      </c>
      <c r="B467" s="1">
        <v>44946</v>
      </c>
      <c r="C467" s="1" t="str">
        <f t="shared" si="14"/>
        <v>01-2023</v>
      </c>
      <c r="D467" s="2">
        <f t="shared" si="15"/>
        <v>3</v>
      </c>
      <c r="E467" t="s">
        <v>17</v>
      </c>
      <c r="F467" t="s">
        <v>14</v>
      </c>
      <c r="G467" t="s">
        <v>21</v>
      </c>
      <c r="H467" s="2">
        <v>31575</v>
      </c>
      <c r="I467" s="2">
        <v>2</v>
      </c>
      <c r="J467" s="2">
        <v>40819</v>
      </c>
      <c r="K467" s="2">
        <v>28138</v>
      </c>
      <c r="L467" s="2">
        <v>1</v>
      </c>
      <c r="M467" t="str">
        <f>IF(Revv_bike_sales_data[[#This Row],[delivery_days]]&lt;=7, "Yes", "No")</f>
        <v>Yes</v>
      </c>
      <c r="N467" t="s">
        <v>16</v>
      </c>
      <c r="O467" s="2">
        <v>12681</v>
      </c>
    </row>
    <row r="468" spans="1:15" x14ac:dyDescent="0.3">
      <c r="A468" s="2">
        <v>458</v>
      </c>
      <c r="B468" s="1">
        <v>44946.041666666664</v>
      </c>
      <c r="C468" s="1" t="str">
        <f t="shared" si="14"/>
        <v>01-2023</v>
      </c>
      <c r="D468" s="2">
        <f t="shared" si="15"/>
        <v>3</v>
      </c>
      <c r="E468" t="s">
        <v>18</v>
      </c>
      <c r="F468" t="s">
        <v>14</v>
      </c>
      <c r="G468" t="s">
        <v>20</v>
      </c>
      <c r="H468" s="2">
        <v>31197</v>
      </c>
      <c r="I468" s="2">
        <v>3</v>
      </c>
      <c r="J468" s="2">
        <v>26528</v>
      </c>
      <c r="K468" s="2">
        <v>121665</v>
      </c>
      <c r="L468" s="2">
        <v>12</v>
      </c>
      <c r="M468" t="str">
        <f>IF(Revv_bike_sales_data[[#This Row],[delivery_days]]&lt;=7, "Yes", "No")</f>
        <v>No</v>
      </c>
      <c r="N468" t="s">
        <v>16</v>
      </c>
      <c r="O468" s="2">
        <v>-95137</v>
      </c>
    </row>
    <row r="469" spans="1:15" x14ac:dyDescent="0.3">
      <c r="A469" s="2">
        <v>459</v>
      </c>
      <c r="B469" s="1">
        <v>44946.083333333336</v>
      </c>
      <c r="C469" s="1" t="str">
        <f t="shared" si="14"/>
        <v>01-2023</v>
      </c>
      <c r="D469" s="2">
        <f t="shared" si="15"/>
        <v>3</v>
      </c>
      <c r="E469" t="s">
        <v>22</v>
      </c>
      <c r="F469" t="s">
        <v>14</v>
      </c>
      <c r="G469" t="s">
        <v>20</v>
      </c>
      <c r="H469" s="2">
        <v>55044</v>
      </c>
      <c r="I469" s="2">
        <v>6</v>
      </c>
      <c r="J469" s="2">
        <v>152781</v>
      </c>
      <c r="K469" s="2">
        <v>52693</v>
      </c>
      <c r="L469" s="2">
        <v>3</v>
      </c>
      <c r="M469" t="str">
        <f>IF(Revv_bike_sales_data[[#This Row],[delivery_days]]&lt;=7, "Yes", "No")</f>
        <v>Yes</v>
      </c>
      <c r="N469" t="s">
        <v>16</v>
      </c>
      <c r="O469" s="2">
        <v>100088</v>
      </c>
    </row>
    <row r="470" spans="1:15" x14ac:dyDescent="0.3">
      <c r="A470" s="2">
        <v>460</v>
      </c>
      <c r="B470" s="1">
        <v>44946.125</v>
      </c>
      <c r="C470" s="1" t="str">
        <f t="shared" si="14"/>
        <v>01-2023</v>
      </c>
      <c r="D470" s="2">
        <f t="shared" si="15"/>
        <v>3</v>
      </c>
      <c r="E470" t="s">
        <v>18</v>
      </c>
      <c r="F470" t="s">
        <v>14</v>
      </c>
      <c r="G470" t="s">
        <v>15</v>
      </c>
      <c r="H470" s="2">
        <v>10295</v>
      </c>
      <c r="I470" s="2">
        <v>2</v>
      </c>
      <c r="J470" s="2">
        <v>111491</v>
      </c>
      <c r="K470" s="2">
        <v>98000</v>
      </c>
      <c r="L470" s="2">
        <v>11</v>
      </c>
      <c r="M470" t="str">
        <f>IF(Revv_bike_sales_data[[#This Row],[delivery_days]]&lt;=7, "Yes", "No")</f>
        <v>No</v>
      </c>
      <c r="N470" t="s">
        <v>16</v>
      </c>
      <c r="O470" s="2">
        <v>13491</v>
      </c>
    </row>
    <row r="471" spans="1:15" x14ac:dyDescent="0.3">
      <c r="A471" s="2">
        <v>461</v>
      </c>
      <c r="B471" s="1">
        <v>44946.166666666664</v>
      </c>
      <c r="C471" s="1" t="str">
        <f t="shared" si="14"/>
        <v>01-2023</v>
      </c>
      <c r="D471" s="2">
        <f t="shared" si="15"/>
        <v>3</v>
      </c>
      <c r="E471" t="s">
        <v>25</v>
      </c>
      <c r="F471" t="s">
        <v>14</v>
      </c>
      <c r="G471" t="s">
        <v>19</v>
      </c>
      <c r="H471" s="2">
        <v>65055</v>
      </c>
      <c r="I471" s="2">
        <v>9</v>
      </c>
      <c r="J471" s="2">
        <v>69588</v>
      </c>
      <c r="K471" s="2">
        <v>139143</v>
      </c>
      <c r="L471" s="2">
        <v>5</v>
      </c>
      <c r="M471" t="str">
        <f>IF(Revv_bike_sales_data[[#This Row],[delivery_days]]&lt;=7, "Yes", "No")</f>
        <v>Yes</v>
      </c>
      <c r="N471" t="s">
        <v>16</v>
      </c>
      <c r="O471" s="2">
        <v>-69555</v>
      </c>
    </row>
    <row r="472" spans="1:15" x14ac:dyDescent="0.3">
      <c r="A472" s="2">
        <v>462</v>
      </c>
      <c r="B472" s="1">
        <v>44946.208333333336</v>
      </c>
      <c r="C472" s="1" t="str">
        <f t="shared" si="14"/>
        <v>01-2023</v>
      </c>
      <c r="D472" s="2">
        <f t="shared" si="15"/>
        <v>3</v>
      </c>
      <c r="E472" t="s">
        <v>22</v>
      </c>
      <c r="F472" t="s">
        <v>23</v>
      </c>
      <c r="G472" t="s">
        <v>15</v>
      </c>
      <c r="H472" s="2">
        <v>52704</v>
      </c>
      <c r="I472" s="2">
        <v>7</v>
      </c>
      <c r="J472" s="2">
        <v>124152</v>
      </c>
      <c r="K472" s="2">
        <v>36248</v>
      </c>
      <c r="L472" s="2">
        <v>7</v>
      </c>
      <c r="M472" t="str">
        <f>IF(Revv_bike_sales_data[[#This Row],[delivery_days]]&lt;=7, "Yes", "No")</f>
        <v>Yes</v>
      </c>
      <c r="N472" t="s">
        <v>16</v>
      </c>
      <c r="O472" s="2">
        <v>87904</v>
      </c>
    </row>
    <row r="473" spans="1:15" x14ac:dyDescent="0.3">
      <c r="A473" s="2">
        <v>463</v>
      </c>
      <c r="B473" s="1">
        <v>44946.25</v>
      </c>
      <c r="C473" s="1" t="str">
        <f t="shared" si="14"/>
        <v>01-2023</v>
      </c>
      <c r="D473" s="2">
        <f t="shared" si="15"/>
        <v>3</v>
      </c>
      <c r="E473" t="s">
        <v>17</v>
      </c>
      <c r="F473" t="s">
        <v>23</v>
      </c>
      <c r="G473" t="s">
        <v>19</v>
      </c>
      <c r="H473" s="2">
        <v>70254</v>
      </c>
      <c r="I473" s="2">
        <v>7</v>
      </c>
      <c r="J473" s="2">
        <v>152872</v>
      </c>
      <c r="K473" s="2">
        <v>117757</v>
      </c>
      <c r="L473" s="2">
        <v>10</v>
      </c>
      <c r="M473" t="str">
        <f>IF(Revv_bike_sales_data[[#This Row],[delivery_days]]&lt;=7, "Yes", "No")</f>
        <v>No</v>
      </c>
      <c r="N473" t="s">
        <v>16</v>
      </c>
      <c r="O473" s="2">
        <v>35115</v>
      </c>
    </row>
    <row r="474" spans="1:15" x14ac:dyDescent="0.3">
      <c r="A474" s="2">
        <v>464</v>
      </c>
      <c r="B474" s="1">
        <v>44946.291666666664</v>
      </c>
      <c r="C474" s="1" t="str">
        <f t="shared" si="14"/>
        <v>01-2023</v>
      </c>
      <c r="D474" s="2">
        <f t="shared" si="15"/>
        <v>3</v>
      </c>
      <c r="E474" t="s">
        <v>22</v>
      </c>
      <c r="F474" t="s">
        <v>14</v>
      </c>
      <c r="G474" t="s">
        <v>20</v>
      </c>
      <c r="H474" s="2">
        <v>65360</v>
      </c>
      <c r="I474" s="2">
        <v>5</v>
      </c>
      <c r="J474" s="2">
        <v>176583</v>
      </c>
      <c r="K474" s="2">
        <v>33632</v>
      </c>
      <c r="L474" s="2">
        <v>10</v>
      </c>
      <c r="M474" t="str">
        <f>IF(Revv_bike_sales_data[[#This Row],[delivery_days]]&lt;=7, "Yes", "No")</f>
        <v>No</v>
      </c>
      <c r="N474" t="s">
        <v>16</v>
      </c>
      <c r="O474" s="2">
        <v>142951</v>
      </c>
    </row>
    <row r="475" spans="1:15" x14ac:dyDescent="0.3">
      <c r="A475" s="2">
        <v>465</v>
      </c>
      <c r="B475" s="1">
        <v>44946.333333333336</v>
      </c>
      <c r="C475" s="1" t="str">
        <f t="shared" si="14"/>
        <v>01-2023</v>
      </c>
      <c r="D475" s="2">
        <f t="shared" si="15"/>
        <v>3</v>
      </c>
      <c r="E475" t="s">
        <v>22</v>
      </c>
      <c r="F475" t="s">
        <v>14</v>
      </c>
      <c r="G475" t="s">
        <v>15</v>
      </c>
      <c r="H475" s="2">
        <v>52029</v>
      </c>
      <c r="I475" s="2">
        <v>3</v>
      </c>
      <c r="J475" s="2">
        <v>35119</v>
      </c>
      <c r="K475" s="2">
        <v>62547</v>
      </c>
      <c r="L475" s="2">
        <v>3</v>
      </c>
      <c r="M475" t="str">
        <f>IF(Revv_bike_sales_data[[#This Row],[delivery_days]]&lt;=7, "Yes", "No")</f>
        <v>Yes</v>
      </c>
      <c r="N475" t="s">
        <v>24</v>
      </c>
      <c r="O475" s="2">
        <v>-27428</v>
      </c>
    </row>
    <row r="476" spans="1:15" x14ac:dyDescent="0.3">
      <c r="A476" s="2">
        <v>466</v>
      </c>
      <c r="B476" s="1">
        <v>44946.375</v>
      </c>
      <c r="C476" s="1" t="str">
        <f t="shared" si="14"/>
        <v>01-2023</v>
      </c>
      <c r="D476" s="2">
        <f t="shared" si="15"/>
        <v>3</v>
      </c>
      <c r="E476" t="s">
        <v>22</v>
      </c>
      <c r="F476" t="s">
        <v>14</v>
      </c>
      <c r="G476" t="s">
        <v>20</v>
      </c>
      <c r="H476" s="2">
        <v>12172</v>
      </c>
      <c r="I476" s="2">
        <v>4</v>
      </c>
      <c r="J476" s="2">
        <v>100893</v>
      </c>
      <c r="K476" s="2">
        <v>27100</v>
      </c>
      <c r="L476" s="2">
        <v>9</v>
      </c>
      <c r="M476" t="str">
        <f>IF(Revv_bike_sales_data[[#This Row],[delivery_days]]&lt;=7, "Yes", "No")</f>
        <v>No</v>
      </c>
      <c r="N476" t="s">
        <v>16</v>
      </c>
      <c r="O476" s="2">
        <v>73793</v>
      </c>
    </row>
    <row r="477" spans="1:15" x14ac:dyDescent="0.3">
      <c r="A477" s="2">
        <v>467</v>
      </c>
      <c r="B477" s="1">
        <v>44946.416666666664</v>
      </c>
      <c r="C477" s="1" t="str">
        <f t="shared" si="14"/>
        <v>01-2023</v>
      </c>
      <c r="D477" s="2">
        <f t="shared" si="15"/>
        <v>3</v>
      </c>
      <c r="E477" t="s">
        <v>22</v>
      </c>
      <c r="F477" t="s">
        <v>14</v>
      </c>
      <c r="G477" t="s">
        <v>20</v>
      </c>
      <c r="H477" s="2">
        <v>54738</v>
      </c>
      <c r="I477" s="2">
        <v>1</v>
      </c>
      <c r="J477" s="2">
        <v>41167</v>
      </c>
      <c r="K477" s="2">
        <v>62930</v>
      </c>
      <c r="L477" s="2">
        <v>10</v>
      </c>
      <c r="M477" t="str">
        <f>IF(Revv_bike_sales_data[[#This Row],[delivery_days]]&lt;=7, "Yes", "No")</f>
        <v>No</v>
      </c>
      <c r="N477" t="s">
        <v>16</v>
      </c>
      <c r="O477" s="2">
        <v>-21763</v>
      </c>
    </row>
    <row r="478" spans="1:15" x14ac:dyDescent="0.3">
      <c r="A478" s="2">
        <v>468</v>
      </c>
      <c r="B478" s="1">
        <v>44946.458333333336</v>
      </c>
      <c r="C478" s="1" t="str">
        <f t="shared" si="14"/>
        <v>01-2023</v>
      </c>
      <c r="D478" s="2">
        <f t="shared" si="15"/>
        <v>3</v>
      </c>
      <c r="E478" t="s">
        <v>18</v>
      </c>
      <c r="F478" t="s">
        <v>14</v>
      </c>
      <c r="G478" t="s">
        <v>19</v>
      </c>
      <c r="H478" s="2">
        <v>97078</v>
      </c>
      <c r="I478" s="2">
        <v>5</v>
      </c>
      <c r="J478" s="2">
        <v>135782</v>
      </c>
      <c r="K478" s="2">
        <v>81861</v>
      </c>
      <c r="L478" s="2">
        <v>12</v>
      </c>
      <c r="M478" t="str">
        <f>IF(Revv_bike_sales_data[[#This Row],[delivery_days]]&lt;=7, "Yes", "No")</f>
        <v>No</v>
      </c>
      <c r="N478" t="s">
        <v>16</v>
      </c>
      <c r="O478" s="2">
        <v>53921</v>
      </c>
    </row>
    <row r="479" spans="1:15" x14ac:dyDescent="0.3">
      <c r="A479" s="2">
        <v>469</v>
      </c>
      <c r="B479" s="1">
        <v>44946.5</v>
      </c>
      <c r="C479" s="1" t="str">
        <f t="shared" si="14"/>
        <v>01-2023</v>
      </c>
      <c r="D479" s="2">
        <f t="shared" si="15"/>
        <v>3</v>
      </c>
      <c r="E479" t="s">
        <v>25</v>
      </c>
      <c r="F479" t="s">
        <v>23</v>
      </c>
      <c r="G479" t="s">
        <v>15</v>
      </c>
      <c r="H479" s="2">
        <v>36450</v>
      </c>
      <c r="I479" s="2">
        <v>2</v>
      </c>
      <c r="J479" s="2">
        <v>155775</v>
      </c>
      <c r="K479" s="2">
        <v>91905</v>
      </c>
      <c r="L479" s="2">
        <v>4</v>
      </c>
      <c r="M479" t="str">
        <f>IF(Revv_bike_sales_data[[#This Row],[delivery_days]]&lt;=7, "Yes", "No")</f>
        <v>Yes</v>
      </c>
      <c r="N479" t="s">
        <v>16</v>
      </c>
      <c r="O479" s="2">
        <v>63870</v>
      </c>
    </row>
    <row r="480" spans="1:15" x14ac:dyDescent="0.3">
      <c r="A480" s="2">
        <v>470</v>
      </c>
      <c r="B480" s="1">
        <v>44946.541666666664</v>
      </c>
      <c r="C480" s="1" t="str">
        <f t="shared" si="14"/>
        <v>01-2023</v>
      </c>
      <c r="D480" s="2">
        <f t="shared" si="15"/>
        <v>3</v>
      </c>
      <c r="E480" t="s">
        <v>13</v>
      </c>
      <c r="F480" t="s">
        <v>23</v>
      </c>
      <c r="G480" t="s">
        <v>15</v>
      </c>
      <c r="H480" s="2">
        <v>11509</v>
      </c>
      <c r="I480" s="2">
        <v>5</v>
      </c>
      <c r="J480" s="2">
        <v>59889</v>
      </c>
      <c r="K480" s="2">
        <v>68025</v>
      </c>
      <c r="L480" s="2">
        <v>10</v>
      </c>
      <c r="M480" t="str">
        <f>IF(Revv_bike_sales_data[[#This Row],[delivery_days]]&lt;=7, "Yes", "No")</f>
        <v>No</v>
      </c>
      <c r="N480" t="s">
        <v>16</v>
      </c>
      <c r="O480" s="2">
        <v>-8136</v>
      </c>
    </row>
    <row r="481" spans="1:15" x14ac:dyDescent="0.3">
      <c r="A481" s="2">
        <v>471</v>
      </c>
      <c r="B481" s="1">
        <v>44946.583333333336</v>
      </c>
      <c r="C481" s="1" t="str">
        <f t="shared" si="14"/>
        <v>01-2023</v>
      </c>
      <c r="D481" s="2">
        <f t="shared" si="15"/>
        <v>3</v>
      </c>
      <c r="E481" t="s">
        <v>22</v>
      </c>
      <c r="F481" t="s">
        <v>14</v>
      </c>
      <c r="G481" t="s">
        <v>20</v>
      </c>
      <c r="H481" s="2">
        <v>47596</v>
      </c>
      <c r="I481" s="2">
        <v>4</v>
      </c>
      <c r="J481" s="2">
        <v>70678</v>
      </c>
      <c r="K481" s="2">
        <v>90876</v>
      </c>
      <c r="L481" s="2">
        <v>2</v>
      </c>
      <c r="M481" t="str">
        <f>IF(Revv_bike_sales_data[[#This Row],[delivery_days]]&lt;=7, "Yes", "No")</f>
        <v>Yes</v>
      </c>
      <c r="N481" t="s">
        <v>16</v>
      </c>
      <c r="O481" s="2">
        <v>-20198</v>
      </c>
    </row>
    <row r="482" spans="1:15" x14ac:dyDescent="0.3">
      <c r="A482" s="2">
        <v>472</v>
      </c>
      <c r="B482" s="1">
        <v>44946.625</v>
      </c>
      <c r="C482" s="1" t="str">
        <f t="shared" si="14"/>
        <v>01-2023</v>
      </c>
      <c r="D482" s="2">
        <f t="shared" si="15"/>
        <v>3</v>
      </c>
      <c r="E482" t="s">
        <v>17</v>
      </c>
      <c r="F482" t="s">
        <v>14</v>
      </c>
      <c r="G482" t="s">
        <v>20</v>
      </c>
      <c r="H482" s="2">
        <v>20044</v>
      </c>
      <c r="I482" s="2">
        <v>1</v>
      </c>
      <c r="J482" s="2">
        <v>85262</v>
      </c>
      <c r="K482" s="2">
        <v>93944</v>
      </c>
      <c r="L482" s="2">
        <v>3</v>
      </c>
      <c r="M482" t="str">
        <f>IF(Revv_bike_sales_data[[#This Row],[delivery_days]]&lt;=7, "Yes", "No")</f>
        <v>Yes</v>
      </c>
      <c r="N482" t="s">
        <v>16</v>
      </c>
      <c r="O482" s="2">
        <v>-8682</v>
      </c>
    </row>
    <row r="483" spans="1:15" x14ac:dyDescent="0.3">
      <c r="A483" s="2">
        <v>473</v>
      </c>
      <c r="B483" s="1">
        <v>44946.666666666664</v>
      </c>
      <c r="C483" s="1" t="str">
        <f t="shared" si="14"/>
        <v>01-2023</v>
      </c>
      <c r="D483" s="2">
        <f t="shared" si="15"/>
        <v>3</v>
      </c>
      <c r="E483" t="s">
        <v>22</v>
      </c>
      <c r="F483" t="s">
        <v>14</v>
      </c>
      <c r="G483" t="s">
        <v>19</v>
      </c>
      <c r="H483" s="2">
        <v>56228</v>
      </c>
      <c r="I483" s="2">
        <v>4</v>
      </c>
      <c r="J483" s="2">
        <v>160753</v>
      </c>
      <c r="K483" s="2">
        <v>65840</v>
      </c>
      <c r="L483" s="2">
        <v>5</v>
      </c>
      <c r="M483" t="str">
        <f>IF(Revv_bike_sales_data[[#This Row],[delivery_days]]&lt;=7, "Yes", "No")</f>
        <v>Yes</v>
      </c>
      <c r="N483" t="s">
        <v>16</v>
      </c>
      <c r="O483" s="2">
        <v>94913</v>
      </c>
    </row>
    <row r="484" spans="1:15" x14ac:dyDescent="0.3">
      <c r="A484" s="2">
        <v>474</v>
      </c>
      <c r="B484" s="1">
        <v>44946.708333333336</v>
      </c>
      <c r="C484" s="1" t="str">
        <f t="shared" si="14"/>
        <v>01-2023</v>
      </c>
      <c r="D484" s="2">
        <f t="shared" si="15"/>
        <v>3</v>
      </c>
      <c r="E484" t="s">
        <v>17</v>
      </c>
      <c r="F484" t="s">
        <v>14</v>
      </c>
      <c r="G484" t="s">
        <v>21</v>
      </c>
      <c r="H484" s="2">
        <v>29881</v>
      </c>
      <c r="I484" s="2">
        <v>4</v>
      </c>
      <c r="J484" s="2">
        <v>105291</v>
      </c>
      <c r="K484" s="2">
        <v>34369</v>
      </c>
      <c r="L484" s="2">
        <v>3</v>
      </c>
      <c r="M484" t="str">
        <f>IF(Revv_bike_sales_data[[#This Row],[delivery_days]]&lt;=7, "Yes", "No")</f>
        <v>Yes</v>
      </c>
      <c r="N484" t="s">
        <v>16</v>
      </c>
      <c r="O484" s="2">
        <v>70922</v>
      </c>
    </row>
    <row r="485" spans="1:15" x14ac:dyDescent="0.3">
      <c r="A485" s="2">
        <v>475</v>
      </c>
      <c r="B485" s="1">
        <v>44946.75</v>
      </c>
      <c r="C485" s="1" t="str">
        <f t="shared" si="14"/>
        <v>01-2023</v>
      </c>
      <c r="D485" s="2">
        <f t="shared" si="15"/>
        <v>3</v>
      </c>
      <c r="E485" t="s">
        <v>18</v>
      </c>
      <c r="F485" t="s">
        <v>14</v>
      </c>
      <c r="G485" t="s">
        <v>21</v>
      </c>
      <c r="H485" s="2">
        <v>25787</v>
      </c>
      <c r="I485" s="2">
        <v>8</v>
      </c>
      <c r="J485" s="2">
        <v>91008</v>
      </c>
      <c r="K485" s="2">
        <v>33460</v>
      </c>
      <c r="L485" s="2">
        <v>5</v>
      </c>
      <c r="M485" t="str">
        <f>IF(Revv_bike_sales_data[[#This Row],[delivery_days]]&lt;=7, "Yes", "No")</f>
        <v>Yes</v>
      </c>
      <c r="N485" t="s">
        <v>16</v>
      </c>
      <c r="O485" s="2">
        <v>57548</v>
      </c>
    </row>
    <row r="486" spans="1:15" x14ac:dyDescent="0.3">
      <c r="A486" s="2">
        <v>476</v>
      </c>
      <c r="B486" s="1">
        <v>44946.791666666664</v>
      </c>
      <c r="C486" s="1" t="str">
        <f t="shared" si="14"/>
        <v>01-2023</v>
      </c>
      <c r="D486" s="2">
        <f t="shared" si="15"/>
        <v>3</v>
      </c>
      <c r="E486" t="s">
        <v>17</v>
      </c>
      <c r="F486" t="s">
        <v>14</v>
      </c>
      <c r="G486" t="s">
        <v>20</v>
      </c>
      <c r="H486" s="2">
        <v>65110</v>
      </c>
      <c r="I486" s="2">
        <v>7</v>
      </c>
      <c r="J486" s="2">
        <v>169762</v>
      </c>
      <c r="K486" s="2">
        <v>106641</v>
      </c>
      <c r="L486" s="2">
        <v>4</v>
      </c>
      <c r="M486" t="str">
        <f>IF(Revv_bike_sales_data[[#This Row],[delivery_days]]&lt;=7, "Yes", "No")</f>
        <v>Yes</v>
      </c>
      <c r="N486" t="s">
        <v>16</v>
      </c>
      <c r="O486" s="2">
        <v>63121</v>
      </c>
    </row>
    <row r="487" spans="1:15" x14ac:dyDescent="0.3">
      <c r="A487" s="2">
        <v>477</v>
      </c>
      <c r="B487" s="1">
        <v>44946.833333333336</v>
      </c>
      <c r="C487" s="1" t="str">
        <f t="shared" si="14"/>
        <v>01-2023</v>
      </c>
      <c r="D487" s="2">
        <f t="shared" si="15"/>
        <v>3</v>
      </c>
      <c r="E487" t="s">
        <v>13</v>
      </c>
      <c r="F487" t="s">
        <v>14</v>
      </c>
      <c r="G487" t="s">
        <v>21</v>
      </c>
      <c r="H487" s="2">
        <v>68622</v>
      </c>
      <c r="I487" s="2">
        <v>6</v>
      </c>
      <c r="J487" s="2">
        <v>50912</v>
      </c>
      <c r="K487" s="2">
        <v>111920</v>
      </c>
      <c r="L487" s="2">
        <v>13</v>
      </c>
      <c r="M487" t="str">
        <f>IF(Revv_bike_sales_data[[#This Row],[delivery_days]]&lt;=7, "Yes", "No")</f>
        <v>No</v>
      </c>
      <c r="N487" t="s">
        <v>16</v>
      </c>
      <c r="O487" s="2">
        <v>-61008</v>
      </c>
    </row>
    <row r="488" spans="1:15" x14ac:dyDescent="0.3">
      <c r="A488" s="2">
        <v>478</v>
      </c>
      <c r="B488" s="1">
        <v>44946.875</v>
      </c>
      <c r="C488" s="1" t="str">
        <f t="shared" si="14"/>
        <v>01-2023</v>
      </c>
      <c r="D488" s="2">
        <f t="shared" si="15"/>
        <v>3</v>
      </c>
      <c r="E488" t="s">
        <v>25</v>
      </c>
      <c r="F488" t="s">
        <v>14</v>
      </c>
      <c r="G488" t="s">
        <v>21</v>
      </c>
      <c r="H488" s="2">
        <v>68684</v>
      </c>
      <c r="I488" s="2">
        <v>2</v>
      </c>
      <c r="J488" s="2">
        <v>31473</v>
      </c>
      <c r="K488" s="2">
        <v>16461</v>
      </c>
      <c r="L488" s="2">
        <v>11</v>
      </c>
      <c r="M488" t="str">
        <f>IF(Revv_bike_sales_data[[#This Row],[delivery_days]]&lt;=7, "Yes", "No")</f>
        <v>No</v>
      </c>
      <c r="N488" t="s">
        <v>16</v>
      </c>
      <c r="O488" s="2">
        <v>15012</v>
      </c>
    </row>
    <row r="489" spans="1:15" x14ac:dyDescent="0.3">
      <c r="A489" s="2">
        <v>479</v>
      </c>
      <c r="B489" s="1">
        <v>44946.916666666664</v>
      </c>
      <c r="C489" s="1" t="str">
        <f t="shared" si="14"/>
        <v>01-2023</v>
      </c>
      <c r="D489" s="2">
        <f t="shared" si="15"/>
        <v>3</v>
      </c>
      <c r="E489" t="s">
        <v>17</v>
      </c>
      <c r="F489" t="s">
        <v>14</v>
      </c>
      <c r="G489" t="s">
        <v>21</v>
      </c>
      <c r="H489" s="2">
        <v>40581</v>
      </c>
      <c r="I489" s="2">
        <v>9</v>
      </c>
      <c r="J489" s="2">
        <v>174741</v>
      </c>
      <c r="K489" s="2">
        <v>57362</v>
      </c>
      <c r="L489" s="2">
        <v>10</v>
      </c>
      <c r="M489" t="str">
        <f>IF(Revv_bike_sales_data[[#This Row],[delivery_days]]&lt;=7, "Yes", "No")</f>
        <v>No</v>
      </c>
      <c r="N489" t="s">
        <v>16</v>
      </c>
      <c r="O489" s="2">
        <v>117379</v>
      </c>
    </row>
    <row r="490" spans="1:15" x14ac:dyDescent="0.3">
      <c r="A490" s="2">
        <v>480</v>
      </c>
      <c r="B490" s="1">
        <v>44946.958333333336</v>
      </c>
      <c r="C490" s="1" t="str">
        <f t="shared" si="14"/>
        <v>01-2023</v>
      </c>
      <c r="D490" s="2">
        <f t="shared" si="15"/>
        <v>3</v>
      </c>
      <c r="E490" t="s">
        <v>17</v>
      </c>
      <c r="F490" t="s">
        <v>23</v>
      </c>
      <c r="G490" t="s">
        <v>21</v>
      </c>
      <c r="H490" s="2">
        <v>84137</v>
      </c>
      <c r="I490" s="2">
        <v>3</v>
      </c>
      <c r="J490" s="2">
        <v>124500</v>
      </c>
      <c r="K490" s="2">
        <v>113376</v>
      </c>
      <c r="L490" s="2">
        <v>13</v>
      </c>
      <c r="M490" t="str">
        <f>IF(Revv_bike_sales_data[[#This Row],[delivery_days]]&lt;=7, "Yes", "No")</f>
        <v>No</v>
      </c>
      <c r="N490" t="s">
        <v>16</v>
      </c>
      <c r="O490" s="2">
        <v>11124</v>
      </c>
    </row>
    <row r="491" spans="1:15" x14ac:dyDescent="0.3">
      <c r="A491" s="2">
        <v>481</v>
      </c>
      <c r="B491" s="1">
        <v>44947</v>
      </c>
      <c r="C491" s="1" t="str">
        <f t="shared" si="14"/>
        <v>01-2023</v>
      </c>
      <c r="D491" s="2">
        <f t="shared" si="15"/>
        <v>3</v>
      </c>
      <c r="E491" t="s">
        <v>25</v>
      </c>
      <c r="F491" t="s">
        <v>14</v>
      </c>
      <c r="G491" t="s">
        <v>20</v>
      </c>
      <c r="H491" s="2">
        <v>45812</v>
      </c>
      <c r="I491" s="2">
        <v>5</v>
      </c>
      <c r="J491" s="2">
        <v>177015</v>
      </c>
      <c r="K491" s="2">
        <v>43610</v>
      </c>
      <c r="L491" s="2">
        <v>3</v>
      </c>
      <c r="M491" t="str">
        <f>IF(Revv_bike_sales_data[[#This Row],[delivery_days]]&lt;=7, "Yes", "No")</f>
        <v>Yes</v>
      </c>
      <c r="N491" t="s">
        <v>16</v>
      </c>
      <c r="O491" s="2">
        <v>133405</v>
      </c>
    </row>
    <row r="492" spans="1:15" x14ac:dyDescent="0.3">
      <c r="A492" s="2">
        <v>482</v>
      </c>
      <c r="B492" s="1">
        <v>44947.041666666664</v>
      </c>
      <c r="C492" s="1" t="str">
        <f t="shared" si="14"/>
        <v>01-2023</v>
      </c>
      <c r="D492" s="2">
        <f t="shared" si="15"/>
        <v>3</v>
      </c>
      <c r="E492" t="s">
        <v>13</v>
      </c>
      <c r="F492" t="s">
        <v>14</v>
      </c>
      <c r="G492" t="s">
        <v>21</v>
      </c>
      <c r="H492" s="2">
        <v>87728</v>
      </c>
      <c r="I492" s="2">
        <v>2</v>
      </c>
      <c r="J492" s="2">
        <v>63785</v>
      </c>
      <c r="K492" s="2">
        <v>119334</v>
      </c>
      <c r="L492" s="2">
        <v>12</v>
      </c>
      <c r="M492" t="str">
        <f>IF(Revv_bike_sales_data[[#This Row],[delivery_days]]&lt;=7, "Yes", "No")</f>
        <v>No</v>
      </c>
      <c r="N492" t="s">
        <v>16</v>
      </c>
      <c r="O492" s="2">
        <v>-55549</v>
      </c>
    </row>
    <row r="493" spans="1:15" x14ac:dyDescent="0.3">
      <c r="A493" s="2">
        <v>483</v>
      </c>
      <c r="B493" s="1">
        <v>44947.083333333336</v>
      </c>
      <c r="C493" s="1" t="str">
        <f t="shared" si="14"/>
        <v>01-2023</v>
      </c>
      <c r="D493" s="2">
        <f t="shared" si="15"/>
        <v>3</v>
      </c>
      <c r="E493" t="s">
        <v>22</v>
      </c>
      <c r="F493" t="s">
        <v>14</v>
      </c>
      <c r="G493" t="s">
        <v>21</v>
      </c>
      <c r="H493" s="2">
        <v>73443</v>
      </c>
      <c r="I493" s="2">
        <v>8</v>
      </c>
      <c r="J493" s="2">
        <v>125956</v>
      </c>
      <c r="K493" s="2">
        <v>35995</v>
      </c>
      <c r="L493" s="2">
        <v>6</v>
      </c>
      <c r="M493" t="str">
        <f>IF(Revv_bike_sales_data[[#This Row],[delivery_days]]&lt;=7, "Yes", "No")</f>
        <v>Yes</v>
      </c>
      <c r="N493" t="s">
        <v>16</v>
      </c>
      <c r="O493" s="2">
        <v>89961</v>
      </c>
    </row>
    <row r="494" spans="1:15" x14ac:dyDescent="0.3">
      <c r="A494" s="2">
        <v>484</v>
      </c>
      <c r="B494" s="1">
        <v>44947.125</v>
      </c>
      <c r="C494" s="1" t="str">
        <f t="shared" si="14"/>
        <v>01-2023</v>
      </c>
      <c r="D494" s="2">
        <f t="shared" si="15"/>
        <v>3</v>
      </c>
      <c r="E494" t="s">
        <v>17</v>
      </c>
      <c r="F494" t="s">
        <v>14</v>
      </c>
      <c r="G494" t="s">
        <v>19</v>
      </c>
      <c r="H494" s="2">
        <v>83290</v>
      </c>
      <c r="I494" s="2">
        <v>7</v>
      </c>
      <c r="J494" s="2">
        <v>144006</v>
      </c>
      <c r="K494" s="2">
        <v>99716</v>
      </c>
      <c r="L494" s="2">
        <v>8</v>
      </c>
      <c r="M494" t="str">
        <f>IF(Revv_bike_sales_data[[#This Row],[delivery_days]]&lt;=7, "Yes", "No")</f>
        <v>No</v>
      </c>
      <c r="N494" t="s">
        <v>16</v>
      </c>
      <c r="O494" s="2">
        <v>44290</v>
      </c>
    </row>
    <row r="495" spans="1:15" x14ac:dyDescent="0.3">
      <c r="A495" s="2">
        <v>485</v>
      </c>
      <c r="B495" s="1">
        <v>44947.166666666664</v>
      </c>
      <c r="C495" s="1" t="str">
        <f t="shared" si="14"/>
        <v>01-2023</v>
      </c>
      <c r="D495" s="2">
        <f t="shared" si="15"/>
        <v>3</v>
      </c>
      <c r="E495" t="s">
        <v>25</v>
      </c>
      <c r="F495" t="s">
        <v>14</v>
      </c>
      <c r="G495" t="s">
        <v>20</v>
      </c>
      <c r="H495" s="2">
        <v>81270</v>
      </c>
      <c r="I495" s="2">
        <v>5</v>
      </c>
      <c r="J495" s="2">
        <v>35832</v>
      </c>
      <c r="K495" s="2">
        <v>22717</v>
      </c>
      <c r="L495" s="2">
        <v>13</v>
      </c>
      <c r="M495" t="str">
        <f>IF(Revv_bike_sales_data[[#This Row],[delivery_days]]&lt;=7, "Yes", "No")</f>
        <v>No</v>
      </c>
      <c r="N495" t="s">
        <v>16</v>
      </c>
      <c r="O495" s="2">
        <v>13115</v>
      </c>
    </row>
    <row r="496" spans="1:15" x14ac:dyDescent="0.3">
      <c r="A496" s="2">
        <v>486</v>
      </c>
      <c r="B496" s="1">
        <v>44947.208333333336</v>
      </c>
      <c r="C496" s="1" t="str">
        <f t="shared" si="14"/>
        <v>01-2023</v>
      </c>
      <c r="D496" s="2">
        <f t="shared" si="15"/>
        <v>3</v>
      </c>
      <c r="E496" t="s">
        <v>18</v>
      </c>
      <c r="F496" t="s">
        <v>14</v>
      </c>
      <c r="G496" t="s">
        <v>15</v>
      </c>
      <c r="H496" s="2">
        <v>53226</v>
      </c>
      <c r="I496" s="2">
        <v>3</v>
      </c>
      <c r="J496" s="2">
        <v>161457</v>
      </c>
      <c r="K496" s="2">
        <v>93867</v>
      </c>
      <c r="L496" s="2">
        <v>12</v>
      </c>
      <c r="M496" t="str">
        <f>IF(Revv_bike_sales_data[[#This Row],[delivery_days]]&lt;=7, "Yes", "No")</f>
        <v>No</v>
      </c>
      <c r="N496" t="s">
        <v>16</v>
      </c>
      <c r="O496" s="2">
        <v>67590</v>
      </c>
    </row>
    <row r="497" spans="1:15" x14ac:dyDescent="0.3">
      <c r="A497" s="2">
        <v>487</v>
      </c>
      <c r="B497" s="1">
        <v>44947.25</v>
      </c>
      <c r="C497" s="1" t="str">
        <f t="shared" si="14"/>
        <v>01-2023</v>
      </c>
      <c r="D497" s="2">
        <f t="shared" si="15"/>
        <v>3</v>
      </c>
      <c r="E497" t="s">
        <v>25</v>
      </c>
      <c r="F497" t="s">
        <v>23</v>
      </c>
      <c r="G497" t="s">
        <v>15</v>
      </c>
      <c r="H497" s="2">
        <v>22711</v>
      </c>
      <c r="I497" s="2">
        <v>6</v>
      </c>
      <c r="J497" s="2">
        <v>170780</v>
      </c>
      <c r="K497" s="2">
        <v>94472</v>
      </c>
      <c r="L497" s="2">
        <v>4</v>
      </c>
      <c r="M497" t="str">
        <f>IF(Revv_bike_sales_data[[#This Row],[delivery_days]]&lt;=7, "Yes", "No")</f>
        <v>Yes</v>
      </c>
      <c r="N497" t="s">
        <v>16</v>
      </c>
      <c r="O497" s="2">
        <v>76308</v>
      </c>
    </row>
    <row r="498" spans="1:15" x14ac:dyDescent="0.3">
      <c r="A498" s="2">
        <v>488</v>
      </c>
      <c r="B498" s="1">
        <v>44947.291666666664</v>
      </c>
      <c r="C498" s="1" t="str">
        <f t="shared" si="14"/>
        <v>01-2023</v>
      </c>
      <c r="D498" s="2">
        <f t="shared" si="15"/>
        <v>3</v>
      </c>
      <c r="E498" t="s">
        <v>18</v>
      </c>
      <c r="F498" t="s">
        <v>14</v>
      </c>
      <c r="G498" t="s">
        <v>19</v>
      </c>
      <c r="H498" s="2">
        <v>29980</v>
      </c>
      <c r="I498" s="2">
        <v>2</v>
      </c>
      <c r="J498" s="2">
        <v>179510</v>
      </c>
      <c r="K498" s="2">
        <v>79022</v>
      </c>
      <c r="L498" s="2">
        <v>9</v>
      </c>
      <c r="M498" t="str">
        <f>IF(Revv_bike_sales_data[[#This Row],[delivery_days]]&lt;=7, "Yes", "No")</f>
        <v>No</v>
      </c>
      <c r="N498" t="s">
        <v>16</v>
      </c>
      <c r="O498" s="2">
        <v>100488</v>
      </c>
    </row>
    <row r="499" spans="1:15" x14ac:dyDescent="0.3">
      <c r="A499" s="2">
        <v>489</v>
      </c>
      <c r="B499" s="1">
        <v>44947.333333333336</v>
      </c>
      <c r="C499" s="1" t="str">
        <f t="shared" si="14"/>
        <v>01-2023</v>
      </c>
      <c r="D499" s="2">
        <f t="shared" si="15"/>
        <v>3</v>
      </c>
      <c r="E499" t="s">
        <v>13</v>
      </c>
      <c r="F499" t="s">
        <v>23</v>
      </c>
      <c r="G499" t="s">
        <v>19</v>
      </c>
      <c r="H499" s="2">
        <v>48280</v>
      </c>
      <c r="I499" s="2">
        <v>9</v>
      </c>
      <c r="J499" s="2">
        <v>107747</v>
      </c>
      <c r="K499" s="2">
        <v>68668</v>
      </c>
      <c r="L499" s="2">
        <v>6</v>
      </c>
      <c r="M499" t="str">
        <f>IF(Revv_bike_sales_data[[#This Row],[delivery_days]]&lt;=7, "Yes", "No")</f>
        <v>Yes</v>
      </c>
      <c r="N499" t="s">
        <v>16</v>
      </c>
      <c r="O499" s="2">
        <v>39079</v>
      </c>
    </row>
    <row r="500" spans="1:15" x14ac:dyDescent="0.3">
      <c r="A500" s="2">
        <v>490</v>
      </c>
      <c r="B500" s="1">
        <v>44947.375</v>
      </c>
      <c r="C500" s="1" t="str">
        <f t="shared" si="14"/>
        <v>01-2023</v>
      </c>
      <c r="D500" s="2">
        <f t="shared" si="15"/>
        <v>3</v>
      </c>
      <c r="E500" t="s">
        <v>22</v>
      </c>
      <c r="F500" t="s">
        <v>14</v>
      </c>
      <c r="G500" t="s">
        <v>20</v>
      </c>
      <c r="H500" s="2">
        <v>57638</v>
      </c>
      <c r="I500" s="2">
        <v>7</v>
      </c>
      <c r="J500" s="2">
        <v>105107</v>
      </c>
      <c r="K500" s="2">
        <v>66645</v>
      </c>
      <c r="L500" s="2">
        <v>5</v>
      </c>
      <c r="M500" t="str">
        <f>IF(Revv_bike_sales_data[[#This Row],[delivery_days]]&lt;=7, "Yes", "No")</f>
        <v>Yes</v>
      </c>
      <c r="N500" t="s">
        <v>24</v>
      </c>
      <c r="O500" s="2">
        <v>38462</v>
      </c>
    </row>
    <row r="501" spans="1:15" x14ac:dyDescent="0.3">
      <c r="A501" s="2">
        <v>491</v>
      </c>
      <c r="B501" s="1">
        <v>44947.416666666664</v>
      </c>
      <c r="C501" s="1" t="str">
        <f t="shared" si="14"/>
        <v>01-2023</v>
      </c>
      <c r="D501" s="2">
        <f t="shared" si="15"/>
        <v>3</v>
      </c>
      <c r="E501" t="s">
        <v>25</v>
      </c>
      <c r="F501" t="s">
        <v>14</v>
      </c>
      <c r="G501" t="s">
        <v>15</v>
      </c>
      <c r="H501" s="2">
        <v>90882</v>
      </c>
      <c r="I501" s="2">
        <v>0</v>
      </c>
      <c r="J501" s="2">
        <v>90428</v>
      </c>
      <c r="K501" s="2">
        <v>44550</v>
      </c>
      <c r="L501" s="2">
        <v>3</v>
      </c>
      <c r="M501" t="str">
        <f>IF(Revv_bike_sales_data[[#This Row],[delivery_days]]&lt;=7, "Yes", "No")</f>
        <v>Yes</v>
      </c>
      <c r="N501" t="s">
        <v>16</v>
      </c>
      <c r="O501" s="2">
        <v>45878</v>
      </c>
    </row>
    <row r="502" spans="1:15" x14ac:dyDescent="0.3">
      <c r="A502" s="2">
        <v>492</v>
      </c>
      <c r="B502" s="1">
        <v>44947.458333333336</v>
      </c>
      <c r="C502" s="1" t="str">
        <f t="shared" si="14"/>
        <v>01-2023</v>
      </c>
      <c r="D502" s="2">
        <f t="shared" si="15"/>
        <v>3</v>
      </c>
      <c r="E502" t="s">
        <v>17</v>
      </c>
      <c r="F502" t="s">
        <v>14</v>
      </c>
      <c r="G502" t="s">
        <v>21</v>
      </c>
      <c r="H502" s="2">
        <v>43003</v>
      </c>
      <c r="I502" s="2">
        <v>2</v>
      </c>
      <c r="J502" s="2">
        <v>111843</v>
      </c>
      <c r="K502" s="2">
        <v>101151</v>
      </c>
      <c r="L502" s="2">
        <v>5</v>
      </c>
      <c r="M502" t="str">
        <f>IF(Revv_bike_sales_data[[#This Row],[delivery_days]]&lt;=7, "Yes", "No")</f>
        <v>Yes</v>
      </c>
      <c r="N502" t="s">
        <v>16</v>
      </c>
      <c r="O502" s="2">
        <v>10692</v>
      </c>
    </row>
    <row r="503" spans="1:15" x14ac:dyDescent="0.3">
      <c r="A503" s="2">
        <v>493</v>
      </c>
      <c r="B503" s="1">
        <v>44947.5</v>
      </c>
      <c r="C503" s="1" t="str">
        <f t="shared" si="14"/>
        <v>01-2023</v>
      </c>
      <c r="D503" s="2">
        <f t="shared" si="15"/>
        <v>3</v>
      </c>
      <c r="E503" t="s">
        <v>13</v>
      </c>
      <c r="F503" t="s">
        <v>14</v>
      </c>
      <c r="G503" t="s">
        <v>19</v>
      </c>
      <c r="H503" s="2">
        <v>58393</v>
      </c>
      <c r="I503" s="2">
        <v>4</v>
      </c>
      <c r="J503" s="2">
        <v>36002</v>
      </c>
      <c r="K503" s="2">
        <v>18576</v>
      </c>
      <c r="L503" s="2">
        <v>5</v>
      </c>
      <c r="M503" t="str">
        <f>IF(Revv_bike_sales_data[[#This Row],[delivery_days]]&lt;=7, "Yes", "No")</f>
        <v>Yes</v>
      </c>
      <c r="N503" t="s">
        <v>16</v>
      </c>
      <c r="O503" s="2">
        <v>17426</v>
      </c>
    </row>
    <row r="504" spans="1:15" x14ac:dyDescent="0.3">
      <c r="A504" s="2">
        <v>494</v>
      </c>
      <c r="B504" s="1">
        <v>44947.541666666664</v>
      </c>
      <c r="C504" s="1" t="str">
        <f t="shared" si="14"/>
        <v>01-2023</v>
      </c>
      <c r="D504" s="2">
        <f t="shared" si="15"/>
        <v>3</v>
      </c>
      <c r="E504" t="s">
        <v>25</v>
      </c>
      <c r="F504" t="s">
        <v>14</v>
      </c>
      <c r="G504" t="s">
        <v>15</v>
      </c>
      <c r="H504" s="2">
        <v>46693</v>
      </c>
      <c r="I504" s="2">
        <v>4</v>
      </c>
      <c r="J504" s="2">
        <v>178512</v>
      </c>
      <c r="K504" s="2">
        <v>55868</v>
      </c>
      <c r="L504" s="2">
        <v>14</v>
      </c>
      <c r="M504" t="str">
        <f>IF(Revv_bike_sales_data[[#This Row],[delivery_days]]&lt;=7, "Yes", "No")</f>
        <v>No</v>
      </c>
      <c r="N504" t="s">
        <v>16</v>
      </c>
      <c r="O504" s="2">
        <v>122644</v>
      </c>
    </row>
    <row r="505" spans="1:15" x14ac:dyDescent="0.3">
      <c r="A505" s="2">
        <v>495</v>
      </c>
      <c r="B505" s="1">
        <v>44947.583333333336</v>
      </c>
      <c r="C505" s="1" t="str">
        <f t="shared" si="14"/>
        <v>01-2023</v>
      </c>
      <c r="D505" s="2">
        <f t="shared" si="15"/>
        <v>3</v>
      </c>
      <c r="E505" t="s">
        <v>17</v>
      </c>
      <c r="F505" t="s">
        <v>14</v>
      </c>
      <c r="G505" t="s">
        <v>20</v>
      </c>
      <c r="H505" s="2">
        <v>61858</v>
      </c>
      <c r="I505" s="2">
        <v>9</v>
      </c>
      <c r="J505" s="2">
        <v>92501</v>
      </c>
      <c r="K505" s="2">
        <v>113039</v>
      </c>
      <c r="L505" s="2">
        <v>12</v>
      </c>
      <c r="M505" t="str">
        <f>IF(Revv_bike_sales_data[[#This Row],[delivery_days]]&lt;=7, "Yes", "No")</f>
        <v>No</v>
      </c>
      <c r="N505" t="s">
        <v>16</v>
      </c>
      <c r="O505" s="2">
        <v>-20538</v>
      </c>
    </row>
    <row r="506" spans="1:15" x14ac:dyDescent="0.3">
      <c r="A506" s="2">
        <v>496</v>
      </c>
      <c r="B506" s="1">
        <v>44947.625</v>
      </c>
      <c r="C506" s="1" t="str">
        <f t="shared" si="14"/>
        <v>01-2023</v>
      </c>
      <c r="D506" s="2">
        <f t="shared" si="15"/>
        <v>3</v>
      </c>
      <c r="E506" t="s">
        <v>25</v>
      </c>
      <c r="F506" t="s">
        <v>14</v>
      </c>
      <c r="G506" t="s">
        <v>21</v>
      </c>
      <c r="H506" s="2">
        <v>81357</v>
      </c>
      <c r="I506" s="2">
        <v>1</v>
      </c>
      <c r="J506" s="2">
        <v>57556</v>
      </c>
      <c r="K506" s="2">
        <v>61380</v>
      </c>
      <c r="L506" s="2">
        <v>12</v>
      </c>
      <c r="M506" t="str">
        <f>IF(Revv_bike_sales_data[[#This Row],[delivery_days]]&lt;=7, "Yes", "No")</f>
        <v>No</v>
      </c>
      <c r="N506" t="s">
        <v>16</v>
      </c>
      <c r="O506" s="2">
        <v>-3824</v>
      </c>
    </row>
    <row r="507" spans="1:15" x14ac:dyDescent="0.3">
      <c r="A507" s="2">
        <v>497</v>
      </c>
      <c r="B507" s="1">
        <v>44947.666666666664</v>
      </c>
      <c r="C507" s="1" t="str">
        <f t="shared" si="14"/>
        <v>01-2023</v>
      </c>
      <c r="D507" s="2">
        <f t="shared" si="15"/>
        <v>3</v>
      </c>
      <c r="E507" t="s">
        <v>18</v>
      </c>
      <c r="F507" t="s">
        <v>23</v>
      </c>
      <c r="G507" t="s">
        <v>20</v>
      </c>
      <c r="H507" s="2">
        <v>78682</v>
      </c>
      <c r="I507" s="2">
        <v>9</v>
      </c>
      <c r="J507" s="2">
        <v>92963</v>
      </c>
      <c r="K507" s="2">
        <v>20728</v>
      </c>
      <c r="L507" s="2">
        <v>4</v>
      </c>
      <c r="M507" t="str">
        <f>IF(Revv_bike_sales_data[[#This Row],[delivery_days]]&lt;=7, "Yes", "No")</f>
        <v>Yes</v>
      </c>
      <c r="N507" t="s">
        <v>24</v>
      </c>
      <c r="O507" s="2">
        <v>72235</v>
      </c>
    </row>
    <row r="508" spans="1:15" x14ac:dyDescent="0.3">
      <c r="A508" s="2">
        <v>498</v>
      </c>
      <c r="B508" s="1">
        <v>44947.708333333336</v>
      </c>
      <c r="C508" s="1" t="str">
        <f t="shared" si="14"/>
        <v>01-2023</v>
      </c>
      <c r="D508" s="2">
        <f t="shared" si="15"/>
        <v>3</v>
      </c>
      <c r="E508" t="s">
        <v>25</v>
      </c>
      <c r="F508" t="s">
        <v>23</v>
      </c>
      <c r="G508" t="s">
        <v>19</v>
      </c>
      <c r="H508" s="2">
        <v>22617</v>
      </c>
      <c r="I508" s="2">
        <v>7</v>
      </c>
      <c r="J508" s="2">
        <v>31563</v>
      </c>
      <c r="K508" s="2">
        <v>47800</v>
      </c>
      <c r="L508" s="2">
        <v>12</v>
      </c>
      <c r="M508" t="str">
        <f>IF(Revv_bike_sales_data[[#This Row],[delivery_days]]&lt;=7, "Yes", "No")</f>
        <v>No</v>
      </c>
      <c r="N508" t="s">
        <v>16</v>
      </c>
      <c r="O508" s="2">
        <v>-16237</v>
      </c>
    </row>
    <row r="509" spans="1:15" x14ac:dyDescent="0.3">
      <c r="A509" s="2">
        <v>499</v>
      </c>
      <c r="B509" s="1">
        <v>44947.75</v>
      </c>
      <c r="C509" s="1" t="str">
        <f t="shared" si="14"/>
        <v>01-2023</v>
      </c>
      <c r="D509" s="2">
        <f t="shared" si="15"/>
        <v>3</v>
      </c>
      <c r="E509" t="s">
        <v>25</v>
      </c>
      <c r="F509" t="s">
        <v>23</v>
      </c>
      <c r="G509" t="s">
        <v>15</v>
      </c>
      <c r="H509" s="2">
        <v>59556</v>
      </c>
      <c r="I509" s="2">
        <v>4</v>
      </c>
      <c r="J509" s="2">
        <v>30840</v>
      </c>
      <c r="K509" s="2">
        <v>25886</v>
      </c>
      <c r="L509" s="2">
        <v>6</v>
      </c>
      <c r="M509" t="str">
        <f>IF(Revv_bike_sales_data[[#This Row],[delivery_days]]&lt;=7, "Yes", "No")</f>
        <v>Yes</v>
      </c>
      <c r="N509" t="s">
        <v>16</v>
      </c>
      <c r="O509" s="2">
        <v>4954</v>
      </c>
    </row>
    <row r="510" spans="1:15" x14ac:dyDescent="0.3">
      <c r="A510" s="2">
        <v>500</v>
      </c>
      <c r="B510" s="1">
        <v>44947.791666666664</v>
      </c>
      <c r="C510" s="1" t="str">
        <f t="shared" si="14"/>
        <v>01-2023</v>
      </c>
      <c r="D510" s="2">
        <f t="shared" si="15"/>
        <v>3</v>
      </c>
      <c r="E510" t="s">
        <v>25</v>
      </c>
      <c r="F510" t="s">
        <v>14</v>
      </c>
      <c r="G510" t="s">
        <v>15</v>
      </c>
      <c r="H510" s="2">
        <v>59206</v>
      </c>
      <c r="I510" s="2">
        <v>6</v>
      </c>
      <c r="J510" s="2">
        <v>40154</v>
      </c>
      <c r="K510" s="2">
        <v>94614</v>
      </c>
      <c r="L510" s="2">
        <v>3</v>
      </c>
      <c r="M510" t="str">
        <f>IF(Revv_bike_sales_data[[#This Row],[delivery_days]]&lt;=7, "Yes", "No")</f>
        <v>Yes</v>
      </c>
      <c r="N510" t="s">
        <v>16</v>
      </c>
      <c r="O510" s="2">
        <v>-54460</v>
      </c>
    </row>
    <row r="511" spans="1:15" x14ac:dyDescent="0.3">
      <c r="A511" s="2">
        <v>501</v>
      </c>
      <c r="B511" s="1">
        <v>44947.833333333336</v>
      </c>
      <c r="C511" s="1" t="str">
        <f t="shared" si="14"/>
        <v>01-2023</v>
      </c>
      <c r="D511" s="2">
        <f t="shared" si="15"/>
        <v>3</v>
      </c>
      <c r="E511" t="s">
        <v>13</v>
      </c>
      <c r="F511" t="s">
        <v>14</v>
      </c>
      <c r="G511" t="s">
        <v>15</v>
      </c>
      <c r="H511" s="2">
        <v>70929</v>
      </c>
      <c r="I511" s="2">
        <v>6</v>
      </c>
      <c r="J511" s="2">
        <v>49194</v>
      </c>
      <c r="K511" s="2">
        <v>84909</v>
      </c>
      <c r="L511" s="2">
        <v>10</v>
      </c>
      <c r="M511" t="str">
        <f>IF(Revv_bike_sales_data[[#This Row],[delivery_days]]&lt;=7, "Yes", "No")</f>
        <v>No</v>
      </c>
      <c r="N511" t="s">
        <v>16</v>
      </c>
      <c r="O511" s="2">
        <v>-35715</v>
      </c>
    </row>
    <row r="512" spans="1:15" x14ac:dyDescent="0.3">
      <c r="A512" s="2">
        <v>502</v>
      </c>
      <c r="B512" s="1">
        <v>44947.875</v>
      </c>
      <c r="C512" s="1" t="str">
        <f t="shared" si="14"/>
        <v>01-2023</v>
      </c>
      <c r="D512" s="2">
        <f t="shared" si="15"/>
        <v>3</v>
      </c>
      <c r="E512" t="s">
        <v>25</v>
      </c>
      <c r="F512" t="s">
        <v>14</v>
      </c>
      <c r="G512" t="s">
        <v>15</v>
      </c>
      <c r="H512" s="2">
        <v>9976</v>
      </c>
      <c r="I512" s="2">
        <v>4</v>
      </c>
      <c r="J512" s="2">
        <v>178520</v>
      </c>
      <c r="K512" s="2">
        <v>62236</v>
      </c>
      <c r="L512" s="2">
        <v>1</v>
      </c>
      <c r="M512" t="str">
        <f>IF(Revv_bike_sales_data[[#This Row],[delivery_days]]&lt;=7, "Yes", "No")</f>
        <v>Yes</v>
      </c>
      <c r="N512" t="s">
        <v>16</v>
      </c>
      <c r="O512" s="2">
        <v>116284</v>
      </c>
    </row>
    <row r="513" spans="1:15" x14ac:dyDescent="0.3">
      <c r="A513" s="2">
        <v>503</v>
      </c>
      <c r="B513" s="1">
        <v>44947.916666666664</v>
      </c>
      <c r="C513" s="1" t="str">
        <f t="shared" si="14"/>
        <v>01-2023</v>
      </c>
      <c r="D513" s="2">
        <f t="shared" si="15"/>
        <v>3</v>
      </c>
      <c r="E513" t="s">
        <v>17</v>
      </c>
      <c r="F513" t="s">
        <v>14</v>
      </c>
      <c r="G513" t="s">
        <v>21</v>
      </c>
      <c r="H513" s="2">
        <v>83306</v>
      </c>
      <c r="I513" s="2">
        <v>7</v>
      </c>
      <c r="J513" s="2">
        <v>48528</v>
      </c>
      <c r="K513" s="2">
        <v>60805</v>
      </c>
      <c r="L513" s="2">
        <v>7</v>
      </c>
      <c r="M513" t="str">
        <f>IF(Revv_bike_sales_data[[#This Row],[delivery_days]]&lt;=7, "Yes", "No")</f>
        <v>Yes</v>
      </c>
      <c r="N513" t="s">
        <v>16</v>
      </c>
      <c r="O513" s="2">
        <v>-12277</v>
      </c>
    </row>
    <row r="514" spans="1:15" x14ac:dyDescent="0.3">
      <c r="A514" s="2">
        <v>504</v>
      </c>
      <c r="B514" s="1">
        <v>44947.958333333336</v>
      </c>
      <c r="C514" s="1" t="str">
        <f t="shared" si="14"/>
        <v>01-2023</v>
      </c>
      <c r="D514" s="2">
        <f t="shared" si="15"/>
        <v>3</v>
      </c>
      <c r="E514" t="s">
        <v>18</v>
      </c>
      <c r="F514" t="s">
        <v>14</v>
      </c>
      <c r="G514" t="s">
        <v>21</v>
      </c>
      <c r="H514" s="2">
        <v>55506</v>
      </c>
      <c r="I514" s="2">
        <v>8</v>
      </c>
      <c r="J514" s="2">
        <v>29352</v>
      </c>
      <c r="K514" s="2">
        <v>133286</v>
      </c>
      <c r="L514" s="2">
        <v>7</v>
      </c>
      <c r="M514" t="str">
        <f>IF(Revv_bike_sales_data[[#This Row],[delivery_days]]&lt;=7, "Yes", "No")</f>
        <v>Yes</v>
      </c>
      <c r="N514" t="s">
        <v>16</v>
      </c>
      <c r="O514" s="2">
        <v>-103934</v>
      </c>
    </row>
    <row r="515" spans="1:15" x14ac:dyDescent="0.3">
      <c r="A515" s="2">
        <v>505</v>
      </c>
      <c r="B515" s="1">
        <v>44948</v>
      </c>
      <c r="C515" s="1" t="str">
        <f t="shared" si="14"/>
        <v>01-2023</v>
      </c>
      <c r="D515" s="2">
        <f t="shared" si="15"/>
        <v>4</v>
      </c>
      <c r="E515" t="s">
        <v>18</v>
      </c>
      <c r="F515" t="s">
        <v>14</v>
      </c>
      <c r="G515" t="s">
        <v>20</v>
      </c>
      <c r="H515" s="2">
        <v>87738</v>
      </c>
      <c r="I515" s="2">
        <v>3</v>
      </c>
      <c r="J515" s="2">
        <v>25184</v>
      </c>
      <c r="K515" s="2">
        <v>47532</v>
      </c>
      <c r="L515" s="2">
        <v>12</v>
      </c>
      <c r="M515" t="str">
        <f>IF(Revv_bike_sales_data[[#This Row],[delivery_days]]&lt;=7, "Yes", "No")</f>
        <v>No</v>
      </c>
      <c r="N515" t="s">
        <v>16</v>
      </c>
      <c r="O515" s="2">
        <v>-22348</v>
      </c>
    </row>
    <row r="516" spans="1:15" x14ac:dyDescent="0.3">
      <c r="A516" s="2">
        <v>506</v>
      </c>
      <c r="B516" s="1">
        <v>44948.041666666664</v>
      </c>
      <c r="C516" s="1" t="str">
        <f t="shared" si="14"/>
        <v>01-2023</v>
      </c>
      <c r="D516" s="2">
        <f t="shared" si="15"/>
        <v>4</v>
      </c>
      <c r="E516" t="s">
        <v>25</v>
      </c>
      <c r="F516" t="s">
        <v>14</v>
      </c>
      <c r="G516" t="s">
        <v>21</v>
      </c>
      <c r="H516" s="2">
        <v>70418</v>
      </c>
      <c r="I516" s="2">
        <v>3</v>
      </c>
      <c r="J516" s="2">
        <v>166456</v>
      </c>
      <c r="K516" s="2">
        <v>127765</v>
      </c>
      <c r="L516" s="2">
        <v>4</v>
      </c>
      <c r="M516" t="str">
        <f>IF(Revv_bike_sales_data[[#This Row],[delivery_days]]&lt;=7, "Yes", "No")</f>
        <v>Yes</v>
      </c>
      <c r="N516" t="s">
        <v>24</v>
      </c>
      <c r="O516" s="2">
        <v>38691</v>
      </c>
    </row>
    <row r="517" spans="1:15" x14ac:dyDescent="0.3">
      <c r="A517" s="2">
        <v>507</v>
      </c>
      <c r="B517" s="1">
        <v>44948.083333333336</v>
      </c>
      <c r="C517" s="1" t="str">
        <f t="shared" si="14"/>
        <v>01-2023</v>
      </c>
      <c r="D517" s="2">
        <f t="shared" si="15"/>
        <v>4</v>
      </c>
      <c r="E517" t="s">
        <v>13</v>
      </c>
      <c r="F517" t="s">
        <v>14</v>
      </c>
      <c r="G517" t="s">
        <v>19</v>
      </c>
      <c r="H517" s="2">
        <v>63655</v>
      </c>
      <c r="I517" s="2">
        <v>7</v>
      </c>
      <c r="J517" s="2">
        <v>39319</v>
      </c>
      <c r="K517" s="2">
        <v>115696</v>
      </c>
      <c r="L517" s="2">
        <v>9</v>
      </c>
      <c r="M517" t="str">
        <f>IF(Revv_bike_sales_data[[#This Row],[delivery_days]]&lt;=7, "Yes", "No")</f>
        <v>No</v>
      </c>
      <c r="N517" t="s">
        <v>16</v>
      </c>
      <c r="O517" s="2">
        <v>-76377</v>
      </c>
    </row>
    <row r="518" spans="1:15" x14ac:dyDescent="0.3">
      <c r="A518" s="2">
        <v>508</v>
      </c>
      <c r="B518" s="1">
        <v>44948.125</v>
      </c>
      <c r="C518" s="1" t="str">
        <f t="shared" si="14"/>
        <v>01-2023</v>
      </c>
      <c r="D518" s="2">
        <f t="shared" si="15"/>
        <v>4</v>
      </c>
      <c r="E518" t="s">
        <v>13</v>
      </c>
      <c r="F518" t="s">
        <v>23</v>
      </c>
      <c r="G518" t="s">
        <v>19</v>
      </c>
      <c r="H518" s="2">
        <v>67821</v>
      </c>
      <c r="I518" s="2">
        <v>0</v>
      </c>
      <c r="J518" s="2">
        <v>145497</v>
      </c>
      <c r="K518" s="2">
        <v>43688</v>
      </c>
      <c r="L518" s="2">
        <v>12</v>
      </c>
      <c r="M518" t="str">
        <f>IF(Revv_bike_sales_data[[#This Row],[delivery_days]]&lt;=7, "Yes", "No")</f>
        <v>No</v>
      </c>
      <c r="N518" t="s">
        <v>16</v>
      </c>
      <c r="O518" s="2">
        <v>101809</v>
      </c>
    </row>
    <row r="519" spans="1:15" x14ac:dyDescent="0.3">
      <c r="A519" s="2">
        <v>509</v>
      </c>
      <c r="B519" s="1">
        <v>44948.166666666664</v>
      </c>
      <c r="C519" s="1" t="str">
        <f t="shared" si="14"/>
        <v>01-2023</v>
      </c>
      <c r="D519" s="2">
        <f t="shared" si="15"/>
        <v>4</v>
      </c>
      <c r="E519" t="s">
        <v>17</v>
      </c>
      <c r="F519" t="s">
        <v>14</v>
      </c>
      <c r="G519" t="s">
        <v>15</v>
      </c>
      <c r="H519" s="2">
        <v>46298</v>
      </c>
      <c r="I519" s="2">
        <v>3</v>
      </c>
      <c r="J519" s="2">
        <v>176521</v>
      </c>
      <c r="K519" s="2">
        <v>26063</v>
      </c>
      <c r="L519" s="2">
        <v>2</v>
      </c>
      <c r="M519" t="str">
        <f>IF(Revv_bike_sales_data[[#This Row],[delivery_days]]&lt;=7, "Yes", "No")</f>
        <v>Yes</v>
      </c>
      <c r="N519" t="s">
        <v>16</v>
      </c>
      <c r="O519" s="2">
        <v>150458</v>
      </c>
    </row>
    <row r="520" spans="1:15" x14ac:dyDescent="0.3">
      <c r="A520" s="2">
        <v>510</v>
      </c>
      <c r="B520" s="1">
        <v>44948.208333333336</v>
      </c>
      <c r="C520" s="1" t="str">
        <f t="shared" si="14"/>
        <v>01-2023</v>
      </c>
      <c r="D520" s="2">
        <f t="shared" si="15"/>
        <v>4</v>
      </c>
      <c r="E520" t="s">
        <v>25</v>
      </c>
      <c r="F520" t="s">
        <v>14</v>
      </c>
      <c r="G520" t="s">
        <v>19</v>
      </c>
      <c r="H520" s="2">
        <v>77771</v>
      </c>
      <c r="I520" s="2">
        <v>5</v>
      </c>
      <c r="J520" s="2">
        <v>81333</v>
      </c>
      <c r="K520" s="2">
        <v>38089</v>
      </c>
      <c r="L520" s="2">
        <v>13</v>
      </c>
      <c r="M520" t="str">
        <f>IF(Revv_bike_sales_data[[#This Row],[delivery_days]]&lt;=7, "Yes", "No")</f>
        <v>No</v>
      </c>
      <c r="N520" t="s">
        <v>16</v>
      </c>
      <c r="O520" s="2">
        <v>43244</v>
      </c>
    </row>
    <row r="521" spans="1:15" x14ac:dyDescent="0.3">
      <c r="A521" s="2">
        <v>511</v>
      </c>
      <c r="B521" s="1">
        <v>44948.25</v>
      </c>
      <c r="C521" s="1" t="str">
        <f t="shared" si="14"/>
        <v>01-2023</v>
      </c>
      <c r="D521" s="2">
        <f t="shared" si="15"/>
        <v>4</v>
      </c>
      <c r="E521" t="s">
        <v>18</v>
      </c>
      <c r="F521" t="s">
        <v>14</v>
      </c>
      <c r="G521" t="s">
        <v>20</v>
      </c>
      <c r="H521" s="2">
        <v>30677</v>
      </c>
      <c r="I521" s="2">
        <v>3</v>
      </c>
      <c r="J521" s="2">
        <v>66205</v>
      </c>
      <c r="K521" s="2">
        <v>70942</v>
      </c>
      <c r="L521" s="2">
        <v>1</v>
      </c>
      <c r="M521" t="str">
        <f>IF(Revv_bike_sales_data[[#This Row],[delivery_days]]&lt;=7, "Yes", "No")</f>
        <v>Yes</v>
      </c>
      <c r="N521" t="s">
        <v>16</v>
      </c>
      <c r="O521" s="2">
        <v>-4737</v>
      </c>
    </row>
    <row r="522" spans="1:15" x14ac:dyDescent="0.3">
      <c r="A522" s="2">
        <v>512</v>
      </c>
      <c r="B522" s="1">
        <v>44948.291666666664</v>
      </c>
      <c r="C522" s="1" t="str">
        <f t="shared" si="14"/>
        <v>01-2023</v>
      </c>
      <c r="D522" s="2">
        <f t="shared" si="15"/>
        <v>4</v>
      </c>
      <c r="E522" t="s">
        <v>13</v>
      </c>
      <c r="F522" t="s">
        <v>23</v>
      </c>
      <c r="G522" t="s">
        <v>21</v>
      </c>
      <c r="H522" s="2">
        <v>96748</v>
      </c>
      <c r="I522" s="2">
        <v>5</v>
      </c>
      <c r="J522" s="2">
        <v>35426</v>
      </c>
      <c r="K522" s="2">
        <v>66829</v>
      </c>
      <c r="L522" s="2">
        <v>3</v>
      </c>
      <c r="M522" t="str">
        <f>IF(Revv_bike_sales_data[[#This Row],[delivery_days]]&lt;=7, "Yes", "No")</f>
        <v>Yes</v>
      </c>
      <c r="N522" t="s">
        <v>16</v>
      </c>
      <c r="O522" s="2">
        <v>-31403</v>
      </c>
    </row>
    <row r="523" spans="1:15" x14ac:dyDescent="0.3">
      <c r="A523" s="2">
        <v>513</v>
      </c>
      <c r="B523" s="1">
        <v>44948.333333333336</v>
      </c>
      <c r="C523" s="1" t="str">
        <f t="shared" ref="C523:C586" si="16">TEXT(B523,"mm-yyyy")</f>
        <v>01-2023</v>
      </c>
      <c r="D523" s="2">
        <f t="shared" ref="D523:D586" si="17">WEEKNUM(B523)</f>
        <v>4</v>
      </c>
      <c r="E523" t="s">
        <v>25</v>
      </c>
      <c r="F523" t="s">
        <v>14</v>
      </c>
      <c r="G523" t="s">
        <v>21</v>
      </c>
      <c r="H523" s="2">
        <v>82715</v>
      </c>
      <c r="I523" s="2">
        <v>4</v>
      </c>
      <c r="J523" s="2">
        <v>32504</v>
      </c>
      <c r="K523" s="2">
        <v>65553</v>
      </c>
      <c r="L523" s="2">
        <v>7</v>
      </c>
      <c r="M523" t="str">
        <f>IF(Revv_bike_sales_data[[#This Row],[delivery_days]]&lt;=7, "Yes", "No")</f>
        <v>Yes</v>
      </c>
      <c r="N523" t="s">
        <v>16</v>
      </c>
      <c r="O523" s="2">
        <v>-33049</v>
      </c>
    </row>
    <row r="524" spans="1:15" x14ac:dyDescent="0.3">
      <c r="A524" s="2">
        <v>514</v>
      </c>
      <c r="B524" s="1">
        <v>44948.375</v>
      </c>
      <c r="C524" s="1" t="str">
        <f t="shared" si="16"/>
        <v>01-2023</v>
      </c>
      <c r="D524" s="2">
        <f t="shared" si="17"/>
        <v>4</v>
      </c>
      <c r="E524" t="s">
        <v>13</v>
      </c>
      <c r="F524" t="s">
        <v>14</v>
      </c>
      <c r="G524" t="s">
        <v>21</v>
      </c>
      <c r="H524" s="2">
        <v>43513</v>
      </c>
      <c r="I524" s="2">
        <v>8</v>
      </c>
      <c r="J524" s="2">
        <v>141775</v>
      </c>
      <c r="K524" s="2">
        <v>48585</v>
      </c>
      <c r="L524" s="2">
        <v>9</v>
      </c>
      <c r="M524" t="str">
        <f>IF(Revv_bike_sales_data[[#This Row],[delivery_days]]&lt;=7, "Yes", "No")</f>
        <v>No</v>
      </c>
      <c r="N524" t="s">
        <v>16</v>
      </c>
      <c r="O524" s="2">
        <v>93190</v>
      </c>
    </row>
    <row r="525" spans="1:15" x14ac:dyDescent="0.3">
      <c r="A525" s="2">
        <v>515</v>
      </c>
      <c r="B525" s="1">
        <v>44948.416666666664</v>
      </c>
      <c r="C525" s="1" t="str">
        <f t="shared" si="16"/>
        <v>01-2023</v>
      </c>
      <c r="D525" s="2">
        <f t="shared" si="17"/>
        <v>4</v>
      </c>
      <c r="E525" t="s">
        <v>13</v>
      </c>
      <c r="F525" t="s">
        <v>14</v>
      </c>
      <c r="G525" t="s">
        <v>19</v>
      </c>
      <c r="H525" s="2">
        <v>83100</v>
      </c>
      <c r="I525" s="2">
        <v>9</v>
      </c>
      <c r="J525" s="2">
        <v>58368</v>
      </c>
      <c r="K525" s="2">
        <v>86739</v>
      </c>
      <c r="L525" s="2">
        <v>2</v>
      </c>
      <c r="M525" t="str">
        <f>IF(Revv_bike_sales_data[[#This Row],[delivery_days]]&lt;=7, "Yes", "No")</f>
        <v>Yes</v>
      </c>
      <c r="N525" t="s">
        <v>24</v>
      </c>
      <c r="O525" s="2">
        <v>-28371</v>
      </c>
    </row>
    <row r="526" spans="1:15" x14ac:dyDescent="0.3">
      <c r="A526" s="2">
        <v>516</v>
      </c>
      <c r="B526" s="1">
        <v>44948.458333333336</v>
      </c>
      <c r="C526" s="1" t="str">
        <f t="shared" si="16"/>
        <v>01-2023</v>
      </c>
      <c r="D526" s="2">
        <f t="shared" si="17"/>
        <v>4</v>
      </c>
      <c r="E526" t="s">
        <v>18</v>
      </c>
      <c r="F526" t="s">
        <v>14</v>
      </c>
      <c r="G526" t="s">
        <v>21</v>
      </c>
      <c r="H526" s="2">
        <v>96599</v>
      </c>
      <c r="I526" s="2">
        <v>8</v>
      </c>
      <c r="J526" s="2">
        <v>128841</v>
      </c>
      <c r="K526" s="2">
        <v>74004</v>
      </c>
      <c r="L526" s="2">
        <v>6</v>
      </c>
      <c r="M526" t="str">
        <f>IF(Revv_bike_sales_data[[#This Row],[delivery_days]]&lt;=7, "Yes", "No")</f>
        <v>Yes</v>
      </c>
      <c r="N526" t="s">
        <v>24</v>
      </c>
      <c r="O526" s="2">
        <v>54837</v>
      </c>
    </row>
    <row r="527" spans="1:15" x14ac:dyDescent="0.3">
      <c r="A527" s="2">
        <v>517</v>
      </c>
      <c r="B527" s="1">
        <v>44948.5</v>
      </c>
      <c r="C527" s="1" t="str">
        <f t="shared" si="16"/>
        <v>01-2023</v>
      </c>
      <c r="D527" s="2">
        <f t="shared" si="17"/>
        <v>4</v>
      </c>
      <c r="E527" t="s">
        <v>22</v>
      </c>
      <c r="F527" t="s">
        <v>14</v>
      </c>
      <c r="G527" t="s">
        <v>15</v>
      </c>
      <c r="H527" s="2">
        <v>53950</v>
      </c>
      <c r="I527" s="2">
        <v>3</v>
      </c>
      <c r="J527" s="2">
        <v>141744</v>
      </c>
      <c r="K527" s="2">
        <v>134250</v>
      </c>
      <c r="L527" s="2">
        <v>3</v>
      </c>
      <c r="M527" t="str">
        <f>IF(Revv_bike_sales_data[[#This Row],[delivery_days]]&lt;=7, "Yes", "No")</f>
        <v>Yes</v>
      </c>
      <c r="N527" t="s">
        <v>16</v>
      </c>
      <c r="O527" s="2">
        <v>7494</v>
      </c>
    </row>
    <row r="528" spans="1:15" x14ac:dyDescent="0.3">
      <c r="A528" s="2">
        <v>518</v>
      </c>
      <c r="B528" s="1">
        <v>44948.541666666664</v>
      </c>
      <c r="C528" s="1" t="str">
        <f t="shared" si="16"/>
        <v>01-2023</v>
      </c>
      <c r="D528" s="2">
        <f t="shared" si="17"/>
        <v>4</v>
      </c>
      <c r="E528" t="s">
        <v>17</v>
      </c>
      <c r="F528" t="s">
        <v>14</v>
      </c>
      <c r="G528" t="s">
        <v>15</v>
      </c>
      <c r="H528" s="2">
        <v>99128</v>
      </c>
      <c r="I528" s="2">
        <v>3</v>
      </c>
      <c r="J528" s="2">
        <v>33724</v>
      </c>
      <c r="K528" s="2">
        <v>134411</v>
      </c>
      <c r="L528" s="2">
        <v>5</v>
      </c>
      <c r="M528" t="str">
        <f>IF(Revv_bike_sales_data[[#This Row],[delivery_days]]&lt;=7, "Yes", "No")</f>
        <v>Yes</v>
      </c>
      <c r="N528" t="s">
        <v>16</v>
      </c>
      <c r="O528" s="2">
        <v>-100687</v>
      </c>
    </row>
    <row r="529" spans="1:15" x14ac:dyDescent="0.3">
      <c r="A529" s="2">
        <v>519</v>
      </c>
      <c r="B529" s="1">
        <v>44948.583333333336</v>
      </c>
      <c r="C529" s="1" t="str">
        <f t="shared" si="16"/>
        <v>01-2023</v>
      </c>
      <c r="D529" s="2">
        <f t="shared" si="17"/>
        <v>4</v>
      </c>
      <c r="E529" t="s">
        <v>17</v>
      </c>
      <c r="F529" t="s">
        <v>14</v>
      </c>
      <c r="G529" t="s">
        <v>15</v>
      </c>
      <c r="H529" s="2">
        <v>48428</v>
      </c>
      <c r="I529" s="2">
        <v>7</v>
      </c>
      <c r="J529" s="2">
        <v>161156</v>
      </c>
      <c r="K529" s="2">
        <v>17438</v>
      </c>
      <c r="L529" s="2">
        <v>12</v>
      </c>
      <c r="M529" t="str">
        <f>IF(Revv_bike_sales_data[[#This Row],[delivery_days]]&lt;=7, "Yes", "No")</f>
        <v>No</v>
      </c>
      <c r="N529" t="s">
        <v>16</v>
      </c>
      <c r="O529" s="2">
        <v>143718</v>
      </c>
    </row>
    <row r="530" spans="1:15" x14ac:dyDescent="0.3">
      <c r="A530" s="2">
        <v>520</v>
      </c>
      <c r="B530" s="1">
        <v>44948.625</v>
      </c>
      <c r="C530" s="1" t="str">
        <f t="shared" si="16"/>
        <v>01-2023</v>
      </c>
      <c r="D530" s="2">
        <f t="shared" si="17"/>
        <v>4</v>
      </c>
      <c r="E530" t="s">
        <v>18</v>
      </c>
      <c r="F530" t="s">
        <v>14</v>
      </c>
      <c r="G530" t="s">
        <v>19</v>
      </c>
      <c r="H530" s="2">
        <v>92903</v>
      </c>
      <c r="I530" s="2">
        <v>9</v>
      </c>
      <c r="J530" s="2">
        <v>107297</v>
      </c>
      <c r="K530" s="2">
        <v>108095</v>
      </c>
      <c r="L530" s="2">
        <v>9</v>
      </c>
      <c r="M530" t="str">
        <f>IF(Revv_bike_sales_data[[#This Row],[delivery_days]]&lt;=7, "Yes", "No")</f>
        <v>No</v>
      </c>
      <c r="N530" t="s">
        <v>16</v>
      </c>
      <c r="O530" s="2">
        <v>-798</v>
      </c>
    </row>
    <row r="531" spans="1:15" x14ac:dyDescent="0.3">
      <c r="A531" s="2">
        <v>521</v>
      </c>
      <c r="B531" s="1">
        <v>44948.666666666664</v>
      </c>
      <c r="C531" s="1" t="str">
        <f t="shared" si="16"/>
        <v>01-2023</v>
      </c>
      <c r="D531" s="2">
        <f t="shared" si="17"/>
        <v>4</v>
      </c>
      <c r="E531" t="s">
        <v>13</v>
      </c>
      <c r="F531" t="s">
        <v>14</v>
      </c>
      <c r="G531" t="s">
        <v>21</v>
      </c>
      <c r="H531" s="2">
        <v>45882</v>
      </c>
      <c r="I531" s="2">
        <v>3</v>
      </c>
      <c r="J531" s="2">
        <v>150099</v>
      </c>
      <c r="K531" s="2">
        <v>38212</v>
      </c>
      <c r="L531" s="2">
        <v>3</v>
      </c>
      <c r="M531" t="str">
        <f>IF(Revv_bike_sales_data[[#This Row],[delivery_days]]&lt;=7, "Yes", "No")</f>
        <v>Yes</v>
      </c>
      <c r="N531" t="s">
        <v>16</v>
      </c>
      <c r="O531" s="2">
        <v>111887</v>
      </c>
    </row>
    <row r="532" spans="1:15" x14ac:dyDescent="0.3">
      <c r="A532" s="2">
        <v>522</v>
      </c>
      <c r="B532" s="1">
        <v>44948.708333333336</v>
      </c>
      <c r="C532" s="1" t="str">
        <f t="shared" si="16"/>
        <v>01-2023</v>
      </c>
      <c r="D532" s="2">
        <f t="shared" si="17"/>
        <v>4</v>
      </c>
      <c r="E532" t="s">
        <v>25</v>
      </c>
      <c r="F532" t="s">
        <v>23</v>
      </c>
      <c r="G532" t="s">
        <v>19</v>
      </c>
      <c r="H532" s="2">
        <v>99790</v>
      </c>
      <c r="I532" s="2">
        <v>1</v>
      </c>
      <c r="J532" s="2">
        <v>103872</v>
      </c>
      <c r="K532" s="2">
        <v>65362</v>
      </c>
      <c r="L532" s="2">
        <v>1</v>
      </c>
      <c r="M532" t="str">
        <f>IF(Revv_bike_sales_data[[#This Row],[delivery_days]]&lt;=7, "Yes", "No")</f>
        <v>Yes</v>
      </c>
      <c r="N532" t="s">
        <v>16</v>
      </c>
      <c r="O532" s="2">
        <v>38510</v>
      </c>
    </row>
    <row r="533" spans="1:15" x14ac:dyDescent="0.3">
      <c r="A533" s="2">
        <v>523</v>
      </c>
      <c r="B533" s="1">
        <v>44948.75</v>
      </c>
      <c r="C533" s="1" t="str">
        <f t="shared" si="16"/>
        <v>01-2023</v>
      </c>
      <c r="D533" s="2">
        <f t="shared" si="17"/>
        <v>4</v>
      </c>
      <c r="E533" t="s">
        <v>13</v>
      </c>
      <c r="F533" t="s">
        <v>14</v>
      </c>
      <c r="G533" t="s">
        <v>21</v>
      </c>
      <c r="H533" s="2">
        <v>85538</v>
      </c>
      <c r="I533" s="2">
        <v>1</v>
      </c>
      <c r="J533" s="2">
        <v>176944</v>
      </c>
      <c r="K533" s="2">
        <v>87177</v>
      </c>
      <c r="L533" s="2">
        <v>5</v>
      </c>
      <c r="M533" t="str">
        <f>IF(Revv_bike_sales_data[[#This Row],[delivery_days]]&lt;=7, "Yes", "No")</f>
        <v>Yes</v>
      </c>
      <c r="N533" t="s">
        <v>16</v>
      </c>
      <c r="O533" s="2">
        <v>89767</v>
      </c>
    </row>
    <row r="534" spans="1:15" x14ac:dyDescent="0.3">
      <c r="A534" s="2">
        <v>524</v>
      </c>
      <c r="B534" s="1">
        <v>44948.791666666664</v>
      </c>
      <c r="C534" s="1" t="str">
        <f t="shared" si="16"/>
        <v>01-2023</v>
      </c>
      <c r="D534" s="2">
        <f t="shared" si="17"/>
        <v>4</v>
      </c>
      <c r="E534" t="s">
        <v>18</v>
      </c>
      <c r="F534" t="s">
        <v>14</v>
      </c>
      <c r="G534" t="s">
        <v>20</v>
      </c>
      <c r="H534" s="2">
        <v>1260</v>
      </c>
      <c r="I534" s="2">
        <v>0</v>
      </c>
      <c r="J534" s="2">
        <v>95333</v>
      </c>
      <c r="K534" s="2">
        <v>31983</v>
      </c>
      <c r="L534" s="2">
        <v>1</v>
      </c>
      <c r="M534" t="str">
        <f>IF(Revv_bike_sales_data[[#This Row],[delivery_days]]&lt;=7, "Yes", "No")</f>
        <v>Yes</v>
      </c>
      <c r="N534" t="s">
        <v>16</v>
      </c>
      <c r="O534" s="2">
        <v>63350</v>
      </c>
    </row>
    <row r="535" spans="1:15" x14ac:dyDescent="0.3">
      <c r="A535" s="2">
        <v>525</v>
      </c>
      <c r="B535" s="1">
        <v>44948.833333333336</v>
      </c>
      <c r="C535" s="1" t="str">
        <f t="shared" si="16"/>
        <v>01-2023</v>
      </c>
      <c r="D535" s="2">
        <f t="shared" si="17"/>
        <v>4</v>
      </c>
      <c r="E535" t="s">
        <v>17</v>
      </c>
      <c r="F535" t="s">
        <v>14</v>
      </c>
      <c r="G535" t="s">
        <v>20</v>
      </c>
      <c r="H535" s="2">
        <v>24642</v>
      </c>
      <c r="I535" s="2">
        <v>4</v>
      </c>
      <c r="J535" s="2">
        <v>27596</v>
      </c>
      <c r="K535" s="2">
        <v>29026</v>
      </c>
      <c r="L535" s="2">
        <v>8</v>
      </c>
      <c r="M535" t="str">
        <f>IF(Revv_bike_sales_data[[#This Row],[delivery_days]]&lt;=7, "Yes", "No")</f>
        <v>No</v>
      </c>
      <c r="N535" t="s">
        <v>16</v>
      </c>
      <c r="O535" s="2">
        <v>-1430</v>
      </c>
    </row>
    <row r="536" spans="1:15" x14ac:dyDescent="0.3">
      <c r="A536" s="2">
        <v>526</v>
      </c>
      <c r="B536" s="1">
        <v>44948.875</v>
      </c>
      <c r="C536" s="1" t="str">
        <f t="shared" si="16"/>
        <v>01-2023</v>
      </c>
      <c r="D536" s="2">
        <f t="shared" si="17"/>
        <v>4</v>
      </c>
      <c r="E536" t="s">
        <v>13</v>
      </c>
      <c r="F536" t="s">
        <v>14</v>
      </c>
      <c r="G536" t="s">
        <v>19</v>
      </c>
      <c r="H536" s="2">
        <v>17790</v>
      </c>
      <c r="I536" s="2">
        <v>5</v>
      </c>
      <c r="J536" s="2">
        <v>42167</v>
      </c>
      <c r="K536" s="2">
        <v>135168</v>
      </c>
      <c r="L536" s="2">
        <v>7</v>
      </c>
      <c r="M536" t="str">
        <f>IF(Revv_bike_sales_data[[#This Row],[delivery_days]]&lt;=7, "Yes", "No")</f>
        <v>Yes</v>
      </c>
      <c r="N536" t="s">
        <v>16</v>
      </c>
      <c r="O536" s="2">
        <v>-93001</v>
      </c>
    </row>
    <row r="537" spans="1:15" x14ac:dyDescent="0.3">
      <c r="A537" s="2">
        <v>527</v>
      </c>
      <c r="B537" s="1">
        <v>44948.916666666664</v>
      </c>
      <c r="C537" s="1" t="str">
        <f t="shared" si="16"/>
        <v>01-2023</v>
      </c>
      <c r="D537" s="2">
        <f t="shared" si="17"/>
        <v>4</v>
      </c>
      <c r="E537" t="s">
        <v>17</v>
      </c>
      <c r="F537" t="s">
        <v>14</v>
      </c>
      <c r="G537" t="s">
        <v>15</v>
      </c>
      <c r="H537" s="2">
        <v>71535</v>
      </c>
      <c r="I537" s="2">
        <v>8</v>
      </c>
      <c r="J537" s="2">
        <v>112844</v>
      </c>
      <c r="K537" s="2">
        <v>65998</v>
      </c>
      <c r="L537" s="2">
        <v>11</v>
      </c>
      <c r="M537" t="str">
        <f>IF(Revv_bike_sales_data[[#This Row],[delivery_days]]&lt;=7, "Yes", "No")</f>
        <v>No</v>
      </c>
      <c r="N537" t="s">
        <v>16</v>
      </c>
      <c r="O537" s="2">
        <v>46846</v>
      </c>
    </row>
    <row r="538" spans="1:15" x14ac:dyDescent="0.3">
      <c r="A538" s="2">
        <v>528</v>
      </c>
      <c r="B538" s="1">
        <v>44948.958333333336</v>
      </c>
      <c r="C538" s="1" t="str">
        <f t="shared" si="16"/>
        <v>01-2023</v>
      </c>
      <c r="D538" s="2">
        <f t="shared" si="17"/>
        <v>4</v>
      </c>
      <c r="E538" t="s">
        <v>25</v>
      </c>
      <c r="F538" t="s">
        <v>14</v>
      </c>
      <c r="G538" t="s">
        <v>19</v>
      </c>
      <c r="H538" s="2">
        <v>864</v>
      </c>
      <c r="I538" s="2">
        <v>4</v>
      </c>
      <c r="J538" s="2">
        <v>114751</v>
      </c>
      <c r="K538" s="2">
        <v>139735</v>
      </c>
      <c r="L538" s="2">
        <v>2</v>
      </c>
      <c r="M538" t="str">
        <f>IF(Revv_bike_sales_data[[#This Row],[delivery_days]]&lt;=7, "Yes", "No")</f>
        <v>Yes</v>
      </c>
      <c r="N538" t="s">
        <v>16</v>
      </c>
      <c r="O538" s="2">
        <v>-24984</v>
      </c>
    </row>
    <row r="539" spans="1:15" x14ac:dyDescent="0.3">
      <c r="A539" s="2">
        <v>529</v>
      </c>
      <c r="B539" s="1">
        <v>44949</v>
      </c>
      <c r="C539" s="1" t="str">
        <f t="shared" si="16"/>
        <v>01-2023</v>
      </c>
      <c r="D539" s="2">
        <f t="shared" si="17"/>
        <v>4</v>
      </c>
      <c r="E539" t="s">
        <v>17</v>
      </c>
      <c r="F539" t="s">
        <v>14</v>
      </c>
      <c r="G539" t="s">
        <v>15</v>
      </c>
      <c r="H539" s="2">
        <v>57421</v>
      </c>
      <c r="I539" s="2">
        <v>5</v>
      </c>
      <c r="J539" s="2">
        <v>154817</v>
      </c>
      <c r="K539" s="2">
        <v>70744</v>
      </c>
      <c r="L539" s="2">
        <v>14</v>
      </c>
      <c r="M539" t="str">
        <f>IF(Revv_bike_sales_data[[#This Row],[delivery_days]]&lt;=7, "Yes", "No")</f>
        <v>No</v>
      </c>
      <c r="N539" t="s">
        <v>16</v>
      </c>
      <c r="O539" s="2">
        <v>84073</v>
      </c>
    </row>
    <row r="540" spans="1:15" x14ac:dyDescent="0.3">
      <c r="A540" s="2">
        <v>530</v>
      </c>
      <c r="B540" s="1">
        <v>44949.041666666664</v>
      </c>
      <c r="C540" s="1" t="str">
        <f t="shared" si="16"/>
        <v>01-2023</v>
      </c>
      <c r="D540" s="2">
        <f t="shared" si="17"/>
        <v>4</v>
      </c>
      <c r="E540" t="s">
        <v>17</v>
      </c>
      <c r="F540" t="s">
        <v>14</v>
      </c>
      <c r="G540" t="s">
        <v>21</v>
      </c>
      <c r="H540" s="2">
        <v>20297</v>
      </c>
      <c r="I540" s="2">
        <v>5</v>
      </c>
      <c r="J540" s="2">
        <v>105520</v>
      </c>
      <c r="K540" s="2">
        <v>72013</v>
      </c>
      <c r="L540" s="2">
        <v>11</v>
      </c>
      <c r="M540" t="str">
        <f>IF(Revv_bike_sales_data[[#This Row],[delivery_days]]&lt;=7, "Yes", "No")</f>
        <v>No</v>
      </c>
      <c r="N540" t="s">
        <v>16</v>
      </c>
      <c r="O540" s="2">
        <v>33507</v>
      </c>
    </row>
    <row r="541" spans="1:15" x14ac:dyDescent="0.3">
      <c r="A541" s="2">
        <v>531</v>
      </c>
      <c r="B541" s="1">
        <v>44949.083333333336</v>
      </c>
      <c r="C541" s="1" t="str">
        <f t="shared" si="16"/>
        <v>01-2023</v>
      </c>
      <c r="D541" s="2">
        <f t="shared" si="17"/>
        <v>4</v>
      </c>
      <c r="E541" t="s">
        <v>22</v>
      </c>
      <c r="F541" t="s">
        <v>14</v>
      </c>
      <c r="G541" t="s">
        <v>15</v>
      </c>
      <c r="H541" s="2">
        <v>33035</v>
      </c>
      <c r="I541" s="2">
        <v>2</v>
      </c>
      <c r="J541" s="2">
        <v>83326</v>
      </c>
      <c r="K541" s="2">
        <v>66039</v>
      </c>
      <c r="L541" s="2">
        <v>9</v>
      </c>
      <c r="M541" t="str">
        <f>IF(Revv_bike_sales_data[[#This Row],[delivery_days]]&lt;=7, "Yes", "No")</f>
        <v>No</v>
      </c>
      <c r="N541" t="s">
        <v>16</v>
      </c>
      <c r="O541" s="2">
        <v>17287</v>
      </c>
    </row>
    <row r="542" spans="1:15" x14ac:dyDescent="0.3">
      <c r="A542" s="2">
        <v>532</v>
      </c>
      <c r="B542" s="1">
        <v>44949.125</v>
      </c>
      <c r="C542" s="1" t="str">
        <f t="shared" si="16"/>
        <v>01-2023</v>
      </c>
      <c r="D542" s="2">
        <f t="shared" si="17"/>
        <v>4</v>
      </c>
      <c r="E542" t="s">
        <v>22</v>
      </c>
      <c r="F542" t="s">
        <v>14</v>
      </c>
      <c r="G542" t="s">
        <v>15</v>
      </c>
      <c r="H542" s="2">
        <v>46800</v>
      </c>
      <c r="I542" s="2">
        <v>3</v>
      </c>
      <c r="J542" s="2">
        <v>102670</v>
      </c>
      <c r="K542" s="2">
        <v>64831</v>
      </c>
      <c r="L542" s="2">
        <v>5</v>
      </c>
      <c r="M542" t="str">
        <f>IF(Revv_bike_sales_data[[#This Row],[delivery_days]]&lt;=7, "Yes", "No")</f>
        <v>Yes</v>
      </c>
      <c r="N542" t="s">
        <v>16</v>
      </c>
      <c r="O542" s="2">
        <v>37839</v>
      </c>
    </row>
    <row r="543" spans="1:15" x14ac:dyDescent="0.3">
      <c r="A543" s="2">
        <v>533</v>
      </c>
      <c r="B543" s="1">
        <v>44949.166666666664</v>
      </c>
      <c r="C543" s="1" t="str">
        <f t="shared" si="16"/>
        <v>01-2023</v>
      </c>
      <c r="D543" s="2">
        <f t="shared" si="17"/>
        <v>4</v>
      </c>
      <c r="E543" t="s">
        <v>22</v>
      </c>
      <c r="F543" t="s">
        <v>23</v>
      </c>
      <c r="G543" t="s">
        <v>21</v>
      </c>
      <c r="H543" s="2">
        <v>47676</v>
      </c>
      <c r="I543" s="2">
        <v>0</v>
      </c>
      <c r="J543" s="2">
        <v>166854</v>
      </c>
      <c r="K543" s="2">
        <v>100172</v>
      </c>
      <c r="L543" s="2">
        <v>7</v>
      </c>
      <c r="M543" t="str">
        <f>IF(Revv_bike_sales_data[[#This Row],[delivery_days]]&lt;=7, "Yes", "No")</f>
        <v>Yes</v>
      </c>
      <c r="N543" t="s">
        <v>16</v>
      </c>
      <c r="O543" s="2">
        <v>66682</v>
      </c>
    </row>
    <row r="544" spans="1:15" x14ac:dyDescent="0.3">
      <c r="A544" s="2">
        <v>534</v>
      </c>
      <c r="B544" s="1">
        <v>44949.208333333336</v>
      </c>
      <c r="C544" s="1" t="str">
        <f t="shared" si="16"/>
        <v>01-2023</v>
      </c>
      <c r="D544" s="2">
        <f t="shared" si="17"/>
        <v>4</v>
      </c>
      <c r="E544" t="s">
        <v>17</v>
      </c>
      <c r="F544" t="s">
        <v>14</v>
      </c>
      <c r="G544" t="s">
        <v>20</v>
      </c>
      <c r="H544" s="2">
        <v>16605</v>
      </c>
      <c r="I544" s="2">
        <v>3</v>
      </c>
      <c r="J544" s="2">
        <v>49022</v>
      </c>
      <c r="K544" s="2">
        <v>49603</v>
      </c>
      <c r="L544" s="2">
        <v>4</v>
      </c>
      <c r="M544" t="str">
        <f>IF(Revv_bike_sales_data[[#This Row],[delivery_days]]&lt;=7, "Yes", "No")</f>
        <v>Yes</v>
      </c>
      <c r="N544" t="s">
        <v>16</v>
      </c>
      <c r="O544" s="2">
        <v>-581</v>
      </c>
    </row>
    <row r="545" spans="1:15" x14ac:dyDescent="0.3">
      <c r="A545" s="2">
        <v>535</v>
      </c>
      <c r="B545" s="1">
        <v>44949.25</v>
      </c>
      <c r="C545" s="1" t="str">
        <f t="shared" si="16"/>
        <v>01-2023</v>
      </c>
      <c r="D545" s="2">
        <f t="shared" si="17"/>
        <v>4</v>
      </c>
      <c r="E545" t="s">
        <v>18</v>
      </c>
      <c r="F545" t="s">
        <v>14</v>
      </c>
      <c r="G545" t="s">
        <v>21</v>
      </c>
      <c r="H545" s="2">
        <v>8439</v>
      </c>
      <c r="I545" s="2">
        <v>0</v>
      </c>
      <c r="J545" s="2">
        <v>109458</v>
      </c>
      <c r="K545" s="2">
        <v>92758</v>
      </c>
      <c r="L545" s="2">
        <v>12</v>
      </c>
      <c r="M545" t="str">
        <f>IF(Revv_bike_sales_data[[#This Row],[delivery_days]]&lt;=7, "Yes", "No")</f>
        <v>No</v>
      </c>
      <c r="N545" t="s">
        <v>24</v>
      </c>
      <c r="O545" s="2">
        <v>16700</v>
      </c>
    </row>
    <row r="546" spans="1:15" x14ac:dyDescent="0.3">
      <c r="A546" s="2">
        <v>536</v>
      </c>
      <c r="B546" s="1">
        <v>44949.291666666664</v>
      </c>
      <c r="C546" s="1" t="str">
        <f t="shared" si="16"/>
        <v>01-2023</v>
      </c>
      <c r="D546" s="2">
        <f t="shared" si="17"/>
        <v>4</v>
      </c>
      <c r="E546" t="s">
        <v>17</v>
      </c>
      <c r="F546" t="s">
        <v>14</v>
      </c>
      <c r="G546" t="s">
        <v>19</v>
      </c>
      <c r="H546" s="2">
        <v>79972</v>
      </c>
      <c r="I546" s="2">
        <v>4</v>
      </c>
      <c r="J546" s="2">
        <v>170690</v>
      </c>
      <c r="K546" s="2">
        <v>82713</v>
      </c>
      <c r="L546" s="2">
        <v>13</v>
      </c>
      <c r="M546" t="str">
        <f>IF(Revv_bike_sales_data[[#This Row],[delivery_days]]&lt;=7, "Yes", "No")</f>
        <v>No</v>
      </c>
      <c r="N546" t="s">
        <v>16</v>
      </c>
      <c r="O546" s="2">
        <v>87977</v>
      </c>
    </row>
    <row r="547" spans="1:15" x14ac:dyDescent="0.3">
      <c r="A547" s="2">
        <v>537</v>
      </c>
      <c r="B547" s="1">
        <v>44949.333333333336</v>
      </c>
      <c r="C547" s="1" t="str">
        <f t="shared" si="16"/>
        <v>01-2023</v>
      </c>
      <c r="D547" s="2">
        <f t="shared" si="17"/>
        <v>4</v>
      </c>
      <c r="E547" t="s">
        <v>18</v>
      </c>
      <c r="F547" t="s">
        <v>14</v>
      </c>
      <c r="G547" t="s">
        <v>19</v>
      </c>
      <c r="H547" s="2">
        <v>42529</v>
      </c>
      <c r="I547" s="2">
        <v>7</v>
      </c>
      <c r="J547" s="2">
        <v>173317</v>
      </c>
      <c r="K547" s="2">
        <v>121446</v>
      </c>
      <c r="L547" s="2">
        <v>1</v>
      </c>
      <c r="M547" t="str">
        <f>IF(Revv_bike_sales_data[[#This Row],[delivery_days]]&lt;=7, "Yes", "No")</f>
        <v>Yes</v>
      </c>
      <c r="N547" t="s">
        <v>16</v>
      </c>
      <c r="O547" s="2">
        <v>51871</v>
      </c>
    </row>
    <row r="548" spans="1:15" x14ac:dyDescent="0.3">
      <c r="A548" s="2">
        <v>538</v>
      </c>
      <c r="B548" s="1">
        <v>44949.375</v>
      </c>
      <c r="C548" s="1" t="str">
        <f t="shared" si="16"/>
        <v>01-2023</v>
      </c>
      <c r="D548" s="2">
        <f t="shared" si="17"/>
        <v>4</v>
      </c>
      <c r="E548" t="s">
        <v>18</v>
      </c>
      <c r="F548" t="s">
        <v>14</v>
      </c>
      <c r="G548" t="s">
        <v>19</v>
      </c>
      <c r="H548" s="2">
        <v>16363</v>
      </c>
      <c r="I548" s="2">
        <v>7</v>
      </c>
      <c r="J548" s="2">
        <v>108796</v>
      </c>
      <c r="K548" s="2">
        <v>113452</v>
      </c>
      <c r="L548" s="2">
        <v>14</v>
      </c>
      <c r="M548" t="str">
        <f>IF(Revv_bike_sales_data[[#This Row],[delivery_days]]&lt;=7, "Yes", "No")</f>
        <v>No</v>
      </c>
      <c r="N548" t="s">
        <v>16</v>
      </c>
      <c r="O548" s="2">
        <v>-4656</v>
      </c>
    </row>
    <row r="549" spans="1:15" x14ac:dyDescent="0.3">
      <c r="A549" s="2">
        <v>539</v>
      </c>
      <c r="B549" s="1">
        <v>44949.416666666664</v>
      </c>
      <c r="C549" s="1" t="str">
        <f t="shared" si="16"/>
        <v>01-2023</v>
      </c>
      <c r="D549" s="2">
        <f t="shared" si="17"/>
        <v>4</v>
      </c>
      <c r="E549" t="s">
        <v>22</v>
      </c>
      <c r="F549" t="s">
        <v>14</v>
      </c>
      <c r="G549" t="s">
        <v>19</v>
      </c>
      <c r="H549" s="2">
        <v>78597</v>
      </c>
      <c r="I549" s="2">
        <v>4</v>
      </c>
      <c r="J549" s="2">
        <v>166099</v>
      </c>
      <c r="K549" s="2">
        <v>131183</v>
      </c>
      <c r="L549" s="2">
        <v>8</v>
      </c>
      <c r="M549" t="str">
        <f>IF(Revv_bike_sales_data[[#This Row],[delivery_days]]&lt;=7, "Yes", "No")</f>
        <v>No</v>
      </c>
      <c r="N549" t="s">
        <v>16</v>
      </c>
      <c r="O549" s="2">
        <v>34916</v>
      </c>
    </row>
    <row r="550" spans="1:15" x14ac:dyDescent="0.3">
      <c r="A550" s="2">
        <v>540</v>
      </c>
      <c r="B550" s="1">
        <v>44949.458333333336</v>
      </c>
      <c r="C550" s="1" t="str">
        <f t="shared" si="16"/>
        <v>01-2023</v>
      </c>
      <c r="D550" s="2">
        <f t="shared" si="17"/>
        <v>4</v>
      </c>
      <c r="E550" t="s">
        <v>13</v>
      </c>
      <c r="F550" t="s">
        <v>23</v>
      </c>
      <c r="G550" t="s">
        <v>19</v>
      </c>
      <c r="H550" s="2">
        <v>10947</v>
      </c>
      <c r="I550" s="2">
        <v>9</v>
      </c>
      <c r="J550" s="2">
        <v>170058</v>
      </c>
      <c r="K550" s="2">
        <v>28105</v>
      </c>
      <c r="L550" s="2">
        <v>13</v>
      </c>
      <c r="M550" t="str">
        <f>IF(Revv_bike_sales_data[[#This Row],[delivery_days]]&lt;=7, "Yes", "No")</f>
        <v>No</v>
      </c>
      <c r="N550" t="s">
        <v>16</v>
      </c>
      <c r="O550" s="2">
        <v>141953</v>
      </c>
    </row>
    <row r="551" spans="1:15" x14ac:dyDescent="0.3">
      <c r="A551" s="2">
        <v>541</v>
      </c>
      <c r="B551" s="1">
        <v>44949.5</v>
      </c>
      <c r="C551" s="1" t="str">
        <f t="shared" si="16"/>
        <v>01-2023</v>
      </c>
      <c r="D551" s="2">
        <f t="shared" si="17"/>
        <v>4</v>
      </c>
      <c r="E551" t="s">
        <v>25</v>
      </c>
      <c r="F551" t="s">
        <v>14</v>
      </c>
      <c r="G551" t="s">
        <v>20</v>
      </c>
      <c r="H551" s="2">
        <v>96660</v>
      </c>
      <c r="I551" s="2">
        <v>1</v>
      </c>
      <c r="J551" s="2">
        <v>135704</v>
      </c>
      <c r="K551" s="2">
        <v>115048</v>
      </c>
      <c r="L551" s="2">
        <v>1</v>
      </c>
      <c r="M551" t="str">
        <f>IF(Revv_bike_sales_data[[#This Row],[delivery_days]]&lt;=7, "Yes", "No")</f>
        <v>Yes</v>
      </c>
      <c r="N551" t="s">
        <v>16</v>
      </c>
      <c r="O551" s="2">
        <v>20656</v>
      </c>
    </row>
    <row r="552" spans="1:15" x14ac:dyDescent="0.3">
      <c r="A552" s="2">
        <v>542</v>
      </c>
      <c r="B552" s="1">
        <v>44949.541666666664</v>
      </c>
      <c r="C552" s="1" t="str">
        <f t="shared" si="16"/>
        <v>01-2023</v>
      </c>
      <c r="D552" s="2">
        <f t="shared" si="17"/>
        <v>4</v>
      </c>
      <c r="E552" t="s">
        <v>22</v>
      </c>
      <c r="F552" t="s">
        <v>14</v>
      </c>
      <c r="G552" t="s">
        <v>20</v>
      </c>
      <c r="H552" s="2">
        <v>47440</v>
      </c>
      <c r="I552" s="2">
        <v>5</v>
      </c>
      <c r="J552" s="2">
        <v>159598</v>
      </c>
      <c r="K552" s="2">
        <v>82182</v>
      </c>
      <c r="L552" s="2">
        <v>3</v>
      </c>
      <c r="M552" t="str">
        <f>IF(Revv_bike_sales_data[[#This Row],[delivery_days]]&lt;=7, "Yes", "No")</f>
        <v>Yes</v>
      </c>
      <c r="N552" t="s">
        <v>16</v>
      </c>
      <c r="O552" s="2">
        <v>77416</v>
      </c>
    </row>
    <row r="553" spans="1:15" x14ac:dyDescent="0.3">
      <c r="A553" s="2">
        <v>543</v>
      </c>
      <c r="B553" s="1">
        <v>44949.583333333336</v>
      </c>
      <c r="C553" s="1" t="str">
        <f t="shared" si="16"/>
        <v>01-2023</v>
      </c>
      <c r="D553" s="2">
        <f t="shared" si="17"/>
        <v>4</v>
      </c>
      <c r="E553" t="s">
        <v>22</v>
      </c>
      <c r="F553" t="s">
        <v>14</v>
      </c>
      <c r="G553" t="s">
        <v>15</v>
      </c>
      <c r="H553" s="2">
        <v>78447</v>
      </c>
      <c r="I553" s="2">
        <v>0</v>
      </c>
      <c r="J553" s="2">
        <v>69361</v>
      </c>
      <c r="K553" s="2">
        <v>67147</v>
      </c>
      <c r="L553" s="2">
        <v>6</v>
      </c>
      <c r="M553" t="str">
        <f>IF(Revv_bike_sales_data[[#This Row],[delivery_days]]&lt;=7, "Yes", "No")</f>
        <v>Yes</v>
      </c>
      <c r="N553" t="s">
        <v>16</v>
      </c>
      <c r="O553" s="2">
        <v>2214</v>
      </c>
    </row>
    <row r="554" spans="1:15" x14ac:dyDescent="0.3">
      <c r="A554" s="2">
        <v>544</v>
      </c>
      <c r="B554" s="1">
        <v>44949.625</v>
      </c>
      <c r="C554" s="1" t="str">
        <f t="shared" si="16"/>
        <v>01-2023</v>
      </c>
      <c r="D554" s="2">
        <f t="shared" si="17"/>
        <v>4</v>
      </c>
      <c r="E554" t="s">
        <v>13</v>
      </c>
      <c r="F554" t="s">
        <v>14</v>
      </c>
      <c r="G554" t="s">
        <v>19</v>
      </c>
      <c r="H554" s="2">
        <v>85501</v>
      </c>
      <c r="I554" s="2">
        <v>6</v>
      </c>
      <c r="J554" s="2">
        <v>63286</v>
      </c>
      <c r="K554" s="2">
        <v>136331</v>
      </c>
      <c r="L554" s="2">
        <v>8</v>
      </c>
      <c r="M554" t="str">
        <f>IF(Revv_bike_sales_data[[#This Row],[delivery_days]]&lt;=7, "Yes", "No")</f>
        <v>No</v>
      </c>
      <c r="N554" t="s">
        <v>16</v>
      </c>
      <c r="O554" s="2">
        <v>-73045</v>
      </c>
    </row>
    <row r="555" spans="1:15" x14ac:dyDescent="0.3">
      <c r="A555" s="2">
        <v>545</v>
      </c>
      <c r="B555" s="1">
        <v>44949.666666666664</v>
      </c>
      <c r="C555" s="1" t="str">
        <f t="shared" si="16"/>
        <v>01-2023</v>
      </c>
      <c r="D555" s="2">
        <f t="shared" si="17"/>
        <v>4</v>
      </c>
      <c r="E555" t="s">
        <v>25</v>
      </c>
      <c r="F555" t="s">
        <v>14</v>
      </c>
      <c r="G555" t="s">
        <v>21</v>
      </c>
      <c r="H555" s="2">
        <v>20142</v>
      </c>
      <c r="I555" s="2">
        <v>3</v>
      </c>
      <c r="J555" s="2">
        <v>54533</v>
      </c>
      <c r="K555" s="2">
        <v>90400</v>
      </c>
      <c r="L555" s="2">
        <v>8</v>
      </c>
      <c r="M555" t="str">
        <f>IF(Revv_bike_sales_data[[#This Row],[delivery_days]]&lt;=7, "Yes", "No")</f>
        <v>No</v>
      </c>
      <c r="N555" t="s">
        <v>16</v>
      </c>
      <c r="O555" s="2">
        <v>-35867</v>
      </c>
    </row>
    <row r="556" spans="1:15" x14ac:dyDescent="0.3">
      <c r="A556" s="2">
        <v>546</v>
      </c>
      <c r="B556" s="1">
        <v>44949.708333333336</v>
      </c>
      <c r="C556" s="1" t="str">
        <f t="shared" si="16"/>
        <v>01-2023</v>
      </c>
      <c r="D556" s="2">
        <f t="shared" si="17"/>
        <v>4</v>
      </c>
      <c r="E556" t="s">
        <v>17</v>
      </c>
      <c r="F556" t="s">
        <v>14</v>
      </c>
      <c r="G556" t="s">
        <v>19</v>
      </c>
      <c r="H556" s="2">
        <v>97298</v>
      </c>
      <c r="I556" s="2">
        <v>4</v>
      </c>
      <c r="J556" s="2">
        <v>174388</v>
      </c>
      <c r="K556" s="2">
        <v>61434</v>
      </c>
      <c r="L556" s="2">
        <v>2</v>
      </c>
      <c r="M556" t="str">
        <f>IF(Revv_bike_sales_data[[#This Row],[delivery_days]]&lt;=7, "Yes", "No")</f>
        <v>Yes</v>
      </c>
      <c r="N556" t="s">
        <v>16</v>
      </c>
      <c r="O556" s="2">
        <v>112954</v>
      </c>
    </row>
    <row r="557" spans="1:15" x14ac:dyDescent="0.3">
      <c r="A557" s="2">
        <v>547</v>
      </c>
      <c r="B557" s="1">
        <v>44949.75</v>
      </c>
      <c r="C557" s="1" t="str">
        <f t="shared" si="16"/>
        <v>01-2023</v>
      </c>
      <c r="D557" s="2">
        <f t="shared" si="17"/>
        <v>4</v>
      </c>
      <c r="E557" t="s">
        <v>17</v>
      </c>
      <c r="F557" t="s">
        <v>14</v>
      </c>
      <c r="G557" t="s">
        <v>20</v>
      </c>
      <c r="H557" s="2">
        <v>96399</v>
      </c>
      <c r="I557" s="2">
        <v>5</v>
      </c>
      <c r="J557" s="2">
        <v>164771</v>
      </c>
      <c r="K557" s="2">
        <v>41515</v>
      </c>
      <c r="L557" s="2">
        <v>9</v>
      </c>
      <c r="M557" t="str">
        <f>IF(Revv_bike_sales_data[[#This Row],[delivery_days]]&lt;=7, "Yes", "No")</f>
        <v>No</v>
      </c>
      <c r="N557" t="s">
        <v>16</v>
      </c>
      <c r="O557" s="2">
        <v>123256</v>
      </c>
    </row>
    <row r="558" spans="1:15" x14ac:dyDescent="0.3">
      <c r="A558" s="2">
        <v>548</v>
      </c>
      <c r="B558" s="1">
        <v>44949.791666666664</v>
      </c>
      <c r="C558" s="1" t="str">
        <f t="shared" si="16"/>
        <v>01-2023</v>
      </c>
      <c r="D558" s="2">
        <f t="shared" si="17"/>
        <v>4</v>
      </c>
      <c r="E558" t="s">
        <v>22</v>
      </c>
      <c r="F558" t="s">
        <v>14</v>
      </c>
      <c r="G558" t="s">
        <v>19</v>
      </c>
      <c r="H558" s="2">
        <v>68143</v>
      </c>
      <c r="I558" s="2">
        <v>0</v>
      </c>
      <c r="J558" s="2">
        <v>152441</v>
      </c>
      <c r="K558" s="2">
        <v>104298</v>
      </c>
      <c r="L558" s="2">
        <v>4</v>
      </c>
      <c r="M558" t="str">
        <f>IF(Revv_bike_sales_data[[#This Row],[delivery_days]]&lt;=7, "Yes", "No")</f>
        <v>Yes</v>
      </c>
      <c r="N558" t="s">
        <v>16</v>
      </c>
      <c r="O558" s="2">
        <v>48143</v>
      </c>
    </row>
    <row r="559" spans="1:15" x14ac:dyDescent="0.3">
      <c r="A559" s="2">
        <v>549</v>
      </c>
      <c r="B559" s="1">
        <v>44949.833333333336</v>
      </c>
      <c r="C559" s="1" t="str">
        <f t="shared" si="16"/>
        <v>01-2023</v>
      </c>
      <c r="D559" s="2">
        <f t="shared" si="17"/>
        <v>4</v>
      </c>
      <c r="E559" t="s">
        <v>25</v>
      </c>
      <c r="F559" t="s">
        <v>14</v>
      </c>
      <c r="G559" t="s">
        <v>20</v>
      </c>
      <c r="H559" s="2">
        <v>8428</v>
      </c>
      <c r="I559" s="2">
        <v>8</v>
      </c>
      <c r="J559" s="2">
        <v>122079</v>
      </c>
      <c r="K559" s="2">
        <v>73001</v>
      </c>
      <c r="L559" s="2">
        <v>4</v>
      </c>
      <c r="M559" t="str">
        <f>IF(Revv_bike_sales_data[[#This Row],[delivery_days]]&lt;=7, "Yes", "No")</f>
        <v>Yes</v>
      </c>
      <c r="N559" t="s">
        <v>24</v>
      </c>
      <c r="O559" s="2">
        <v>49078</v>
      </c>
    </row>
    <row r="560" spans="1:15" x14ac:dyDescent="0.3">
      <c r="A560" s="2">
        <v>550</v>
      </c>
      <c r="B560" s="1">
        <v>44949.875</v>
      </c>
      <c r="C560" s="1" t="str">
        <f t="shared" si="16"/>
        <v>01-2023</v>
      </c>
      <c r="D560" s="2">
        <f t="shared" si="17"/>
        <v>4</v>
      </c>
      <c r="E560" t="s">
        <v>22</v>
      </c>
      <c r="F560" t="s">
        <v>14</v>
      </c>
      <c r="G560" t="s">
        <v>15</v>
      </c>
      <c r="H560" s="2">
        <v>48502</v>
      </c>
      <c r="I560" s="2">
        <v>9</v>
      </c>
      <c r="J560" s="2">
        <v>125960</v>
      </c>
      <c r="K560" s="2">
        <v>116971</v>
      </c>
      <c r="L560" s="2">
        <v>14</v>
      </c>
      <c r="M560" t="str">
        <f>IF(Revv_bike_sales_data[[#This Row],[delivery_days]]&lt;=7, "Yes", "No")</f>
        <v>No</v>
      </c>
      <c r="N560" t="s">
        <v>24</v>
      </c>
      <c r="O560" s="2">
        <v>8989</v>
      </c>
    </row>
    <row r="561" spans="1:15" x14ac:dyDescent="0.3">
      <c r="A561" s="2">
        <v>551</v>
      </c>
      <c r="B561" s="1">
        <v>44949.916666666664</v>
      </c>
      <c r="C561" s="1" t="str">
        <f t="shared" si="16"/>
        <v>01-2023</v>
      </c>
      <c r="D561" s="2">
        <f t="shared" si="17"/>
        <v>4</v>
      </c>
      <c r="E561" t="s">
        <v>18</v>
      </c>
      <c r="F561" t="s">
        <v>14</v>
      </c>
      <c r="G561" t="s">
        <v>15</v>
      </c>
      <c r="H561" s="2">
        <v>85353</v>
      </c>
      <c r="I561" s="2">
        <v>3</v>
      </c>
      <c r="J561" s="2">
        <v>83465</v>
      </c>
      <c r="K561" s="2">
        <v>73397</v>
      </c>
      <c r="L561" s="2">
        <v>2</v>
      </c>
      <c r="M561" t="str">
        <f>IF(Revv_bike_sales_data[[#This Row],[delivery_days]]&lt;=7, "Yes", "No")</f>
        <v>Yes</v>
      </c>
      <c r="N561" t="s">
        <v>16</v>
      </c>
      <c r="O561" s="2">
        <v>10068</v>
      </c>
    </row>
    <row r="562" spans="1:15" x14ac:dyDescent="0.3">
      <c r="A562" s="2">
        <v>552</v>
      </c>
      <c r="B562" s="1">
        <v>44949.958333333336</v>
      </c>
      <c r="C562" s="1" t="str">
        <f t="shared" si="16"/>
        <v>01-2023</v>
      </c>
      <c r="D562" s="2">
        <f t="shared" si="17"/>
        <v>4</v>
      </c>
      <c r="E562" t="s">
        <v>22</v>
      </c>
      <c r="F562" t="s">
        <v>23</v>
      </c>
      <c r="G562" t="s">
        <v>15</v>
      </c>
      <c r="H562" s="2">
        <v>25517</v>
      </c>
      <c r="I562" s="2">
        <v>7</v>
      </c>
      <c r="J562" s="2">
        <v>172745</v>
      </c>
      <c r="K562" s="2">
        <v>76415</v>
      </c>
      <c r="L562" s="2">
        <v>1</v>
      </c>
      <c r="M562" t="str">
        <f>IF(Revv_bike_sales_data[[#This Row],[delivery_days]]&lt;=7, "Yes", "No")</f>
        <v>Yes</v>
      </c>
      <c r="N562" t="s">
        <v>16</v>
      </c>
      <c r="O562" s="2">
        <v>96330</v>
      </c>
    </row>
    <row r="563" spans="1:15" x14ac:dyDescent="0.3">
      <c r="A563" s="2">
        <v>553</v>
      </c>
      <c r="B563" s="1">
        <v>44950</v>
      </c>
      <c r="C563" s="1" t="str">
        <f t="shared" si="16"/>
        <v>01-2023</v>
      </c>
      <c r="D563" s="2">
        <f t="shared" si="17"/>
        <v>4</v>
      </c>
      <c r="E563" t="s">
        <v>22</v>
      </c>
      <c r="F563" t="s">
        <v>14</v>
      </c>
      <c r="G563" t="s">
        <v>20</v>
      </c>
      <c r="H563" s="2">
        <v>79564</v>
      </c>
      <c r="I563" s="2">
        <v>4</v>
      </c>
      <c r="J563" s="2">
        <v>48395</v>
      </c>
      <c r="K563" s="2">
        <v>31960</v>
      </c>
      <c r="L563" s="2">
        <v>10</v>
      </c>
      <c r="M563" t="str">
        <f>IF(Revv_bike_sales_data[[#This Row],[delivery_days]]&lt;=7, "Yes", "No")</f>
        <v>No</v>
      </c>
      <c r="N563" t="s">
        <v>16</v>
      </c>
      <c r="O563" s="2">
        <v>16435</v>
      </c>
    </row>
    <row r="564" spans="1:15" x14ac:dyDescent="0.3">
      <c r="A564" s="2">
        <v>554</v>
      </c>
      <c r="B564" s="1">
        <v>44950.041666666664</v>
      </c>
      <c r="C564" s="1" t="str">
        <f t="shared" si="16"/>
        <v>01-2023</v>
      </c>
      <c r="D564" s="2">
        <f t="shared" si="17"/>
        <v>4</v>
      </c>
      <c r="E564" t="s">
        <v>17</v>
      </c>
      <c r="F564" t="s">
        <v>23</v>
      </c>
      <c r="G564" t="s">
        <v>19</v>
      </c>
      <c r="H564" s="2">
        <v>13813</v>
      </c>
      <c r="I564" s="2">
        <v>7</v>
      </c>
      <c r="J564" s="2">
        <v>129162</v>
      </c>
      <c r="K564" s="2">
        <v>124591</v>
      </c>
      <c r="L564" s="2">
        <v>7</v>
      </c>
      <c r="M564" t="str">
        <f>IF(Revv_bike_sales_data[[#This Row],[delivery_days]]&lt;=7, "Yes", "No")</f>
        <v>Yes</v>
      </c>
      <c r="N564" t="s">
        <v>24</v>
      </c>
      <c r="O564" s="2">
        <v>4571</v>
      </c>
    </row>
    <row r="565" spans="1:15" x14ac:dyDescent="0.3">
      <c r="A565" s="2">
        <v>555</v>
      </c>
      <c r="B565" s="1">
        <v>44950.083333333336</v>
      </c>
      <c r="C565" s="1" t="str">
        <f t="shared" si="16"/>
        <v>01-2023</v>
      </c>
      <c r="D565" s="2">
        <f t="shared" si="17"/>
        <v>4</v>
      </c>
      <c r="E565" t="s">
        <v>17</v>
      </c>
      <c r="F565" t="s">
        <v>14</v>
      </c>
      <c r="G565" t="s">
        <v>19</v>
      </c>
      <c r="H565" s="2">
        <v>2059</v>
      </c>
      <c r="I565" s="2">
        <v>0</v>
      </c>
      <c r="J565" s="2">
        <v>155704</v>
      </c>
      <c r="K565" s="2">
        <v>108143</v>
      </c>
      <c r="L565" s="2">
        <v>11</v>
      </c>
      <c r="M565" t="str">
        <f>IF(Revv_bike_sales_data[[#This Row],[delivery_days]]&lt;=7, "Yes", "No")</f>
        <v>No</v>
      </c>
      <c r="N565" t="s">
        <v>16</v>
      </c>
      <c r="O565" s="2">
        <v>47561</v>
      </c>
    </row>
    <row r="566" spans="1:15" x14ac:dyDescent="0.3">
      <c r="A566" s="2">
        <v>556</v>
      </c>
      <c r="B566" s="1">
        <v>44950.125</v>
      </c>
      <c r="C566" s="1" t="str">
        <f t="shared" si="16"/>
        <v>01-2023</v>
      </c>
      <c r="D566" s="2">
        <f t="shared" si="17"/>
        <v>4</v>
      </c>
      <c r="E566" t="s">
        <v>17</v>
      </c>
      <c r="F566" t="s">
        <v>14</v>
      </c>
      <c r="G566" t="s">
        <v>21</v>
      </c>
      <c r="H566" s="2">
        <v>51393</v>
      </c>
      <c r="I566" s="2">
        <v>7</v>
      </c>
      <c r="J566" s="2">
        <v>179779</v>
      </c>
      <c r="K566" s="2">
        <v>96838</v>
      </c>
      <c r="L566" s="2">
        <v>10</v>
      </c>
      <c r="M566" t="str">
        <f>IF(Revv_bike_sales_data[[#This Row],[delivery_days]]&lt;=7, "Yes", "No")</f>
        <v>No</v>
      </c>
      <c r="N566" t="s">
        <v>16</v>
      </c>
      <c r="O566" s="2">
        <v>82941</v>
      </c>
    </row>
    <row r="567" spans="1:15" x14ac:dyDescent="0.3">
      <c r="A567" s="2">
        <v>557</v>
      </c>
      <c r="B567" s="1">
        <v>44950.166666666664</v>
      </c>
      <c r="C567" s="1" t="str">
        <f t="shared" si="16"/>
        <v>01-2023</v>
      </c>
      <c r="D567" s="2">
        <f t="shared" si="17"/>
        <v>4</v>
      </c>
      <c r="E567" t="s">
        <v>18</v>
      </c>
      <c r="F567" t="s">
        <v>14</v>
      </c>
      <c r="G567" t="s">
        <v>20</v>
      </c>
      <c r="H567" s="2">
        <v>15667</v>
      </c>
      <c r="I567" s="2">
        <v>3</v>
      </c>
      <c r="J567" s="2">
        <v>100937</v>
      </c>
      <c r="K567" s="2">
        <v>60778</v>
      </c>
      <c r="L567" s="2">
        <v>3</v>
      </c>
      <c r="M567" t="str">
        <f>IF(Revv_bike_sales_data[[#This Row],[delivery_days]]&lt;=7, "Yes", "No")</f>
        <v>Yes</v>
      </c>
      <c r="N567" t="s">
        <v>16</v>
      </c>
      <c r="O567" s="2">
        <v>40159</v>
      </c>
    </row>
    <row r="568" spans="1:15" x14ac:dyDescent="0.3">
      <c r="A568" s="2">
        <v>558</v>
      </c>
      <c r="B568" s="1">
        <v>44950.208333333336</v>
      </c>
      <c r="C568" s="1" t="str">
        <f t="shared" si="16"/>
        <v>01-2023</v>
      </c>
      <c r="D568" s="2">
        <f t="shared" si="17"/>
        <v>4</v>
      </c>
      <c r="E568" t="s">
        <v>17</v>
      </c>
      <c r="F568" t="s">
        <v>14</v>
      </c>
      <c r="G568" t="s">
        <v>21</v>
      </c>
      <c r="H568" s="2">
        <v>81379</v>
      </c>
      <c r="I568" s="2">
        <v>1</v>
      </c>
      <c r="J568" s="2">
        <v>154647</v>
      </c>
      <c r="K568" s="2">
        <v>45941</v>
      </c>
      <c r="L568" s="2">
        <v>4</v>
      </c>
      <c r="M568" t="str">
        <f>IF(Revv_bike_sales_data[[#This Row],[delivery_days]]&lt;=7, "Yes", "No")</f>
        <v>Yes</v>
      </c>
      <c r="N568" t="s">
        <v>16</v>
      </c>
      <c r="O568" s="2">
        <v>108706</v>
      </c>
    </row>
    <row r="569" spans="1:15" x14ac:dyDescent="0.3">
      <c r="A569" s="2">
        <v>559</v>
      </c>
      <c r="B569" s="1">
        <v>44950.25</v>
      </c>
      <c r="C569" s="1" t="str">
        <f t="shared" si="16"/>
        <v>01-2023</v>
      </c>
      <c r="D569" s="2">
        <f t="shared" si="17"/>
        <v>4</v>
      </c>
      <c r="E569" t="s">
        <v>25</v>
      </c>
      <c r="F569" t="s">
        <v>14</v>
      </c>
      <c r="G569" t="s">
        <v>15</v>
      </c>
      <c r="H569" s="2">
        <v>39098</v>
      </c>
      <c r="I569" s="2">
        <v>5</v>
      </c>
      <c r="J569" s="2">
        <v>145650</v>
      </c>
      <c r="K569" s="2">
        <v>111857</v>
      </c>
      <c r="L569" s="2">
        <v>11</v>
      </c>
      <c r="M569" t="str">
        <f>IF(Revv_bike_sales_data[[#This Row],[delivery_days]]&lt;=7, "Yes", "No")</f>
        <v>No</v>
      </c>
      <c r="N569" t="s">
        <v>16</v>
      </c>
      <c r="O569" s="2">
        <v>33793</v>
      </c>
    </row>
    <row r="570" spans="1:15" x14ac:dyDescent="0.3">
      <c r="A570" s="2">
        <v>560</v>
      </c>
      <c r="B570" s="1">
        <v>44950.291666666664</v>
      </c>
      <c r="C570" s="1" t="str">
        <f t="shared" si="16"/>
        <v>01-2023</v>
      </c>
      <c r="D570" s="2">
        <f t="shared" si="17"/>
        <v>4</v>
      </c>
      <c r="E570" t="s">
        <v>13</v>
      </c>
      <c r="F570" t="s">
        <v>14</v>
      </c>
      <c r="G570" t="s">
        <v>19</v>
      </c>
      <c r="H570" s="2">
        <v>8023</v>
      </c>
      <c r="I570" s="2">
        <v>1</v>
      </c>
      <c r="J570" s="2">
        <v>155744</v>
      </c>
      <c r="K570" s="2">
        <v>110849</v>
      </c>
      <c r="L570" s="2">
        <v>9</v>
      </c>
      <c r="M570" t="str">
        <f>IF(Revv_bike_sales_data[[#This Row],[delivery_days]]&lt;=7, "Yes", "No")</f>
        <v>No</v>
      </c>
      <c r="N570" t="s">
        <v>16</v>
      </c>
      <c r="O570" s="2">
        <v>44895</v>
      </c>
    </row>
    <row r="571" spans="1:15" x14ac:dyDescent="0.3">
      <c r="A571" s="2">
        <v>561</v>
      </c>
      <c r="B571" s="1">
        <v>44950.333333333336</v>
      </c>
      <c r="C571" s="1" t="str">
        <f t="shared" si="16"/>
        <v>01-2023</v>
      </c>
      <c r="D571" s="2">
        <f t="shared" si="17"/>
        <v>4</v>
      </c>
      <c r="E571" t="s">
        <v>25</v>
      </c>
      <c r="F571" t="s">
        <v>14</v>
      </c>
      <c r="G571" t="s">
        <v>20</v>
      </c>
      <c r="H571" s="2">
        <v>50277</v>
      </c>
      <c r="I571" s="2">
        <v>4</v>
      </c>
      <c r="J571" s="2">
        <v>116512</v>
      </c>
      <c r="K571" s="2">
        <v>118083</v>
      </c>
      <c r="L571" s="2">
        <v>6</v>
      </c>
      <c r="M571" t="str">
        <f>IF(Revv_bike_sales_data[[#This Row],[delivery_days]]&lt;=7, "Yes", "No")</f>
        <v>Yes</v>
      </c>
      <c r="N571" t="s">
        <v>16</v>
      </c>
      <c r="O571" s="2">
        <v>-1571</v>
      </c>
    </row>
    <row r="572" spans="1:15" x14ac:dyDescent="0.3">
      <c r="A572" s="2">
        <v>562</v>
      </c>
      <c r="B572" s="1">
        <v>44950.375</v>
      </c>
      <c r="C572" s="1" t="str">
        <f t="shared" si="16"/>
        <v>01-2023</v>
      </c>
      <c r="D572" s="2">
        <f t="shared" si="17"/>
        <v>4</v>
      </c>
      <c r="E572" t="s">
        <v>25</v>
      </c>
      <c r="F572" t="s">
        <v>14</v>
      </c>
      <c r="G572" t="s">
        <v>21</v>
      </c>
      <c r="H572" s="2">
        <v>28939</v>
      </c>
      <c r="I572" s="2">
        <v>1</v>
      </c>
      <c r="J572" s="2">
        <v>164830</v>
      </c>
      <c r="K572" s="2">
        <v>55955</v>
      </c>
      <c r="L572" s="2">
        <v>14</v>
      </c>
      <c r="M572" t="str">
        <f>IF(Revv_bike_sales_data[[#This Row],[delivery_days]]&lt;=7, "Yes", "No")</f>
        <v>No</v>
      </c>
      <c r="N572" t="s">
        <v>16</v>
      </c>
      <c r="O572" s="2">
        <v>108875</v>
      </c>
    </row>
    <row r="573" spans="1:15" x14ac:dyDescent="0.3">
      <c r="A573" s="2">
        <v>563</v>
      </c>
      <c r="B573" s="1">
        <v>44950.416666666664</v>
      </c>
      <c r="C573" s="1" t="str">
        <f t="shared" si="16"/>
        <v>01-2023</v>
      </c>
      <c r="D573" s="2">
        <f t="shared" si="17"/>
        <v>4</v>
      </c>
      <c r="E573" t="s">
        <v>17</v>
      </c>
      <c r="F573" t="s">
        <v>14</v>
      </c>
      <c r="G573" t="s">
        <v>21</v>
      </c>
      <c r="H573" s="2">
        <v>81560</v>
      </c>
      <c r="I573" s="2">
        <v>2</v>
      </c>
      <c r="J573" s="2">
        <v>92009</v>
      </c>
      <c r="K573" s="2">
        <v>93565</v>
      </c>
      <c r="L573" s="2">
        <v>1</v>
      </c>
      <c r="M573" t="str">
        <f>IF(Revv_bike_sales_data[[#This Row],[delivery_days]]&lt;=7, "Yes", "No")</f>
        <v>Yes</v>
      </c>
      <c r="N573" t="s">
        <v>16</v>
      </c>
      <c r="O573" s="2">
        <v>-1556</v>
      </c>
    </row>
    <row r="574" spans="1:15" x14ac:dyDescent="0.3">
      <c r="A574" s="2">
        <v>564</v>
      </c>
      <c r="B574" s="1">
        <v>44950.458333333336</v>
      </c>
      <c r="C574" s="1" t="str">
        <f t="shared" si="16"/>
        <v>01-2023</v>
      </c>
      <c r="D574" s="2">
        <f t="shared" si="17"/>
        <v>4</v>
      </c>
      <c r="E574" t="s">
        <v>13</v>
      </c>
      <c r="F574" t="s">
        <v>14</v>
      </c>
      <c r="G574" t="s">
        <v>21</v>
      </c>
      <c r="H574" s="2">
        <v>13785</v>
      </c>
      <c r="I574" s="2">
        <v>5</v>
      </c>
      <c r="J574" s="2">
        <v>169353</v>
      </c>
      <c r="K574" s="2">
        <v>116276</v>
      </c>
      <c r="L574" s="2">
        <v>9</v>
      </c>
      <c r="M574" t="str">
        <f>IF(Revv_bike_sales_data[[#This Row],[delivery_days]]&lt;=7, "Yes", "No")</f>
        <v>No</v>
      </c>
      <c r="N574" t="s">
        <v>16</v>
      </c>
      <c r="O574" s="2">
        <v>53077</v>
      </c>
    </row>
    <row r="575" spans="1:15" x14ac:dyDescent="0.3">
      <c r="A575" s="2">
        <v>565</v>
      </c>
      <c r="B575" s="1">
        <v>44950.5</v>
      </c>
      <c r="C575" s="1" t="str">
        <f t="shared" si="16"/>
        <v>01-2023</v>
      </c>
      <c r="D575" s="2">
        <f t="shared" si="17"/>
        <v>4</v>
      </c>
      <c r="E575" t="s">
        <v>13</v>
      </c>
      <c r="F575" t="s">
        <v>23</v>
      </c>
      <c r="G575" t="s">
        <v>19</v>
      </c>
      <c r="H575" s="2">
        <v>11473</v>
      </c>
      <c r="I575" s="2">
        <v>0</v>
      </c>
      <c r="J575" s="2">
        <v>57548</v>
      </c>
      <c r="K575" s="2">
        <v>71908</v>
      </c>
      <c r="L575" s="2">
        <v>9</v>
      </c>
      <c r="M575" t="str">
        <f>IF(Revv_bike_sales_data[[#This Row],[delivery_days]]&lt;=7, "Yes", "No")</f>
        <v>No</v>
      </c>
      <c r="N575" t="s">
        <v>16</v>
      </c>
      <c r="O575" s="2">
        <v>-14360</v>
      </c>
    </row>
    <row r="576" spans="1:15" x14ac:dyDescent="0.3">
      <c r="A576" s="2">
        <v>566</v>
      </c>
      <c r="B576" s="1">
        <v>44950.541666666664</v>
      </c>
      <c r="C576" s="1" t="str">
        <f t="shared" si="16"/>
        <v>01-2023</v>
      </c>
      <c r="D576" s="2">
        <f t="shared" si="17"/>
        <v>4</v>
      </c>
      <c r="E576" t="s">
        <v>13</v>
      </c>
      <c r="F576" t="s">
        <v>14</v>
      </c>
      <c r="G576" t="s">
        <v>19</v>
      </c>
      <c r="H576" s="2">
        <v>23194</v>
      </c>
      <c r="I576" s="2">
        <v>5</v>
      </c>
      <c r="J576" s="2">
        <v>43371</v>
      </c>
      <c r="K576" s="2">
        <v>79067</v>
      </c>
      <c r="L576" s="2">
        <v>5</v>
      </c>
      <c r="M576" t="str">
        <f>IF(Revv_bike_sales_data[[#This Row],[delivery_days]]&lt;=7, "Yes", "No")</f>
        <v>Yes</v>
      </c>
      <c r="N576" t="s">
        <v>16</v>
      </c>
      <c r="O576" s="2">
        <v>-35696</v>
      </c>
    </row>
    <row r="577" spans="1:15" x14ac:dyDescent="0.3">
      <c r="A577" s="2">
        <v>567</v>
      </c>
      <c r="B577" s="1">
        <v>44950.583333333336</v>
      </c>
      <c r="C577" s="1" t="str">
        <f t="shared" si="16"/>
        <v>01-2023</v>
      </c>
      <c r="D577" s="2">
        <f t="shared" si="17"/>
        <v>4</v>
      </c>
      <c r="E577" t="s">
        <v>18</v>
      </c>
      <c r="F577" t="s">
        <v>14</v>
      </c>
      <c r="G577" t="s">
        <v>19</v>
      </c>
      <c r="H577" s="2">
        <v>36274</v>
      </c>
      <c r="I577" s="2">
        <v>2</v>
      </c>
      <c r="J577" s="2">
        <v>130977</v>
      </c>
      <c r="K577" s="2">
        <v>133636</v>
      </c>
      <c r="L577" s="2">
        <v>8</v>
      </c>
      <c r="M577" t="str">
        <f>IF(Revv_bike_sales_data[[#This Row],[delivery_days]]&lt;=7, "Yes", "No")</f>
        <v>No</v>
      </c>
      <c r="N577" t="s">
        <v>16</v>
      </c>
      <c r="O577" s="2">
        <v>-2659</v>
      </c>
    </row>
    <row r="578" spans="1:15" x14ac:dyDescent="0.3">
      <c r="A578" s="2">
        <v>568</v>
      </c>
      <c r="B578" s="1">
        <v>44950.625</v>
      </c>
      <c r="C578" s="1" t="str">
        <f t="shared" si="16"/>
        <v>01-2023</v>
      </c>
      <c r="D578" s="2">
        <f t="shared" si="17"/>
        <v>4</v>
      </c>
      <c r="E578" t="s">
        <v>17</v>
      </c>
      <c r="F578" t="s">
        <v>14</v>
      </c>
      <c r="G578" t="s">
        <v>20</v>
      </c>
      <c r="H578" s="2">
        <v>4802</v>
      </c>
      <c r="I578" s="2">
        <v>6</v>
      </c>
      <c r="J578" s="2">
        <v>175716</v>
      </c>
      <c r="K578" s="2">
        <v>70696</v>
      </c>
      <c r="L578" s="2">
        <v>7</v>
      </c>
      <c r="M578" t="str">
        <f>IF(Revv_bike_sales_data[[#This Row],[delivery_days]]&lt;=7, "Yes", "No")</f>
        <v>Yes</v>
      </c>
      <c r="N578" t="s">
        <v>16</v>
      </c>
      <c r="O578" s="2">
        <v>105020</v>
      </c>
    </row>
    <row r="579" spans="1:15" x14ac:dyDescent="0.3">
      <c r="A579" s="2">
        <v>569</v>
      </c>
      <c r="B579" s="1">
        <v>44950.666666666664</v>
      </c>
      <c r="C579" s="1" t="str">
        <f t="shared" si="16"/>
        <v>01-2023</v>
      </c>
      <c r="D579" s="2">
        <f t="shared" si="17"/>
        <v>4</v>
      </c>
      <c r="E579" t="s">
        <v>13</v>
      </c>
      <c r="F579" t="s">
        <v>14</v>
      </c>
      <c r="G579" t="s">
        <v>19</v>
      </c>
      <c r="H579" s="2">
        <v>22891</v>
      </c>
      <c r="I579" s="2">
        <v>1</v>
      </c>
      <c r="J579" s="2">
        <v>179946</v>
      </c>
      <c r="K579" s="2">
        <v>33429</v>
      </c>
      <c r="L579" s="2">
        <v>11</v>
      </c>
      <c r="M579" t="str">
        <f>IF(Revv_bike_sales_data[[#This Row],[delivery_days]]&lt;=7, "Yes", "No")</f>
        <v>No</v>
      </c>
      <c r="N579" t="s">
        <v>16</v>
      </c>
      <c r="O579" s="2">
        <v>146517</v>
      </c>
    </row>
    <row r="580" spans="1:15" x14ac:dyDescent="0.3">
      <c r="A580" s="2">
        <v>570</v>
      </c>
      <c r="B580" s="1">
        <v>44950.708333333336</v>
      </c>
      <c r="C580" s="1" t="str">
        <f t="shared" si="16"/>
        <v>01-2023</v>
      </c>
      <c r="D580" s="2">
        <f t="shared" si="17"/>
        <v>4</v>
      </c>
      <c r="E580" t="s">
        <v>18</v>
      </c>
      <c r="F580" t="s">
        <v>14</v>
      </c>
      <c r="G580" t="s">
        <v>20</v>
      </c>
      <c r="H580" s="2">
        <v>5111</v>
      </c>
      <c r="I580" s="2">
        <v>5</v>
      </c>
      <c r="J580" s="2">
        <v>39281</v>
      </c>
      <c r="K580" s="2">
        <v>109048</v>
      </c>
      <c r="L580" s="2">
        <v>8</v>
      </c>
      <c r="M580" t="str">
        <f>IF(Revv_bike_sales_data[[#This Row],[delivery_days]]&lt;=7, "Yes", "No")</f>
        <v>No</v>
      </c>
      <c r="N580" t="s">
        <v>16</v>
      </c>
      <c r="O580" s="2">
        <v>-69767</v>
      </c>
    </row>
    <row r="581" spans="1:15" x14ac:dyDescent="0.3">
      <c r="A581" s="2">
        <v>571</v>
      </c>
      <c r="B581" s="1">
        <v>44950.75</v>
      </c>
      <c r="C581" s="1" t="str">
        <f t="shared" si="16"/>
        <v>01-2023</v>
      </c>
      <c r="D581" s="2">
        <f t="shared" si="17"/>
        <v>4</v>
      </c>
      <c r="E581" t="s">
        <v>22</v>
      </c>
      <c r="F581" t="s">
        <v>14</v>
      </c>
      <c r="G581" t="s">
        <v>21</v>
      </c>
      <c r="H581" s="2">
        <v>9872</v>
      </c>
      <c r="I581" s="2">
        <v>7</v>
      </c>
      <c r="J581" s="2">
        <v>178361</v>
      </c>
      <c r="K581" s="2">
        <v>91676</v>
      </c>
      <c r="L581" s="2">
        <v>9</v>
      </c>
      <c r="M581" t="str">
        <f>IF(Revv_bike_sales_data[[#This Row],[delivery_days]]&lt;=7, "Yes", "No")</f>
        <v>No</v>
      </c>
      <c r="N581" t="s">
        <v>16</v>
      </c>
      <c r="O581" s="2">
        <v>86685</v>
      </c>
    </row>
    <row r="582" spans="1:15" x14ac:dyDescent="0.3">
      <c r="A582" s="2">
        <v>572</v>
      </c>
      <c r="B582" s="1">
        <v>44950.791666666664</v>
      </c>
      <c r="C582" s="1" t="str">
        <f t="shared" si="16"/>
        <v>01-2023</v>
      </c>
      <c r="D582" s="2">
        <f t="shared" si="17"/>
        <v>4</v>
      </c>
      <c r="E582" t="s">
        <v>22</v>
      </c>
      <c r="F582" t="s">
        <v>14</v>
      </c>
      <c r="G582" t="s">
        <v>21</v>
      </c>
      <c r="H582" s="2">
        <v>24812</v>
      </c>
      <c r="I582" s="2">
        <v>0</v>
      </c>
      <c r="J582" s="2">
        <v>161126</v>
      </c>
      <c r="K582" s="2">
        <v>131315</v>
      </c>
      <c r="L582" s="2">
        <v>14</v>
      </c>
      <c r="M582" t="str">
        <f>IF(Revv_bike_sales_data[[#This Row],[delivery_days]]&lt;=7, "Yes", "No")</f>
        <v>No</v>
      </c>
      <c r="N582" t="s">
        <v>16</v>
      </c>
      <c r="O582" s="2">
        <v>29811</v>
      </c>
    </row>
    <row r="583" spans="1:15" x14ac:dyDescent="0.3">
      <c r="A583" s="2">
        <v>573</v>
      </c>
      <c r="B583" s="1">
        <v>44950.833333333336</v>
      </c>
      <c r="C583" s="1" t="str">
        <f t="shared" si="16"/>
        <v>01-2023</v>
      </c>
      <c r="D583" s="2">
        <f t="shared" si="17"/>
        <v>4</v>
      </c>
      <c r="E583" t="s">
        <v>18</v>
      </c>
      <c r="F583" t="s">
        <v>14</v>
      </c>
      <c r="G583" t="s">
        <v>15</v>
      </c>
      <c r="H583" s="2">
        <v>14580</v>
      </c>
      <c r="I583" s="2">
        <v>8</v>
      </c>
      <c r="J583" s="2">
        <v>125020</v>
      </c>
      <c r="K583" s="2">
        <v>29847</v>
      </c>
      <c r="L583" s="2">
        <v>2</v>
      </c>
      <c r="M583" t="str">
        <f>IF(Revv_bike_sales_data[[#This Row],[delivery_days]]&lt;=7, "Yes", "No")</f>
        <v>Yes</v>
      </c>
      <c r="N583" t="s">
        <v>16</v>
      </c>
      <c r="O583" s="2">
        <v>95173</v>
      </c>
    </row>
    <row r="584" spans="1:15" x14ac:dyDescent="0.3">
      <c r="A584" s="2">
        <v>574</v>
      </c>
      <c r="B584" s="1">
        <v>44950.875</v>
      </c>
      <c r="C584" s="1" t="str">
        <f t="shared" si="16"/>
        <v>01-2023</v>
      </c>
      <c r="D584" s="2">
        <f t="shared" si="17"/>
        <v>4</v>
      </c>
      <c r="E584" t="s">
        <v>18</v>
      </c>
      <c r="F584" t="s">
        <v>14</v>
      </c>
      <c r="G584" t="s">
        <v>19</v>
      </c>
      <c r="H584" s="2">
        <v>81118</v>
      </c>
      <c r="I584" s="2">
        <v>4</v>
      </c>
      <c r="J584" s="2">
        <v>132508</v>
      </c>
      <c r="K584" s="2">
        <v>62191</v>
      </c>
      <c r="L584" s="2">
        <v>10</v>
      </c>
      <c r="M584" t="str">
        <f>IF(Revv_bike_sales_data[[#This Row],[delivery_days]]&lt;=7, "Yes", "No")</f>
        <v>No</v>
      </c>
      <c r="N584" t="s">
        <v>16</v>
      </c>
      <c r="O584" s="2">
        <v>70317</v>
      </c>
    </row>
    <row r="585" spans="1:15" x14ac:dyDescent="0.3">
      <c r="A585" s="2">
        <v>575</v>
      </c>
      <c r="B585" s="1">
        <v>44950.916666666664</v>
      </c>
      <c r="C585" s="1" t="str">
        <f t="shared" si="16"/>
        <v>01-2023</v>
      </c>
      <c r="D585" s="2">
        <f t="shared" si="17"/>
        <v>4</v>
      </c>
      <c r="E585" t="s">
        <v>17</v>
      </c>
      <c r="F585" t="s">
        <v>14</v>
      </c>
      <c r="G585" t="s">
        <v>21</v>
      </c>
      <c r="H585" s="2">
        <v>96713</v>
      </c>
      <c r="I585" s="2">
        <v>4</v>
      </c>
      <c r="J585" s="2">
        <v>91846</v>
      </c>
      <c r="K585" s="2">
        <v>49256</v>
      </c>
      <c r="L585" s="2">
        <v>5</v>
      </c>
      <c r="M585" t="str">
        <f>IF(Revv_bike_sales_data[[#This Row],[delivery_days]]&lt;=7, "Yes", "No")</f>
        <v>Yes</v>
      </c>
      <c r="N585" t="s">
        <v>16</v>
      </c>
      <c r="O585" s="2">
        <v>42590</v>
      </c>
    </row>
    <row r="586" spans="1:15" x14ac:dyDescent="0.3">
      <c r="A586" s="2">
        <v>576</v>
      </c>
      <c r="B586" s="1">
        <v>44950.958333333336</v>
      </c>
      <c r="C586" s="1" t="str">
        <f t="shared" si="16"/>
        <v>01-2023</v>
      </c>
      <c r="D586" s="2">
        <f t="shared" si="17"/>
        <v>4</v>
      </c>
      <c r="E586" t="s">
        <v>17</v>
      </c>
      <c r="F586" t="s">
        <v>23</v>
      </c>
      <c r="G586" t="s">
        <v>19</v>
      </c>
      <c r="H586" s="2">
        <v>21374</v>
      </c>
      <c r="I586" s="2">
        <v>4</v>
      </c>
      <c r="J586" s="2">
        <v>119682</v>
      </c>
      <c r="K586" s="2">
        <v>43774</v>
      </c>
      <c r="L586" s="2">
        <v>8</v>
      </c>
      <c r="M586" t="str">
        <f>IF(Revv_bike_sales_data[[#This Row],[delivery_days]]&lt;=7, "Yes", "No")</f>
        <v>No</v>
      </c>
      <c r="N586" t="s">
        <v>16</v>
      </c>
      <c r="O586" s="2">
        <v>75908</v>
      </c>
    </row>
    <row r="587" spans="1:15" x14ac:dyDescent="0.3">
      <c r="A587" s="2">
        <v>577</v>
      </c>
      <c r="B587" s="1">
        <v>44951</v>
      </c>
      <c r="C587" s="1" t="str">
        <f t="shared" ref="C587:C650" si="18">TEXT(B587,"mm-yyyy")</f>
        <v>01-2023</v>
      </c>
      <c r="D587" s="2">
        <f t="shared" ref="D587:D650" si="19">WEEKNUM(B587)</f>
        <v>4</v>
      </c>
      <c r="E587" t="s">
        <v>22</v>
      </c>
      <c r="F587" t="s">
        <v>14</v>
      </c>
      <c r="G587" t="s">
        <v>20</v>
      </c>
      <c r="H587" s="2">
        <v>63037</v>
      </c>
      <c r="I587" s="2">
        <v>5</v>
      </c>
      <c r="J587" s="2">
        <v>54312</v>
      </c>
      <c r="K587" s="2">
        <v>24127</v>
      </c>
      <c r="L587" s="2">
        <v>3</v>
      </c>
      <c r="M587" t="str">
        <f>IF(Revv_bike_sales_data[[#This Row],[delivery_days]]&lt;=7, "Yes", "No")</f>
        <v>Yes</v>
      </c>
      <c r="N587" t="s">
        <v>16</v>
      </c>
      <c r="O587" s="2">
        <v>30185</v>
      </c>
    </row>
    <row r="588" spans="1:15" x14ac:dyDescent="0.3">
      <c r="A588" s="2">
        <v>578</v>
      </c>
      <c r="B588" s="1">
        <v>44951.041666666664</v>
      </c>
      <c r="C588" s="1" t="str">
        <f t="shared" si="18"/>
        <v>01-2023</v>
      </c>
      <c r="D588" s="2">
        <f t="shared" si="19"/>
        <v>4</v>
      </c>
      <c r="E588" t="s">
        <v>13</v>
      </c>
      <c r="F588" t="s">
        <v>14</v>
      </c>
      <c r="G588" t="s">
        <v>21</v>
      </c>
      <c r="H588" s="2">
        <v>74414</v>
      </c>
      <c r="I588" s="2">
        <v>1</v>
      </c>
      <c r="J588" s="2">
        <v>139186</v>
      </c>
      <c r="K588" s="2">
        <v>133251</v>
      </c>
      <c r="L588" s="2">
        <v>11</v>
      </c>
      <c r="M588" t="str">
        <f>IF(Revv_bike_sales_data[[#This Row],[delivery_days]]&lt;=7, "Yes", "No")</f>
        <v>No</v>
      </c>
      <c r="N588" t="s">
        <v>16</v>
      </c>
      <c r="O588" s="2">
        <v>5935</v>
      </c>
    </row>
    <row r="589" spans="1:15" x14ac:dyDescent="0.3">
      <c r="A589" s="2">
        <v>579</v>
      </c>
      <c r="B589" s="1">
        <v>44951.083333333336</v>
      </c>
      <c r="C589" s="1" t="str">
        <f t="shared" si="18"/>
        <v>01-2023</v>
      </c>
      <c r="D589" s="2">
        <f t="shared" si="19"/>
        <v>4</v>
      </c>
      <c r="E589" t="s">
        <v>22</v>
      </c>
      <c r="F589" t="s">
        <v>14</v>
      </c>
      <c r="G589" t="s">
        <v>19</v>
      </c>
      <c r="H589" s="2">
        <v>2097</v>
      </c>
      <c r="I589" s="2">
        <v>5</v>
      </c>
      <c r="J589" s="2">
        <v>29257</v>
      </c>
      <c r="K589" s="2">
        <v>43205</v>
      </c>
      <c r="L589" s="2">
        <v>11</v>
      </c>
      <c r="M589" t="str">
        <f>IF(Revv_bike_sales_data[[#This Row],[delivery_days]]&lt;=7, "Yes", "No")</f>
        <v>No</v>
      </c>
      <c r="N589" t="s">
        <v>16</v>
      </c>
      <c r="O589" s="2">
        <v>-13948</v>
      </c>
    </row>
    <row r="590" spans="1:15" x14ac:dyDescent="0.3">
      <c r="A590" s="2">
        <v>580</v>
      </c>
      <c r="B590" s="1">
        <v>44951.125</v>
      </c>
      <c r="C590" s="1" t="str">
        <f t="shared" si="18"/>
        <v>01-2023</v>
      </c>
      <c r="D590" s="2">
        <f t="shared" si="19"/>
        <v>4</v>
      </c>
      <c r="E590" t="s">
        <v>13</v>
      </c>
      <c r="F590" t="s">
        <v>14</v>
      </c>
      <c r="G590" t="s">
        <v>21</v>
      </c>
      <c r="H590" s="2">
        <v>12100</v>
      </c>
      <c r="I590" s="2">
        <v>3</v>
      </c>
      <c r="J590" s="2">
        <v>171918</v>
      </c>
      <c r="K590" s="2">
        <v>123210</v>
      </c>
      <c r="L590" s="2">
        <v>6</v>
      </c>
      <c r="M590" t="str">
        <f>IF(Revv_bike_sales_data[[#This Row],[delivery_days]]&lt;=7, "Yes", "No")</f>
        <v>Yes</v>
      </c>
      <c r="N590" t="s">
        <v>16</v>
      </c>
      <c r="O590" s="2">
        <v>48708</v>
      </c>
    </row>
    <row r="591" spans="1:15" x14ac:dyDescent="0.3">
      <c r="A591" s="2">
        <v>581</v>
      </c>
      <c r="B591" s="1">
        <v>44951.166666666664</v>
      </c>
      <c r="C591" s="1" t="str">
        <f t="shared" si="18"/>
        <v>01-2023</v>
      </c>
      <c r="D591" s="2">
        <f t="shared" si="19"/>
        <v>4</v>
      </c>
      <c r="E591" t="s">
        <v>13</v>
      </c>
      <c r="F591" t="s">
        <v>23</v>
      </c>
      <c r="G591" t="s">
        <v>21</v>
      </c>
      <c r="H591" s="2">
        <v>4247</v>
      </c>
      <c r="I591" s="2">
        <v>7</v>
      </c>
      <c r="J591" s="2">
        <v>178555</v>
      </c>
      <c r="K591" s="2">
        <v>115106</v>
      </c>
      <c r="L591" s="2">
        <v>6</v>
      </c>
      <c r="M591" t="str">
        <f>IF(Revv_bike_sales_data[[#This Row],[delivery_days]]&lt;=7, "Yes", "No")</f>
        <v>Yes</v>
      </c>
      <c r="N591" t="s">
        <v>16</v>
      </c>
      <c r="O591" s="2">
        <v>63449</v>
      </c>
    </row>
    <row r="592" spans="1:15" x14ac:dyDescent="0.3">
      <c r="A592" s="2">
        <v>582</v>
      </c>
      <c r="B592" s="1">
        <v>44951.208333333336</v>
      </c>
      <c r="C592" s="1" t="str">
        <f t="shared" si="18"/>
        <v>01-2023</v>
      </c>
      <c r="D592" s="2">
        <f t="shared" si="19"/>
        <v>4</v>
      </c>
      <c r="E592" t="s">
        <v>17</v>
      </c>
      <c r="F592" t="s">
        <v>14</v>
      </c>
      <c r="G592" t="s">
        <v>19</v>
      </c>
      <c r="H592" s="2">
        <v>79915</v>
      </c>
      <c r="I592" s="2">
        <v>8</v>
      </c>
      <c r="J592" s="2">
        <v>51558</v>
      </c>
      <c r="K592" s="2">
        <v>96163</v>
      </c>
      <c r="L592" s="2">
        <v>7</v>
      </c>
      <c r="M592" t="str">
        <f>IF(Revv_bike_sales_data[[#This Row],[delivery_days]]&lt;=7, "Yes", "No")</f>
        <v>Yes</v>
      </c>
      <c r="N592" t="s">
        <v>16</v>
      </c>
      <c r="O592" s="2">
        <v>-44605</v>
      </c>
    </row>
    <row r="593" spans="1:15" x14ac:dyDescent="0.3">
      <c r="A593" s="2">
        <v>583</v>
      </c>
      <c r="B593" s="1">
        <v>44951.25</v>
      </c>
      <c r="C593" s="1" t="str">
        <f t="shared" si="18"/>
        <v>01-2023</v>
      </c>
      <c r="D593" s="2">
        <f t="shared" si="19"/>
        <v>4</v>
      </c>
      <c r="E593" t="s">
        <v>25</v>
      </c>
      <c r="F593" t="s">
        <v>14</v>
      </c>
      <c r="G593" t="s">
        <v>21</v>
      </c>
      <c r="H593" s="2">
        <v>79053</v>
      </c>
      <c r="I593" s="2">
        <v>8</v>
      </c>
      <c r="J593" s="2">
        <v>68188</v>
      </c>
      <c r="K593" s="2">
        <v>73764</v>
      </c>
      <c r="L593" s="2">
        <v>13</v>
      </c>
      <c r="M593" t="str">
        <f>IF(Revv_bike_sales_data[[#This Row],[delivery_days]]&lt;=7, "Yes", "No")</f>
        <v>No</v>
      </c>
      <c r="N593" t="s">
        <v>24</v>
      </c>
      <c r="O593" s="2">
        <v>-5576</v>
      </c>
    </row>
    <row r="594" spans="1:15" x14ac:dyDescent="0.3">
      <c r="A594" s="2">
        <v>584</v>
      </c>
      <c r="B594" s="1">
        <v>44951.291666666664</v>
      </c>
      <c r="C594" s="1" t="str">
        <f t="shared" si="18"/>
        <v>01-2023</v>
      </c>
      <c r="D594" s="2">
        <f t="shared" si="19"/>
        <v>4</v>
      </c>
      <c r="E594" t="s">
        <v>25</v>
      </c>
      <c r="F594" t="s">
        <v>23</v>
      </c>
      <c r="G594" t="s">
        <v>21</v>
      </c>
      <c r="H594" s="2">
        <v>25315</v>
      </c>
      <c r="I594" s="2">
        <v>7</v>
      </c>
      <c r="J594" s="2">
        <v>169084</v>
      </c>
      <c r="K594" s="2">
        <v>133279</v>
      </c>
      <c r="L594" s="2">
        <v>11</v>
      </c>
      <c r="M594" t="str">
        <f>IF(Revv_bike_sales_data[[#This Row],[delivery_days]]&lt;=7, "Yes", "No")</f>
        <v>No</v>
      </c>
      <c r="N594" t="s">
        <v>16</v>
      </c>
      <c r="O594" s="2">
        <v>35805</v>
      </c>
    </row>
    <row r="595" spans="1:15" x14ac:dyDescent="0.3">
      <c r="A595" s="2">
        <v>585</v>
      </c>
      <c r="B595" s="1">
        <v>44951.333333333336</v>
      </c>
      <c r="C595" s="1" t="str">
        <f t="shared" si="18"/>
        <v>01-2023</v>
      </c>
      <c r="D595" s="2">
        <f t="shared" si="19"/>
        <v>4</v>
      </c>
      <c r="E595" t="s">
        <v>18</v>
      </c>
      <c r="F595" t="s">
        <v>14</v>
      </c>
      <c r="G595" t="s">
        <v>21</v>
      </c>
      <c r="H595" s="2">
        <v>85000</v>
      </c>
      <c r="I595" s="2">
        <v>2</v>
      </c>
      <c r="J595" s="2">
        <v>58236</v>
      </c>
      <c r="K595" s="2">
        <v>116824</v>
      </c>
      <c r="L595" s="2">
        <v>3</v>
      </c>
      <c r="M595" t="str">
        <f>IF(Revv_bike_sales_data[[#This Row],[delivery_days]]&lt;=7, "Yes", "No")</f>
        <v>Yes</v>
      </c>
      <c r="N595" t="s">
        <v>16</v>
      </c>
      <c r="O595" s="2">
        <v>-58588</v>
      </c>
    </row>
    <row r="596" spans="1:15" x14ac:dyDescent="0.3">
      <c r="A596" s="2">
        <v>586</v>
      </c>
      <c r="B596" s="1">
        <v>44951.375</v>
      </c>
      <c r="C596" s="1" t="str">
        <f t="shared" si="18"/>
        <v>01-2023</v>
      </c>
      <c r="D596" s="2">
        <f t="shared" si="19"/>
        <v>4</v>
      </c>
      <c r="E596" t="s">
        <v>17</v>
      </c>
      <c r="F596" t="s">
        <v>14</v>
      </c>
      <c r="G596" t="s">
        <v>21</v>
      </c>
      <c r="H596" s="2">
        <v>94848</v>
      </c>
      <c r="I596" s="2">
        <v>9</v>
      </c>
      <c r="J596" s="2">
        <v>70076</v>
      </c>
      <c r="K596" s="2">
        <v>53664</v>
      </c>
      <c r="L596" s="2">
        <v>8</v>
      </c>
      <c r="M596" t="str">
        <f>IF(Revv_bike_sales_data[[#This Row],[delivery_days]]&lt;=7, "Yes", "No")</f>
        <v>No</v>
      </c>
      <c r="N596" t="s">
        <v>16</v>
      </c>
      <c r="O596" s="2">
        <v>16412</v>
      </c>
    </row>
    <row r="597" spans="1:15" x14ac:dyDescent="0.3">
      <c r="A597" s="2">
        <v>587</v>
      </c>
      <c r="B597" s="1">
        <v>44951.416666666664</v>
      </c>
      <c r="C597" s="1" t="str">
        <f t="shared" si="18"/>
        <v>01-2023</v>
      </c>
      <c r="D597" s="2">
        <f t="shared" si="19"/>
        <v>4</v>
      </c>
      <c r="E597" t="s">
        <v>13</v>
      </c>
      <c r="F597" t="s">
        <v>14</v>
      </c>
      <c r="G597" t="s">
        <v>20</v>
      </c>
      <c r="H597" s="2">
        <v>25214</v>
      </c>
      <c r="I597" s="2">
        <v>3</v>
      </c>
      <c r="J597" s="2">
        <v>73402</v>
      </c>
      <c r="K597" s="2">
        <v>71795</v>
      </c>
      <c r="L597" s="2">
        <v>8</v>
      </c>
      <c r="M597" t="str">
        <f>IF(Revv_bike_sales_data[[#This Row],[delivery_days]]&lt;=7, "Yes", "No")</f>
        <v>No</v>
      </c>
      <c r="N597" t="s">
        <v>16</v>
      </c>
      <c r="O597" s="2">
        <v>1607</v>
      </c>
    </row>
    <row r="598" spans="1:15" x14ac:dyDescent="0.3">
      <c r="A598" s="2">
        <v>588</v>
      </c>
      <c r="B598" s="1">
        <v>44951.458333333336</v>
      </c>
      <c r="C598" s="1" t="str">
        <f t="shared" si="18"/>
        <v>01-2023</v>
      </c>
      <c r="D598" s="2">
        <f t="shared" si="19"/>
        <v>4</v>
      </c>
      <c r="E598" t="s">
        <v>25</v>
      </c>
      <c r="F598" t="s">
        <v>14</v>
      </c>
      <c r="G598" t="s">
        <v>21</v>
      </c>
      <c r="H598" s="2">
        <v>19390</v>
      </c>
      <c r="I598" s="2">
        <v>0</v>
      </c>
      <c r="J598" s="2">
        <v>119467</v>
      </c>
      <c r="K598" s="2">
        <v>136729</v>
      </c>
      <c r="L598" s="2">
        <v>9</v>
      </c>
      <c r="M598" t="str">
        <f>IF(Revv_bike_sales_data[[#This Row],[delivery_days]]&lt;=7, "Yes", "No")</f>
        <v>No</v>
      </c>
      <c r="N598" t="s">
        <v>24</v>
      </c>
      <c r="O598" s="2">
        <v>-17262</v>
      </c>
    </row>
    <row r="599" spans="1:15" x14ac:dyDescent="0.3">
      <c r="A599" s="2">
        <v>589</v>
      </c>
      <c r="B599" s="1">
        <v>44951.5</v>
      </c>
      <c r="C599" s="1" t="str">
        <f t="shared" si="18"/>
        <v>01-2023</v>
      </c>
      <c r="D599" s="2">
        <f t="shared" si="19"/>
        <v>4</v>
      </c>
      <c r="E599" t="s">
        <v>13</v>
      </c>
      <c r="F599" t="s">
        <v>14</v>
      </c>
      <c r="G599" t="s">
        <v>15</v>
      </c>
      <c r="H599" s="2">
        <v>62009</v>
      </c>
      <c r="I599" s="2">
        <v>8</v>
      </c>
      <c r="J599" s="2">
        <v>105337</v>
      </c>
      <c r="K599" s="2">
        <v>47333</v>
      </c>
      <c r="L599" s="2">
        <v>8</v>
      </c>
      <c r="M599" t="str">
        <f>IF(Revv_bike_sales_data[[#This Row],[delivery_days]]&lt;=7, "Yes", "No")</f>
        <v>No</v>
      </c>
      <c r="N599" t="s">
        <v>16</v>
      </c>
      <c r="O599" s="2">
        <v>58004</v>
      </c>
    </row>
    <row r="600" spans="1:15" x14ac:dyDescent="0.3">
      <c r="A600" s="2">
        <v>590</v>
      </c>
      <c r="B600" s="1">
        <v>44951.541666666664</v>
      </c>
      <c r="C600" s="1" t="str">
        <f t="shared" si="18"/>
        <v>01-2023</v>
      </c>
      <c r="D600" s="2">
        <f t="shared" si="19"/>
        <v>4</v>
      </c>
      <c r="E600" t="s">
        <v>25</v>
      </c>
      <c r="F600" t="s">
        <v>23</v>
      </c>
      <c r="G600" t="s">
        <v>21</v>
      </c>
      <c r="H600" s="2">
        <v>62324</v>
      </c>
      <c r="I600" s="2">
        <v>4</v>
      </c>
      <c r="J600" s="2">
        <v>140827</v>
      </c>
      <c r="K600" s="2">
        <v>128548</v>
      </c>
      <c r="L600" s="2">
        <v>3</v>
      </c>
      <c r="M600" t="str">
        <f>IF(Revv_bike_sales_data[[#This Row],[delivery_days]]&lt;=7, "Yes", "No")</f>
        <v>Yes</v>
      </c>
      <c r="N600" t="s">
        <v>16</v>
      </c>
      <c r="O600" s="2">
        <v>12279</v>
      </c>
    </row>
    <row r="601" spans="1:15" x14ac:dyDescent="0.3">
      <c r="A601" s="2">
        <v>591</v>
      </c>
      <c r="B601" s="1">
        <v>44951.583333333336</v>
      </c>
      <c r="C601" s="1" t="str">
        <f t="shared" si="18"/>
        <v>01-2023</v>
      </c>
      <c r="D601" s="2">
        <f t="shared" si="19"/>
        <v>4</v>
      </c>
      <c r="E601" t="s">
        <v>25</v>
      </c>
      <c r="F601" t="s">
        <v>23</v>
      </c>
      <c r="G601" t="s">
        <v>19</v>
      </c>
      <c r="H601" s="2">
        <v>5225</v>
      </c>
      <c r="I601" s="2">
        <v>5</v>
      </c>
      <c r="J601" s="2">
        <v>99264</v>
      </c>
      <c r="K601" s="2">
        <v>51079</v>
      </c>
      <c r="L601" s="2">
        <v>6</v>
      </c>
      <c r="M601" t="str">
        <f>IF(Revv_bike_sales_data[[#This Row],[delivery_days]]&lt;=7, "Yes", "No")</f>
        <v>Yes</v>
      </c>
      <c r="N601" t="s">
        <v>16</v>
      </c>
      <c r="O601" s="2">
        <v>48185</v>
      </c>
    </row>
    <row r="602" spans="1:15" x14ac:dyDescent="0.3">
      <c r="A602" s="2">
        <v>592</v>
      </c>
      <c r="B602" s="1">
        <v>44951.625</v>
      </c>
      <c r="C602" s="1" t="str">
        <f t="shared" si="18"/>
        <v>01-2023</v>
      </c>
      <c r="D602" s="2">
        <f t="shared" si="19"/>
        <v>4</v>
      </c>
      <c r="E602" t="s">
        <v>25</v>
      </c>
      <c r="F602" t="s">
        <v>14</v>
      </c>
      <c r="G602" t="s">
        <v>15</v>
      </c>
      <c r="H602" s="2">
        <v>43705</v>
      </c>
      <c r="I602" s="2">
        <v>2</v>
      </c>
      <c r="J602" s="2">
        <v>42335</v>
      </c>
      <c r="K602" s="2">
        <v>99225</v>
      </c>
      <c r="L602" s="2">
        <v>9</v>
      </c>
      <c r="M602" t="str">
        <f>IF(Revv_bike_sales_data[[#This Row],[delivery_days]]&lt;=7, "Yes", "No")</f>
        <v>No</v>
      </c>
      <c r="N602" t="s">
        <v>16</v>
      </c>
      <c r="O602" s="2">
        <v>-56890</v>
      </c>
    </row>
    <row r="603" spans="1:15" x14ac:dyDescent="0.3">
      <c r="A603" s="2">
        <v>593</v>
      </c>
      <c r="B603" s="1">
        <v>44951.666666666664</v>
      </c>
      <c r="C603" s="1" t="str">
        <f t="shared" si="18"/>
        <v>01-2023</v>
      </c>
      <c r="D603" s="2">
        <f t="shared" si="19"/>
        <v>4</v>
      </c>
      <c r="E603" t="s">
        <v>17</v>
      </c>
      <c r="F603" t="s">
        <v>14</v>
      </c>
      <c r="G603" t="s">
        <v>20</v>
      </c>
      <c r="H603" s="2">
        <v>21184</v>
      </c>
      <c r="I603" s="2">
        <v>9</v>
      </c>
      <c r="J603" s="2">
        <v>68773</v>
      </c>
      <c r="K603" s="2">
        <v>39259</v>
      </c>
      <c r="L603" s="2">
        <v>1</v>
      </c>
      <c r="M603" t="str">
        <f>IF(Revv_bike_sales_data[[#This Row],[delivery_days]]&lt;=7, "Yes", "No")</f>
        <v>Yes</v>
      </c>
      <c r="N603" t="s">
        <v>16</v>
      </c>
      <c r="O603" s="2">
        <v>29514</v>
      </c>
    </row>
    <row r="604" spans="1:15" x14ac:dyDescent="0.3">
      <c r="A604" s="2">
        <v>594</v>
      </c>
      <c r="B604" s="1">
        <v>44951.708333333336</v>
      </c>
      <c r="C604" s="1" t="str">
        <f t="shared" si="18"/>
        <v>01-2023</v>
      </c>
      <c r="D604" s="2">
        <f t="shared" si="19"/>
        <v>4</v>
      </c>
      <c r="E604" t="s">
        <v>22</v>
      </c>
      <c r="F604" t="s">
        <v>14</v>
      </c>
      <c r="G604" t="s">
        <v>15</v>
      </c>
      <c r="H604" s="2">
        <v>92361</v>
      </c>
      <c r="I604" s="2">
        <v>7</v>
      </c>
      <c r="J604" s="2">
        <v>53570</v>
      </c>
      <c r="K604" s="2">
        <v>41571</v>
      </c>
      <c r="L604" s="2">
        <v>3</v>
      </c>
      <c r="M604" t="str">
        <f>IF(Revv_bike_sales_data[[#This Row],[delivery_days]]&lt;=7, "Yes", "No")</f>
        <v>Yes</v>
      </c>
      <c r="N604" t="s">
        <v>16</v>
      </c>
      <c r="O604" s="2">
        <v>11999</v>
      </c>
    </row>
    <row r="605" spans="1:15" x14ac:dyDescent="0.3">
      <c r="A605" s="2">
        <v>595</v>
      </c>
      <c r="B605" s="1">
        <v>44951.75</v>
      </c>
      <c r="C605" s="1" t="str">
        <f t="shared" si="18"/>
        <v>01-2023</v>
      </c>
      <c r="D605" s="2">
        <f t="shared" si="19"/>
        <v>4</v>
      </c>
      <c r="E605" t="s">
        <v>13</v>
      </c>
      <c r="F605" t="s">
        <v>23</v>
      </c>
      <c r="G605" t="s">
        <v>15</v>
      </c>
      <c r="H605" s="2">
        <v>58411</v>
      </c>
      <c r="I605" s="2">
        <v>6</v>
      </c>
      <c r="J605" s="2">
        <v>112995</v>
      </c>
      <c r="K605" s="2">
        <v>66119</v>
      </c>
      <c r="L605" s="2">
        <v>2</v>
      </c>
      <c r="M605" t="str">
        <f>IF(Revv_bike_sales_data[[#This Row],[delivery_days]]&lt;=7, "Yes", "No")</f>
        <v>Yes</v>
      </c>
      <c r="N605" t="s">
        <v>16</v>
      </c>
      <c r="O605" s="2">
        <v>46876</v>
      </c>
    </row>
    <row r="606" spans="1:15" x14ac:dyDescent="0.3">
      <c r="A606" s="2">
        <v>596</v>
      </c>
      <c r="B606" s="1">
        <v>44951.791666666664</v>
      </c>
      <c r="C606" s="1" t="str">
        <f t="shared" si="18"/>
        <v>01-2023</v>
      </c>
      <c r="D606" s="2">
        <f t="shared" si="19"/>
        <v>4</v>
      </c>
      <c r="E606" t="s">
        <v>17</v>
      </c>
      <c r="F606" t="s">
        <v>14</v>
      </c>
      <c r="G606" t="s">
        <v>15</v>
      </c>
      <c r="H606" s="2">
        <v>98578</v>
      </c>
      <c r="I606" s="2">
        <v>0</v>
      </c>
      <c r="J606" s="2">
        <v>65658</v>
      </c>
      <c r="K606" s="2">
        <v>23009</v>
      </c>
      <c r="L606" s="2">
        <v>12</v>
      </c>
      <c r="M606" t="str">
        <f>IF(Revv_bike_sales_data[[#This Row],[delivery_days]]&lt;=7, "Yes", "No")</f>
        <v>No</v>
      </c>
      <c r="N606" t="s">
        <v>16</v>
      </c>
      <c r="O606" s="2">
        <v>42649</v>
      </c>
    </row>
    <row r="607" spans="1:15" x14ac:dyDescent="0.3">
      <c r="A607" s="2">
        <v>597</v>
      </c>
      <c r="B607" s="1">
        <v>44951.833333333336</v>
      </c>
      <c r="C607" s="1" t="str">
        <f t="shared" si="18"/>
        <v>01-2023</v>
      </c>
      <c r="D607" s="2">
        <f t="shared" si="19"/>
        <v>4</v>
      </c>
      <c r="E607" t="s">
        <v>17</v>
      </c>
      <c r="F607" t="s">
        <v>14</v>
      </c>
      <c r="G607" t="s">
        <v>19</v>
      </c>
      <c r="H607" s="2">
        <v>13592</v>
      </c>
      <c r="I607" s="2">
        <v>9</v>
      </c>
      <c r="J607" s="2">
        <v>145640</v>
      </c>
      <c r="K607" s="2">
        <v>125210</v>
      </c>
      <c r="L607" s="2">
        <v>8</v>
      </c>
      <c r="M607" t="str">
        <f>IF(Revv_bike_sales_data[[#This Row],[delivery_days]]&lt;=7, "Yes", "No")</f>
        <v>No</v>
      </c>
      <c r="N607" t="s">
        <v>16</v>
      </c>
      <c r="O607" s="2">
        <v>20430</v>
      </c>
    </row>
    <row r="608" spans="1:15" x14ac:dyDescent="0.3">
      <c r="A608" s="2">
        <v>598</v>
      </c>
      <c r="B608" s="1">
        <v>44951.875</v>
      </c>
      <c r="C608" s="1" t="str">
        <f t="shared" si="18"/>
        <v>01-2023</v>
      </c>
      <c r="D608" s="2">
        <f t="shared" si="19"/>
        <v>4</v>
      </c>
      <c r="E608" t="s">
        <v>17</v>
      </c>
      <c r="F608" t="s">
        <v>14</v>
      </c>
      <c r="G608" t="s">
        <v>19</v>
      </c>
      <c r="H608" s="2">
        <v>96418</v>
      </c>
      <c r="I608" s="2">
        <v>4</v>
      </c>
      <c r="J608" s="2">
        <v>97613</v>
      </c>
      <c r="K608" s="2">
        <v>125531</v>
      </c>
      <c r="L608" s="2">
        <v>6</v>
      </c>
      <c r="M608" t="str">
        <f>IF(Revv_bike_sales_data[[#This Row],[delivery_days]]&lt;=7, "Yes", "No")</f>
        <v>Yes</v>
      </c>
      <c r="N608" t="s">
        <v>16</v>
      </c>
      <c r="O608" s="2">
        <v>-27918</v>
      </c>
    </row>
    <row r="609" spans="1:15" x14ac:dyDescent="0.3">
      <c r="A609" s="2">
        <v>599</v>
      </c>
      <c r="B609" s="1">
        <v>44951.916666666664</v>
      </c>
      <c r="C609" s="1" t="str">
        <f t="shared" si="18"/>
        <v>01-2023</v>
      </c>
      <c r="D609" s="2">
        <f t="shared" si="19"/>
        <v>4</v>
      </c>
      <c r="E609" t="s">
        <v>17</v>
      </c>
      <c r="F609" t="s">
        <v>14</v>
      </c>
      <c r="G609" t="s">
        <v>19</v>
      </c>
      <c r="H609" s="2">
        <v>40270</v>
      </c>
      <c r="I609" s="2">
        <v>9</v>
      </c>
      <c r="J609" s="2">
        <v>83194</v>
      </c>
      <c r="K609" s="2">
        <v>76829</v>
      </c>
      <c r="L609" s="2">
        <v>10</v>
      </c>
      <c r="M609" t="str">
        <f>IF(Revv_bike_sales_data[[#This Row],[delivery_days]]&lt;=7, "Yes", "No")</f>
        <v>No</v>
      </c>
      <c r="N609" t="s">
        <v>16</v>
      </c>
      <c r="O609" s="2">
        <v>6365</v>
      </c>
    </row>
    <row r="610" spans="1:15" x14ac:dyDescent="0.3">
      <c r="A610" s="2">
        <v>600</v>
      </c>
      <c r="B610" s="1">
        <v>44951.958333333336</v>
      </c>
      <c r="C610" s="1" t="str">
        <f t="shared" si="18"/>
        <v>01-2023</v>
      </c>
      <c r="D610" s="2">
        <f t="shared" si="19"/>
        <v>4</v>
      </c>
      <c r="E610" t="s">
        <v>17</v>
      </c>
      <c r="F610" t="s">
        <v>14</v>
      </c>
      <c r="G610" t="s">
        <v>20</v>
      </c>
      <c r="H610" s="2">
        <v>25957</v>
      </c>
      <c r="I610" s="2">
        <v>8</v>
      </c>
      <c r="J610" s="2">
        <v>136872</v>
      </c>
      <c r="K610" s="2">
        <v>53230</v>
      </c>
      <c r="L610" s="2">
        <v>11</v>
      </c>
      <c r="M610" t="str">
        <f>IF(Revv_bike_sales_data[[#This Row],[delivery_days]]&lt;=7, "Yes", "No")</f>
        <v>No</v>
      </c>
      <c r="N610" t="s">
        <v>16</v>
      </c>
      <c r="O610" s="2">
        <v>83642</v>
      </c>
    </row>
    <row r="611" spans="1:15" x14ac:dyDescent="0.3">
      <c r="A611" s="2">
        <v>601</v>
      </c>
      <c r="B611" s="1">
        <v>44952</v>
      </c>
      <c r="C611" s="1" t="str">
        <f t="shared" si="18"/>
        <v>01-2023</v>
      </c>
      <c r="D611" s="2">
        <f t="shared" si="19"/>
        <v>4</v>
      </c>
      <c r="E611" t="s">
        <v>18</v>
      </c>
      <c r="F611" t="s">
        <v>14</v>
      </c>
      <c r="G611" t="s">
        <v>19</v>
      </c>
      <c r="H611" s="2">
        <v>72167</v>
      </c>
      <c r="I611" s="2">
        <v>5</v>
      </c>
      <c r="J611" s="2">
        <v>133558</v>
      </c>
      <c r="K611" s="2">
        <v>126364</v>
      </c>
      <c r="L611" s="2">
        <v>11</v>
      </c>
      <c r="M611" t="str">
        <f>IF(Revv_bike_sales_data[[#This Row],[delivery_days]]&lt;=7, "Yes", "No")</f>
        <v>No</v>
      </c>
      <c r="N611" t="s">
        <v>16</v>
      </c>
      <c r="O611" s="2">
        <v>7194</v>
      </c>
    </row>
    <row r="612" spans="1:15" x14ac:dyDescent="0.3">
      <c r="A612" s="2">
        <v>602</v>
      </c>
      <c r="B612" s="1">
        <v>44952.041666666664</v>
      </c>
      <c r="C612" s="1" t="str">
        <f t="shared" si="18"/>
        <v>01-2023</v>
      </c>
      <c r="D612" s="2">
        <f t="shared" si="19"/>
        <v>4</v>
      </c>
      <c r="E612" t="s">
        <v>13</v>
      </c>
      <c r="F612" t="s">
        <v>14</v>
      </c>
      <c r="G612" t="s">
        <v>19</v>
      </c>
      <c r="H612" s="2">
        <v>91251</v>
      </c>
      <c r="I612" s="2">
        <v>7</v>
      </c>
      <c r="J612" s="2">
        <v>93582</v>
      </c>
      <c r="K612" s="2">
        <v>71049</v>
      </c>
      <c r="L612" s="2">
        <v>8</v>
      </c>
      <c r="M612" t="str">
        <f>IF(Revv_bike_sales_data[[#This Row],[delivery_days]]&lt;=7, "Yes", "No")</f>
        <v>No</v>
      </c>
      <c r="N612" t="s">
        <v>16</v>
      </c>
      <c r="O612" s="2">
        <v>22533</v>
      </c>
    </row>
    <row r="613" spans="1:15" x14ac:dyDescent="0.3">
      <c r="A613" s="2">
        <v>603</v>
      </c>
      <c r="B613" s="1">
        <v>44952.083333333336</v>
      </c>
      <c r="C613" s="1" t="str">
        <f t="shared" si="18"/>
        <v>01-2023</v>
      </c>
      <c r="D613" s="2">
        <f t="shared" si="19"/>
        <v>4</v>
      </c>
      <c r="E613" t="s">
        <v>17</v>
      </c>
      <c r="F613" t="s">
        <v>14</v>
      </c>
      <c r="G613" t="s">
        <v>15</v>
      </c>
      <c r="H613" s="2">
        <v>63394</v>
      </c>
      <c r="I613" s="2">
        <v>9</v>
      </c>
      <c r="J613" s="2">
        <v>168775</v>
      </c>
      <c r="K613" s="2">
        <v>116762</v>
      </c>
      <c r="L613" s="2">
        <v>2</v>
      </c>
      <c r="M613" t="str">
        <f>IF(Revv_bike_sales_data[[#This Row],[delivery_days]]&lt;=7, "Yes", "No")</f>
        <v>Yes</v>
      </c>
      <c r="N613" t="s">
        <v>16</v>
      </c>
      <c r="O613" s="2">
        <v>52013</v>
      </c>
    </row>
    <row r="614" spans="1:15" x14ac:dyDescent="0.3">
      <c r="A614" s="2">
        <v>604</v>
      </c>
      <c r="B614" s="1">
        <v>44952.125</v>
      </c>
      <c r="C614" s="1" t="str">
        <f t="shared" si="18"/>
        <v>01-2023</v>
      </c>
      <c r="D614" s="2">
        <f t="shared" si="19"/>
        <v>4</v>
      </c>
      <c r="E614" t="s">
        <v>13</v>
      </c>
      <c r="F614" t="s">
        <v>14</v>
      </c>
      <c r="G614" t="s">
        <v>19</v>
      </c>
      <c r="H614" s="2">
        <v>61805</v>
      </c>
      <c r="I614" s="2">
        <v>0</v>
      </c>
      <c r="J614" s="2">
        <v>74456</v>
      </c>
      <c r="K614" s="2">
        <v>138273</v>
      </c>
      <c r="L614" s="2">
        <v>11</v>
      </c>
      <c r="M614" t="str">
        <f>IF(Revv_bike_sales_data[[#This Row],[delivery_days]]&lt;=7, "Yes", "No")</f>
        <v>No</v>
      </c>
      <c r="N614" t="s">
        <v>16</v>
      </c>
      <c r="O614" s="2">
        <v>-63817</v>
      </c>
    </row>
    <row r="615" spans="1:15" x14ac:dyDescent="0.3">
      <c r="A615" s="2">
        <v>605</v>
      </c>
      <c r="B615" s="1">
        <v>44952.166666666664</v>
      </c>
      <c r="C615" s="1" t="str">
        <f t="shared" si="18"/>
        <v>01-2023</v>
      </c>
      <c r="D615" s="2">
        <f t="shared" si="19"/>
        <v>4</v>
      </c>
      <c r="E615" t="s">
        <v>18</v>
      </c>
      <c r="F615" t="s">
        <v>14</v>
      </c>
      <c r="G615" t="s">
        <v>21</v>
      </c>
      <c r="H615" s="2">
        <v>13112</v>
      </c>
      <c r="I615" s="2">
        <v>9</v>
      </c>
      <c r="J615" s="2">
        <v>80491</v>
      </c>
      <c r="K615" s="2">
        <v>134466</v>
      </c>
      <c r="L615" s="2">
        <v>6</v>
      </c>
      <c r="M615" t="str">
        <f>IF(Revv_bike_sales_data[[#This Row],[delivery_days]]&lt;=7, "Yes", "No")</f>
        <v>Yes</v>
      </c>
      <c r="N615" t="s">
        <v>16</v>
      </c>
      <c r="O615" s="2">
        <v>-53975</v>
      </c>
    </row>
    <row r="616" spans="1:15" x14ac:dyDescent="0.3">
      <c r="A616" s="2">
        <v>606</v>
      </c>
      <c r="B616" s="1">
        <v>44952.208333333336</v>
      </c>
      <c r="C616" s="1" t="str">
        <f t="shared" si="18"/>
        <v>01-2023</v>
      </c>
      <c r="D616" s="2">
        <f t="shared" si="19"/>
        <v>4</v>
      </c>
      <c r="E616" t="s">
        <v>18</v>
      </c>
      <c r="F616" t="s">
        <v>23</v>
      </c>
      <c r="G616" t="s">
        <v>19</v>
      </c>
      <c r="H616" s="2">
        <v>79127</v>
      </c>
      <c r="I616" s="2">
        <v>6</v>
      </c>
      <c r="J616" s="2">
        <v>33043</v>
      </c>
      <c r="K616" s="2">
        <v>51498</v>
      </c>
      <c r="L616" s="2">
        <v>7</v>
      </c>
      <c r="M616" t="str">
        <f>IF(Revv_bike_sales_data[[#This Row],[delivery_days]]&lt;=7, "Yes", "No")</f>
        <v>Yes</v>
      </c>
      <c r="N616" t="s">
        <v>16</v>
      </c>
      <c r="O616" s="2">
        <v>-18455</v>
      </c>
    </row>
    <row r="617" spans="1:15" x14ac:dyDescent="0.3">
      <c r="A617" s="2">
        <v>607</v>
      </c>
      <c r="B617" s="1">
        <v>44952.25</v>
      </c>
      <c r="C617" s="1" t="str">
        <f t="shared" si="18"/>
        <v>01-2023</v>
      </c>
      <c r="D617" s="2">
        <f t="shared" si="19"/>
        <v>4</v>
      </c>
      <c r="E617" t="s">
        <v>13</v>
      </c>
      <c r="F617" t="s">
        <v>14</v>
      </c>
      <c r="G617" t="s">
        <v>20</v>
      </c>
      <c r="H617" s="2">
        <v>37589</v>
      </c>
      <c r="I617" s="2">
        <v>2</v>
      </c>
      <c r="J617" s="2">
        <v>128212</v>
      </c>
      <c r="K617" s="2">
        <v>134053</v>
      </c>
      <c r="L617" s="2">
        <v>8</v>
      </c>
      <c r="M617" t="str">
        <f>IF(Revv_bike_sales_data[[#This Row],[delivery_days]]&lt;=7, "Yes", "No")</f>
        <v>No</v>
      </c>
      <c r="N617" t="s">
        <v>24</v>
      </c>
      <c r="O617" s="2">
        <v>-5841</v>
      </c>
    </row>
    <row r="618" spans="1:15" x14ac:dyDescent="0.3">
      <c r="A618" s="2">
        <v>608</v>
      </c>
      <c r="B618" s="1">
        <v>44952.291666666664</v>
      </c>
      <c r="C618" s="1" t="str">
        <f t="shared" si="18"/>
        <v>01-2023</v>
      </c>
      <c r="D618" s="2">
        <f t="shared" si="19"/>
        <v>4</v>
      </c>
      <c r="E618" t="s">
        <v>25</v>
      </c>
      <c r="F618" t="s">
        <v>14</v>
      </c>
      <c r="G618" t="s">
        <v>20</v>
      </c>
      <c r="H618" s="2">
        <v>95795</v>
      </c>
      <c r="I618" s="2">
        <v>8</v>
      </c>
      <c r="J618" s="2">
        <v>93340</v>
      </c>
      <c r="K618" s="2">
        <v>43820</v>
      </c>
      <c r="L618" s="2">
        <v>9</v>
      </c>
      <c r="M618" t="str">
        <f>IF(Revv_bike_sales_data[[#This Row],[delivery_days]]&lt;=7, "Yes", "No")</f>
        <v>No</v>
      </c>
      <c r="N618" t="s">
        <v>16</v>
      </c>
      <c r="O618" s="2">
        <v>49520</v>
      </c>
    </row>
    <row r="619" spans="1:15" x14ac:dyDescent="0.3">
      <c r="A619" s="2">
        <v>609</v>
      </c>
      <c r="B619" s="1">
        <v>44952.333333333336</v>
      </c>
      <c r="C619" s="1" t="str">
        <f t="shared" si="18"/>
        <v>01-2023</v>
      </c>
      <c r="D619" s="2">
        <f t="shared" si="19"/>
        <v>4</v>
      </c>
      <c r="E619" t="s">
        <v>22</v>
      </c>
      <c r="F619" t="s">
        <v>14</v>
      </c>
      <c r="G619" t="s">
        <v>21</v>
      </c>
      <c r="H619" s="2">
        <v>52637</v>
      </c>
      <c r="I619" s="2">
        <v>5</v>
      </c>
      <c r="J619" s="2">
        <v>166248</v>
      </c>
      <c r="K619" s="2">
        <v>55315</v>
      </c>
      <c r="L619" s="2">
        <v>5</v>
      </c>
      <c r="M619" t="str">
        <f>IF(Revv_bike_sales_data[[#This Row],[delivery_days]]&lt;=7, "Yes", "No")</f>
        <v>Yes</v>
      </c>
      <c r="N619" t="s">
        <v>16</v>
      </c>
      <c r="O619" s="2">
        <v>110933</v>
      </c>
    </row>
    <row r="620" spans="1:15" x14ac:dyDescent="0.3">
      <c r="A620" s="2">
        <v>610</v>
      </c>
      <c r="B620" s="1">
        <v>44952.375</v>
      </c>
      <c r="C620" s="1" t="str">
        <f t="shared" si="18"/>
        <v>01-2023</v>
      </c>
      <c r="D620" s="2">
        <f t="shared" si="19"/>
        <v>4</v>
      </c>
      <c r="E620" t="s">
        <v>25</v>
      </c>
      <c r="F620" t="s">
        <v>14</v>
      </c>
      <c r="G620" t="s">
        <v>20</v>
      </c>
      <c r="H620" s="2">
        <v>1059</v>
      </c>
      <c r="I620" s="2">
        <v>4</v>
      </c>
      <c r="J620" s="2">
        <v>160008</v>
      </c>
      <c r="K620" s="2">
        <v>110018</v>
      </c>
      <c r="L620" s="2">
        <v>11</v>
      </c>
      <c r="M620" t="str">
        <f>IF(Revv_bike_sales_data[[#This Row],[delivery_days]]&lt;=7, "Yes", "No")</f>
        <v>No</v>
      </c>
      <c r="N620" t="s">
        <v>16</v>
      </c>
      <c r="O620" s="2">
        <v>49990</v>
      </c>
    </row>
    <row r="621" spans="1:15" x14ac:dyDescent="0.3">
      <c r="A621" s="2">
        <v>611</v>
      </c>
      <c r="B621" s="1">
        <v>44952.416666666664</v>
      </c>
      <c r="C621" s="1" t="str">
        <f t="shared" si="18"/>
        <v>01-2023</v>
      </c>
      <c r="D621" s="2">
        <f t="shared" si="19"/>
        <v>4</v>
      </c>
      <c r="E621" t="s">
        <v>25</v>
      </c>
      <c r="F621" t="s">
        <v>14</v>
      </c>
      <c r="G621" t="s">
        <v>20</v>
      </c>
      <c r="H621" s="2">
        <v>66749</v>
      </c>
      <c r="I621" s="2">
        <v>7</v>
      </c>
      <c r="J621" s="2">
        <v>56174</v>
      </c>
      <c r="K621" s="2">
        <v>47795</v>
      </c>
      <c r="L621" s="2">
        <v>3</v>
      </c>
      <c r="M621" t="str">
        <f>IF(Revv_bike_sales_data[[#This Row],[delivery_days]]&lt;=7, "Yes", "No")</f>
        <v>Yes</v>
      </c>
      <c r="N621" t="s">
        <v>16</v>
      </c>
      <c r="O621" s="2">
        <v>8379</v>
      </c>
    </row>
    <row r="622" spans="1:15" x14ac:dyDescent="0.3">
      <c r="A622" s="2">
        <v>612</v>
      </c>
      <c r="B622" s="1">
        <v>44952.458333333336</v>
      </c>
      <c r="C622" s="1" t="str">
        <f t="shared" si="18"/>
        <v>01-2023</v>
      </c>
      <c r="D622" s="2">
        <f t="shared" si="19"/>
        <v>4</v>
      </c>
      <c r="E622" t="s">
        <v>25</v>
      </c>
      <c r="F622" t="s">
        <v>23</v>
      </c>
      <c r="G622" t="s">
        <v>15</v>
      </c>
      <c r="H622" s="2">
        <v>37861</v>
      </c>
      <c r="I622" s="2">
        <v>7</v>
      </c>
      <c r="J622" s="2">
        <v>107632</v>
      </c>
      <c r="K622" s="2">
        <v>128812</v>
      </c>
      <c r="L622" s="2">
        <v>2</v>
      </c>
      <c r="M622" t="str">
        <f>IF(Revv_bike_sales_data[[#This Row],[delivery_days]]&lt;=7, "Yes", "No")</f>
        <v>Yes</v>
      </c>
      <c r="N622" t="s">
        <v>24</v>
      </c>
      <c r="O622" s="2">
        <v>-21180</v>
      </c>
    </row>
    <row r="623" spans="1:15" x14ac:dyDescent="0.3">
      <c r="A623" s="2">
        <v>613</v>
      </c>
      <c r="B623" s="1">
        <v>44952.5</v>
      </c>
      <c r="C623" s="1" t="str">
        <f t="shared" si="18"/>
        <v>01-2023</v>
      </c>
      <c r="D623" s="2">
        <f t="shared" si="19"/>
        <v>4</v>
      </c>
      <c r="E623" t="s">
        <v>17</v>
      </c>
      <c r="F623" t="s">
        <v>14</v>
      </c>
      <c r="G623" t="s">
        <v>21</v>
      </c>
      <c r="H623" s="2">
        <v>81220</v>
      </c>
      <c r="I623" s="2">
        <v>2</v>
      </c>
      <c r="J623" s="2">
        <v>113768</v>
      </c>
      <c r="K623" s="2">
        <v>100411</v>
      </c>
      <c r="L623" s="2">
        <v>8</v>
      </c>
      <c r="M623" t="str">
        <f>IF(Revv_bike_sales_data[[#This Row],[delivery_days]]&lt;=7, "Yes", "No")</f>
        <v>No</v>
      </c>
      <c r="N623" t="s">
        <v>24</v>
      </c>
      <c r="O623" s="2">
        <v>13357</v>
      </c>
    </row>
    <row r="624" spans="1:15" x14ac:dyDescent="0.3">
      <c r="A624" s="2">
        <v>614</v>
      </c>
      <c r="B624" s="1">
        <v>44952.541666666664</v>
      </c>
      <c r="C624" s="1" t="str">
        <f t="shared" si="18"/>
        <v>01-2023</v>
      </c>
      <c r="D624" s="2">
        <f t="shared" si="19"/>
        <v>4</v>
      </c>
      <c r="E624" t="s">
        <v>18</v>
      </c>
      <c r="F624" t="s">
        <v>14</v>
      </c>
      <c r="G624" t="s">
        <v>15</v>
      </c>
      <c r="H624" s="2">
        <v>15761</v>
      </c>
      <c r="I624" s="2">
        <v>1</v>
      </c>
      <c r="J624" s="2">
        <v>150775</v>
      </c>
      <c r="K624" s="2">
        <v>54191</v>
      </c>
      <c r="L624" s="2">
        <v>1</v>
      </c>
      <c r="M624" t="str">
        <f>IF(Revv_bike_sales_data[[#This Row],[delivery_days]]&lt;=7, "Yes", "No")</f>
        <v>Yes</v>
      </c>
      <c r="N624" t="s">
        <v>16</v>
      </c>
      <c r="O624" s="2">
        <v>96584</v>
      </c>
    </row>
    <row r="625" spans="1:15" x14ac:dyDescent="0.3">
      <c r="A625" s="2">
        <v>615</v>
      </c>
      <c r="B625" s="1">
        <v>44952.583333333336</v>
      </c>
      <c r="C625" s="1" t="str">
        <f t="shared" si="18"/>
        <v>01-2023</v>
      </c>
      <c r="D625" s="2">
        <f t="shared" si="19"/>
        <v>4</v>
      </c>
      <c r="E625" t="s">
        <v>25</v>
      </c>
      <c r="F625" t="s">
        <v>14</v>
      </c>
      <c r="G625" t="s">
        <v>15</v>
      </c>
      <c r="H625" s="2">
        <v>20872</v>
      </c>
      <c r="I625" s="2">
        <v>1</v>
      </c>
      <c r="J625" s="2">
        <v>133177</v>
      </c>
      <c r="K625" s="2">
        <v>69453</v>
      </c>
      <c r="L625" s="2">
        <v>10</v>
      </c>
      <c r="M625" t="str">
        <f>IF(Revv_bike_sales_data[[#This Row],[delivery_days]]&lt;=7, "Yes", "No")</f>
        <v>No</v>
      </c>
      <c r="N625" t="s">
        <v>16</v>
      </c>
      <c r="O625" s="2">
        <v>63724</v>
      </c>
    </row>
    <row r="626" spans="1:15" x14ac:dyDescent="0.3">
      <c r="A626" s="2">
        <v>616</v>
      </c>
      <c r="B626" s="1">
        <v>44952.625</v>
      </c>
      <c r="C626" s="1" t="str">
        <f t="shared" si="18"/>
        <v>01-2023</v>
      </c>
      <c r="D626" s="2">
        <f t="shared" si="19"/>
        <v>4</v>
      </c>
      <c r="E626" t="s">
        <v>18</v>
      </c>
      <c r="F626" t="s">
        <v>23</v>
      </c>
      <c r="G626" t="s">
        <v>19</v>
      </c>
      <c r="H626" s="2">
        <v>55855</v>
      </c>
      <c r="I626" s="2">
        <v>4</v>
      </c>
      <c r="J626" s="2">
        <v>50909</v>
      </c>
      <c r="K626" s="2">
        <v>27453</v>
      </c>
      <c r="L626" s="2">
        <v>6</v>
      </c>
      <c r="M626" t="str">
        <f>IF(Revv_bike_sales_data[[#This Row],[delivery_days]]&lt;=7, "Yes", "No")</f>
        <v>Yes</v>
      </c>
      <c r="N626" t="s">
        <v>16</v>
      </c>
      <c r="O626" s="2">
        <v>23456</v>
      </c>
    </row>
    <row r="627" spans="1:15" x14ac:dyDescent="0.3">
      <c r="A627" s="2">
        <v>617</v>
      </c>
      <c r="B627" s="1">
        <v>44952.666666666664</v>
      </c>
      <c r="C627" s="1" t="str">
        <f t="shared" si="18"/>
        <v>01-2023</v>
      </c>
      <c r="D627" s="2">
        <f t="shared" si="19"/>
        <v>4</v>
      </c>
      <c r="E627" t="s">
        <v>13</v>
      </c>
      <c r="F627" t="s">
        <v>14</v>
      </c>
      <c r="G627" t="s">
        <v>21</v>
      </c>
      <c r="H627" s="2">
        <v>98176</v>
      </c>
      <c r="I627" s="2">
        <v>9</v>
      </c>
      <c r="J627" s="2">
        <v>69158</v>
      </c>
      <c r="K627" s="2">
        <v>135848</v>
      </c>
      <c r="L627" s="2">
        <v>2</v>
      </c>
      <c r="M627" t="str">
        <f>IF(Revv_bike_sales_data[[#This Row],[delivery_days]]&lt;=7, "Yes", "No")</f>
        <v>Yes</v>
      </c>
      <c r="N627" t="s">
        <v>16</v>
      </c>
      <c r="O627" s="2">
        <v>-66690</v>
      </c>
    </row>
    <row r="628" spans="1:15" x14ac:dyDescent="0.3">
      <c r="A628" s="2">
        <v>618</v>
      </c>
      <c r="B628" s="1">
        <v>44952.708333333336</v>
      </c>
      <c r="C628" s="1" t="str">
        <f t="shared" si="18"/>
        <v>01-2023</v>
      </c>
      <c r="D628" s="2">
        <f t="shared" si="19"/>
        <v>4</v>
      </c>
      <c r="E628" t="s">
        <v>22</v>
      </c>
      <c r="F628" t="s">
        <v>14</v>
      </c>
      <c r="G628" t="s">
        <v>19</v>
      </c>
      <c r="H628" s="2">
        <v>99060</v>
      </c>
      <c r="I628" s="2">
        <v>6</v>
      </c>
      <c r="J628" s="2">
        <v>164438</v>
      </c>
      <c r="K628" s="2">
        <v>65325</v>
      </c>
      <c r="L628" s="2">
        <v>3</v>
      </c>
      <c r="M628" t="str">
        <f>IF(Revv_bike_sales_data[[#This Row],[delivery_days]]&lt;=7, "Yes", "No")</f>
        <v>Yes</v>
      </c>
      <c r="N628" t="s">
        <v>16</v>
      </c>
      <c r="O628" s="2">
        <v>99113</v>
      </c>
    </row>
    <row r="629" spans="1:15" x14ac:dyDescent="0.3">
      <c r="A629" s="2">
        <v>619</v>
      </c>
      <c r="B629" s="1">
        <v>44952.75</v>
      </c>
      <c r="C629" s="1" t="str">
        <f t="shared" si="18"/>
        <v>01-2023</v>
      </c>
      <c r="D629" s="2">
        <f t="shared" si="19"/>
        <v>4</v>
      </c>
      <c r="E629" t="s">
        <v>13</v>
      </c>
      <c r="F629" t="s">
        <v>14</v>
      </c>
      <c r="G629" t="s">
        <v>19</v>
      </c>
      <c r="H629" s="2">
        <v>58420</v>
      </c>
      <c r="I629" s="2">
        <v>7</v>
      </c>
      <c r="J629" s="2">
        <v>149296</v>
      </c>
      <c r="K629" s="2">
        <v>64490</v>
      </c>
      <c r="L629" s="2">
        <v>8</v>
      </c>
      <c r="M629" t="str">
        <f>IF(Revv_bike_sales_data[[#This Row],[delivery_days]]&lt;=7, "Yes", "No")</f>
        <v>No</v>
      </c>
      <c r="N629" t="s">
        <v>16</v>
      </c>
      <c r="O629" s="2">
        <v>84806</v>
      </c>
    </row>
    <row r="630" spans="1:15" x14ac:dyDescent="0.3">
      <c r="A630" s="2">
        <v>620</v>
      </c>
      <c r="B630" s="1">
        <v>44952.791666666664</v>
      </c>
      <c r="C630" s="1" t="str">
        <f t="shared" si="18"/>
        <v>01-2023</v>
      </c>
      <c r="D630" s="2">
        <f t="shared" si="19"/>
        <v>4</v>
      </c>
      <c r="E630" t="s">
        <v>13</v>
      </c>
      <c r="F630" t="s">
        <v>14</v>
      </c>
      <c r="G630" t="s">
        <v>15</v>
      </c>
      <c r="H630" s="2">
        <v>33044</v>
      </c>
      <c r="I630" s="2">
        <v>9</v>
      </c>
      <c r="J630" s="2">
        <v>84331</v>
      </c>
      <c r="K630" s="2">
        <v>89796</v>
      </c>
      <c r="L630" s="2">
        <v>1</v>
      </c>
      <c r="M630" t="str">
        <f>IF(Revv_bike_sales_data[[#This Row],[delivery_days]]&lt;=7, "Yes", "No")</f>
        <v>Yes</v>
      </c>
      <c r="N630" t="s">
        <v>16</v>
      </c>
      <c r="O630" s="2">
        <v>-5465</v>
      </c>
    </row>
    <row r="631" spans="1:15" x14ac:dyDescent="0.3">
      <c r="A631" s="2">
        <v>621</v>
      </c>
      <c r="B631" s="1">
        <v>44952.833333333336</v>
      </c>
      <c r="C631" s="1" t="str">
        <f t="shared" si="18"/>
        <v>01-2023</v>
      </c>
      <c r="D631" s="2">
        <f t="shared" si="19"/>
        <v>4</v>
      </c>
      <c r="E631" t="s">
        <v>17</v>
      </c>
      <c r="F631" t="s">
        <v>14</v>
      </c>
      <c r="G631" t="s">
        <v>20</v>
      </c>
      <c r="H631" s="2">
        <v>537</v>
      </c>
      <c r="I631" s="2">
        <v>7</v>
      </c>
      <c r="J631" s="2">
        <v>173530</v>
      </c>
      <c r="K631" s="2">
        <v>129165</v>
      </c>
      <c r="L631" s="2">
        <v>6</v>
      </c>
      <c r="M631" t="str">
        <f>IF(Revv_bike_sales_data[[#This Row],[delivery_days]]&lt;=7, "Yes", "No")</f>
        <v>Yes</v>
      </c>
      <c r="N631" t="s">
        <v>16</v>
      </c>
      <c r="O631" s="2">
        <v>44365</v>
      </c>
    </row>
    <row r="632" spans="1:15" x14ac:dyDescent="0.3">
      <c r="A632" s="2">
        <v>622</v>
      </c>
      <c r="B632" s="1">
        <v>44952.875</v>
      </c>
      <c r="C632" s="1" t="str">
        <f t="shared" si="18"/>
        <v>01-2023</v>
      </c>
      <c r="D632" s="2">
        <f t="shared" si="19"/>
        <v>4</v>
      </c>
      <c r="E632" t="s">
        <v>22</v>
      </c>
      <c r="F632" t="s">
        <v>23</v>
      </c>
      <c r="G632" t="s">
        <v>21</v>
      </c>
      <c r="H632" s="2">
        <v>43532</v>
      </c>
      <c r="I632" s="2">
        <v>7</v>
      </c>
      <c r="J632" s="2">
        <v>112367</v>
      </c>
      <c r="K632" s="2">
        <v>64993</v>
      </c>
      <c r="L632" s="2">
        <v>3</v>
      </c>
      <c r="M632" t="str">
        <f>IF(Revv_bike_sales_data[[#This Row],[delivery_days]]&lt;=7, "Yes", "No")</f>
        <v>Yes</v>
      </c>
      <c r="N632" t="s">
        <v>16</v>
      </c>
      <c r="O632" s="2">
        <v>47374</v>
      </c>
    </row>
    <row r="633" spans="1:15" x14ac:dyDescent="0.3">
      <c r="A633" s="2">
        <v>623</v>
      </c>
      <c r="B633" s="1">
        <v>44952.916666666664</v>
      </c>
      <c r="C633" s="1" t="str">
        <f t="shared" si="18"/>
        <v>01-2023</v>
      </c>
      <c r="D633" s="2">
        <f t="shared" si="19"/>
        <v>4</v>
      </c>
      <c r="E633" t="s">
        <v>13</v>
      </c>
      <c r="F633" t="s">
        <v>14</v>
      </c>
      <c r="G633" t="s">
        <v>20</v>
      </c>
      <c r="H633" s="2">
        <v>78733</v>
      </c>
      <c r="I633" s="2">
        <v>9</v>
      </c>
      <c r="J633" s="2">
        <v>90382</v>
      </c>
      <c r="K633" s="2">
        <v>125780</v>
      </c>
      <c r="L633" s="2">
        <v>6</v>
      </c>
      <c r="M633" t="str">
        <f>IF(Revv_bike_sales_data[[#This Row],[delivery_days]]&lt;=7, "Yes", "No")</f>
        <v>Yes</v>
      </c>
      <c r="N633" t="s">
        <v>24</v>
      </c>
      <c r="O633" s="2">
        <v>-35398</v>
      </c>
    </row>
    <row r="634" spans="1:15" x14ac:dyDescent="0.3">
      <c r="A634" s="2">
        <v>624</v>
      </c>
      <c r="B634" s="1">
        <v>44952.958333333336</v>
      </c>
      <c r="C634" s="1" t="str">
        <f t="shared" si="18"/>
        <v>01-2023</v>
      </c>
      <c r="D634" s="2">
        <f t="shared" si="19"/>
        <v>4</v>
      </c>
      <c r="E634" t="s">
        <v>13</v>
      </c>
      <c r="F634" t="s">
        <v>14</v>
      </c>
      <c r="G634" t="s">
        <v>15</v>
      </c>
      <c r="H634" s="2">
        <v>41920</v>
      </c>
      <c r="I634" s="2">
        <v>2</v>
      </c>
      <c r="J634" s="2">
        <v>99319</v>
      </c>
      <c r="K634" s="2">
        <v>60706</v>
      </c>
      <c r="L634" s="2">
        <v>3</v>
      </c>
      <c r="M634" t="str">
        <f>IF(Revv_bike_sales_data[[#This Row],[delivery_days]]&lt;=7, "Yes", "No")</f>
        <v>Yes</v>
      </c>
      <c r="N634" t="s">
        <v>24</v>
      </c>
      <c r="O634" s="2">
        <v>38613</v>
      </c>
    </row>
    <row r="635" spans="1:15" x14ac:dyDescent="0.3">
      <c r="A635" s="2">
        <v>625</v>
      </c>
      <c r="B635" s="1">
        <v>44953</v>
      </c>
      <c r="C635" s="1" t="str">
        <f t="shared" si="18"/>
        <v>01-2023</v>
      </c>
      <c r="D635" s="2">
        <f t="shared" si="19"/>
        <v>4</v>
      </c>
      <c r="E635" t="s">
        <v>22</v>
      </c>
      <c r="F635" t="s">
        <v>14</v>
      </c>
      <c r="G635" t="s">
        <v>15</v>
      </c>
      <c r="H635" s="2">
        <v>97743</v>
      </c>
      <c r="I635" s="2">
        <v>1</v>
      </c>
      <c r="J635" s="2">
        <v>36170</v>
      </c>
      <c r="K635" s="2">
        <v>129981</v>
      </c>
      <c r="L635" s="2">
        <v>11</v>
      </c>
      <c r="M635" t="str">
        <f>IF(Revv_bike_sales_data[[#This Row],[delivery_days]]&lt;=7, "Yes", "No")</f>
        <v>No</v>
      </c>
      <c r="N635" t="s">
        <v>16</v>
      </c>
      <c r="O635" s="2">
        <v>-93811</v>
      </c>
    </row>
    <row r="636" spans="1:15" x14ac:dyDescent="0.3">
      <c r="A636" s="2">
        <v>626</v>
      </c>
      <c r="B636" s="1">
        <v>44953.041666666664</v>
      </c>
      <c r="C636" s="1" t="str">
        <f t="shared" si="18"/>
        <v>01-2023</v>
      </c>
      <c r="D636" s="2">
        <f t="shared" si="19"/>
        <v>4</v>
      </c>
      <c r="E636" t="s">
        <v>22</v>
      </c>
      <c r="F636" t="s">
        <v>23</v>
      </c>
      <c r="G636" t="s">
        <v>15</v>
      </c>
      <c r="H636" s="2">
        <v>92052</v>
      </c>
      <c r="I636" s="2">
        <v>3</v>
      </c>
      <c r="J636" s="2">
        <v>144952</v>
      </c>
      <c r="K636" s="2">
        <v>57817</v>
      </c>
      <c r="L636" s="2">
        <v>11</v>
      </c>
      <c r="M636" t="str">
        <f>IF(Revv_bike_sales_data[[#This Row],[delivery_days]]&lt;=7, "Yes", "No")</f>
        <v>No</v>
      </c>
      <c r="N636" t="s">
        <v>16</v>
      </c>
      <c r="O636" s="2">
        <v>87135</v>
      </c>
    </row>
    <row r="637" spans="1:15" x14ac:dyDescent="0.3">
      <c r="A637" s="2">
        <v>627</v>
      </c>
      <c r="B637" s="1">
        <v>44953.083333333336</v>
      </c>
      <c r="C637" s="1" t="str">
        <f t="shared" si="18"/>
        <v>01-2023</v>
      </c>
      <c r="D637" s="2">
        <f t="shared" si="19"/>
        <v>4</v>
      </c>
      <c r="E637" t="s">
        <v>13</v>
      </c>
      <c r="F637" t="s">
        <v>14</v>
      </c>
      <c r="G637" t="s">
        <v>15</v>
      </c>
      <c r="H637" s="2">
        <v>35100</v>
      </c>
      <c r="I637" s="2">
        <v>0</v>
      </c>
      <c r="J637" s="2">
        <v>105145</v>
      </c>
      <c r="K637" s="2">
        <v>79544</v>
      </c>
      <c r="L637" s="2">
        <v>8</v>
      </c>
      <c r="M637" t="str">
        <f>IF(Revv_bike_sales_data[[#This Row],[delivery_days]]&lt;=7, "Yes", "No")</f>
        <v>No</v>
      </c>
      <c r="N637" t="s">
        <v>16</v>
      </c>
      <c r="O637" s="2">
        <v>25601</v>
      </c>
    </row>
    <row r="638" spans="1:15" x14ac:dyDescent="0.3">
      <c r="A638" s="2">
        <v>628</v>
      </c>
      <c r="B638" s="1">
        <v>44953.125</v>
      </c>
      <c r="C638" s="1" t="str">
        <f t="shared" si="18"/>
        <v>01-2023</v>
      </c>
      <c r="D638" s="2">
        <f t="shared" si="19"/>
        <v>4</v>
      </c>
      <c r="E638" t="s">
        <v>22</v>
      </c>
      <c r="F638" t="s">
        <v>14</v>
      </c>
      <c r="G638" t="s">
        <v>15</v>
      </c>
      <c r="H638" s="2">
        <v>48785</v>
      </c>
      <c r="I638" s="2">
        <v>2</v>
      </c>
      <c r="J638" s="2">
        <v>130626</v>
      </c>
      <c r="K638" s="2">
        <v>106434</v>
      </c>
      <c r="L638" s="2">
        <v>5</v>
      </c>
      <c r="M638" t="str">
        <f>IF(Revv_bike_sales_data[[#This Row],[delivery_days]]&lt;=7, "Yes", "No")</f>
        <v>Yes</v>
      </c>
      <c r="N638" t="s">
        <v>16</v>
      </c>
      <c r="O638" s="2">
        <v>24192</v>
      </c>
    </row>
    <row r="639" spans="1:15" x14ac:dyDescent="0.3">
      <c r="A639" s="2">
        <v>629</v>
      </c>
      <c r="B639" s="1">
        <v>44953.166666666664</v>
      </c>
      <c r="C639" s="1" t="str">
        <f t="shared" si="18"/>
        <v>01-2023</v>
      </c>
      <c r="D639" s="2">
        <f t="shared" si="19"/>
        <v>4</v>
      </c>
      <c r="E639" t="s">
        <v>13</v>
      </c>
      <c r="F639" t="s">
        <v>14</v>
      </c>
      <c r="G639" t="s">
        <v>15</v>
      </c>
      <c r="H639" s="2">
        <v>62508</v>
      </c>
      <c r="I639" s="2">
        <v>8</v>
      </c>
      <c r="J639" s="2">
        <v>41208</v>
      </c>
      <c r="K639" s="2">
        <v>70710</v>
      </c>
      <c r="L639" s="2">
        <v>4</v>
      </c>
      <c r="M639" t="str">
        <f>IF(Revv_bike_sales_data[[#This Row],[delivery_days]]&lt;=7, "Yes", "No")</f>
        <v>Yes</v>
      </c>
      <c r="N639" t="s">
        <v>16</v>
      </c>
      <c r="O639" s="2">
        <v>-29502</v>
      </c>
    </row>
    <row r="640" spans="1:15" x14ac:dyDescent="0.3">
      <c r="A640" s="2">
        <v>630</v>
      </c>
      <c r="B640" s="1">
        <v>44953.208333333336</v>
      </c>
      <c r="C640" s="1" t="str">
        <f t="shared" si="18"/>
        <v>01-2023</v>
      </c>
      <c r="D640" s="2">
        <f t="shared" si="19"/>
        <v>4</v>
      </c>
      <c r="E640" t="s">
        <v>13</v>
      </c>
      <c r="F640" t="s">
        <v>14</v>
      </c>
      <c r="G640" t="s">
        <v>20</v>
      </c>
      <c r="H640" s="2">
        <v>90020</v>
      </c>
      <c r="I640" s="2">
        <v>6</v>
      </c>
      <c r="J640" s="2">
        <v>165111</v>
      </c>
      <c r="K640" s="2">
        <v>65799</v>
      </c>
      <c r="L640" s="2">
        <v>9</v>
      </c>
      <c r="M640" t="str">
        <f>IF(Revv_bike_sales_data[[#This Row],[delivery_days]]&lt;=7, "Yes", "No")</f>
        <v>No</v>
      </c>
      <c r="N640" t="s">
        <v>16</v>
      </c>
      <c r="O640" s="2">
        <v>99312</v>
      </c>
    </row>
    <row r="641" spans="1:15" x14ac:dyDescent="0.3">
      <c r="A641" s="2">
        <v>631</v>
      </c>
      <c r="B641" s="1">
        <v>44953.25</v>
      </c>
      <c r="C641" s="1" t="str">
        <f t="shared" si="18"/>
        <v>01-2023</v>
      </c>
      <c r="D641" s="2">
        <f t="shared" si="19"/>
        <v>4</v>
      </c>
      <c r="E641" t="s">
        <v>17</v>
      </c>
      <c r="F641" t="s">
        <v>14</v>
      </c>
      <c r="G641" t="s">
        <v>19</v>
      </c>
      <c r="H641" s="2">
        <v>5667</v>
      </c>
      <c r="I641" s="2">
        <v>6</v>
      </c>
      <c r="J641" s="2">
        <v>39990</v>
      </c>
      <c r="K641" s="2">
        <v>134586</v>
      </c>
      <c r="L641" s="2">
        <v>5</v>
      </c>
      <c r="M641" t="str">
        <f>IF(Revv_bike_sales_data[[#This Row],[delivery_days]]&lt;=7, "Yes", "No")</f>
        <v>Yes</v>
      </c>
      <c r="N641" t="s">
        <v>24</v>
      </c>
      <c r="O641" s="2">
        <v>-94596</v>
      </c>
    </row>
    <row r="642" spans="1:15" x14ac:dyDescent="0.3">
      <c r="A642" s="2">
        <v>632</v>
      </c>
      <c r="B642" s="1">
        <v>44953.291666666664</v>
      </c>
      <c r="C642" s="1" t="str">
        <f t="shared" si="18"/>
        <v>01-2023</v>
      </c>
      <c r="D642" s="2">
        <f t="shared" si="19"/>
        <v>4</v>
      </c>
      <c r="E642" t="s">
        <v>25</v>
      </c>
      <c r="F642" t="s">
        <v>14</v>
      </c>
      <c r="G642" t="s">
        <v>20</v>
      </c>
      <c r="H642" s="2">
        <v>932</v>
      </c>
      <c r="I642" s="2">
        <v>0</v>
      </c>
      <c r="J642" s="2">
        <v>162513</v>
      </c>
      <c r="K642" s="2">
        <v>75964</v>
      </c>
      <c r="L642" s="2">
        <v>12</v>
      </c>
      <c r="M642" t="str">
        <f>IF(Revv_bike_sales_data[[#This Row],[delivery_days]]&lt;=7, "Yes", "No")</f>
        <v>No</v>
      </c>
      <c r="N642" t="s">
        <v>16</v>
      </c>
      <c r="O642" s="2">
        <v>86549</v>
      </c>
    </row>
    <row r="643" spans="1:15" x14ac:dyDescent="0.3">
      <c r="A643" s="2">
        <v>633</v>
      </c>
      <c r="B643" s="1">
        <v>44953.333333333336</v>
      </c>
      <c r="C643" s="1" t="str">
        <f t="shared" si="18"/>
        <v>01-2023</v>
      </c>
      <c r="D643" s="2">
        <f t="shared" si="19"/>
        <v>4</v>
      </c>
      <c r="E643" t="s">
        <v>13</v>
      </c>
      <c r="F643" t="s">
        <v>23</v>
      </c>
      <c r="G643" t="s">
        <v>21</v>
      </c>
      <c r="H643" s="2">
        <v>70187</v>
      </c>
      <c r="I643" s="2">
        <v>6</v>
      </c>
      <c r="J643" s="2">
        <v>154327</v>
      </c>
      <c r="K643" s="2">
        <v>68678</v>
      </c>
      <c r="L643" s="2">
        <v>14</v>
      </c>
      <c r="M643" t="str">
        <f>IF(Revv_bike_sales_data[[#This Row],[delivery_days]]&lt;=7, "Yes", "No")</f>
        <v>No</v>
      </c>
      <c r="N643" t="s">
        <v>16</v>
      </c>
      <c r="O643" s="2">
        <v>85649</v>
      </c>
    </row>
    <row r="644" spans="1:15" x14ac:dyDescent="0.3">
      <c r="A644" s="2">
        <v>634</v>
      </c>
      <c r="B644" s="1">
        <v>44953.375</v>
      </c>
      <c r="C644" s="1" t="str">
        <f t="shared" si="18"/>
        <v>01-2023</v>
      </c>
      <c r="D644" s="2">
        <f t="shared" si="19"/>
        <v>4</v>
      </c>
      <c r="E644" t="s">
        <v>18</v>
      </c>
      <c r="F644" t="s">
        <v>14</v>
      </c>
      <c r="G644" t="s">
        <v>20</v>
      </c>
      <c r="H644" s="2">
        <v>72447</v>
      </c>
      <c r="I644" s="2">
        <v>9</v>
      </c>
      <c r="J644" s="2">
        <v>104314</v>
      </c>
      <c r="K644" s="2">
        <v>86150</v>
      </c>
      <c r="L644" s="2">
        <v>4</v>
      </c>
      <c r="M644" t="str">
        <f>IF(Revv_bike_sales_data[[#This Row],[delivery_days]]&lt;=7, "Yes", "No")</f>
        <v>Yes</v>
      </c>
      <c r="N644" t="s">
        <v>16</v>
      </c>
      <c r="O644" s="2">
        <v>18164</v>
      </c>
    </row>
    <row r="645" spans="1:15" x14ac:dyDescent="0.3">
      <c r="A645" s="2">
        <v>635</v>
      </c>
      <c r="B645" s="1">
        <v>44953.416666666664</v>
      </c>
      <c r="C645" s="1" t="str">
        <f t="shared" si="18"/>
        <v>01-2023</v>
      </c>
      <c r="D645" s="2">
        <f t="shared" si="19"/>
        <v>4</v>
      </c>
      <c r="E645" t="s">
        <v>25</v>
      </c>
      <c r="F645" t="s">
        <v>14</v>
      </c>
      <c r="G645" t="s">
        <v>15</v>
      </c>
      <c r="H645" s="2">
        <v>96824</v>
      </c>
      <c r="I645" s="2">
        <v>6</v>
      </c>
      <c r="J645" s="2">
        <v>51862</v>
      </c>
      <c r="K645" s="2">
        <v>112379</v>
      </c>
      <c r="L645" s="2">
        <v>8</v>
      </c>
      <c r="M645" t="str">
        <f>IF(Revv_bike_sales_data[[#This Row],[delivery_days]]&lt;=7, "Yes", "No")</f>
        <v>No</v>
      </c>
      <c r="N645" t="s">
        <v>16</v>
      </c>
      <c r="O645" s="2">
        <v>-60517</v>
      </c>
    </row>
    <row r="646" spans="1:15" x14ac:dyDescent="0.3">
      <c r="A646" s="2">
        <v>636</v>
      </c>
      <c r="B646" s="1">
        <v>44953.458333333336</v>
      </c>
      <c r="C646" s="1" t="str">
        <f t="shared" si="18"/>
        <v>01-2023</v>
      </c>
      <c r="D646" s="2">
        <f t="shared" si="19"/>
        <v>4</v>
      </c>
      <c r="E646" t="s">
        <v>25</v>
      </c>
      <c r="F646" t="s">
        <v>14</v>
      </c>
      <c r="G646" t="s">
        <v>20</v>
      </c>
      <c r="H646" s="2">
        <v>51403</v>
      </c>
      <c r="I646" s="2">
        <v>3</v>
      </c>
      <c r="J646" s="2">
        <v>118949</v>
      </c>
      <c r="K646" s="2">
        <v>75438</v>
      </c>
      <c r="L646" s="2">
        <v>8</v>
      </c>
      <c r="M646" t="str">
        <f>IF(Revv_bike_sales_data[[#This Row],[delivery_days]]&lt;=7, "Yes", "No")</f>
        <v>No</v>
      </c>
      <c r="N646" t="s">
        <v>16</v>
      </c>
      <c r="O646" s="2">
        <v>43511</v>
      </c>
    </row>
    <row r="647" spans="1:15" x14ac:dyDescent="0.3">
      <c r="A647" s="2">
        <v>637</v>
      </c>
      <c r="B647" s="1">
        <v>44953.5</v>
      </c>
      <c r="C647" s="1" t="str">
        <f t="shared" si="18"/>
        <v>01-2023</v>
      </c>
      <c r="D647" s="2">
        <f t="shared" si="19"/>
        <v>4</v>
      </c>
      <c r="E647" t="s">
        <v>25</v>
      </c>
      <c r="F647" t="s">
        <v>14</v>
      </c>
      <c r="G647" t="s">
        <v>19</v>
      </c>
      <c r="H647" s="2">
        <v>92659</v>
      </c>
      <c r="I647" s="2">
        <v>6</v>
      </c>
      <c r="J647" s="2">
        <v>155223</v>
      </c>
      <c r="K647" s="2">
        <v>124987</v>
      </c>
      <c r="L647" s="2">
        <v>8</v>
      </c>
      <c r="M647" t="str">
        <f>IF(Revv_bike_sales_data[[#This Row],[delivery_days]]&lt;=7, "Yes", "No")</f>
        <v>No</v>
      </c>
      <c r="N647" t="s">
        <v>16</v>
      </c>
      <c r="O647" s="2">
        <v>30236</v>
      </c>
    </row>
    <row r="648" spans="1:15" x14ac:dyDescent="0.3">
      <c r="A648" s="2">
        <v>638</v>
      </c>
      <c r="B648" s="1">
        <v>44953.541666666664</v>
      </c>
      <c r="C648" s="1" t="str">
        <f t="shared" si="18"/>
        <v>01-2023</v>
      </c>
      <c r="D648" s="2">
        <f t="shared" si="19"/>
        <v>4</v>
      </c>
      <c r="E648" t="s">
        <v>17</v>
      </c>
      <c r="F648" t="s">
        <v>14</v>
      </c>
      <c r="G648" t="s">
        <v>21</v>
      </c>
      <c r="H648" s="2">
        <v>54649</v>
      </c>
      <c r="I648" s="2">
        <v>7</v>
      </c>
      <c r="J648" s="2">
        <v>28956</v>
      </c>
      <c r="K648" s="2">
        <v>92223</v>
      </c>
      <c r="L648" s="2">
        <v>4</v>
      </c>
      <c r="M648" t="str">
        <f>IF(Revv_bike_sales_data[[#This Row],[delivery_days]]&lt;=7, "Yes", "No")</f>
        <v>Yes</v>
      </c>
      <c r="N648" t="s">
        <v>24</v>
      </c>
      <c r="O648" s="2">
        <v>-63267</v>
      </c>
    </row>
    <row r="649" spans="1:15" x14ac:dyDescent="0.3">
      <c r="A649" s="2">
        <v>639</v>
      </c>
      <c r="B649" s="1">
        <v>44953.583333333336</v>
      </c>
      <c r="C649" s="1" t="str">
        <f t="shared" si="18"/>
        <v>01-2023</v>
      </c>
      <c r="D649" s="2">
        <f t="shared" si="19"/>
        <v>4</v>
      </c>
      <c r="E649" t="s">
        <v>13</v>
      </c>
      <c r="F649" t="s">
        <v>14</v>
      </c>
      <c r="G649" t="s">
        <v>20</v>
      </c>
      <c r="H649" s="2">
        <v>88140</v>
      </c>
      <c r="I649" s="2">
        <v>2</v>
      </c>
      <c r="J649" s="2">
        <v>113789</v>
      </c>
      <c r="K649" s="2">
        <v>76926</v>
      </c>
      <c r="L649" s="2">
        <v>13</v>
      </c>
      <c r="M649" t="str">
        <f>IF(Revv_bike_sales_data[[#This Row],[delivery_days]]&lt;=7, "Yes", "No")</f>
        <v>No</v>
      </c>
      <c r="N649" t="s">
        <v>16</v>
      </c>
      <c r="O649" s="2">
        <v>36863</v>
      </c>
    </row>
    <row r="650" spans="1:15" x14ac:dyDescent="0.3">
      <c r="A650" s="2">
        <v>640</v>
      </c>
      <c r="B650" s="1">
        <v>44953.625</v>
      </c>
      <c r="C650" s="1" t="str">
        <f t="shared" si="18"/>
        <v>01-2023</v>
      </c>
      <c r="D650" s="2">
        <f t="shared" si="19"/>
        <v>4</v>
      </c>
      <c r="E650" t="s">
        <v>17</v>
      </c>
      <c r="F650" t="s">
        <v>14</v>
      </c>
      <c r="G650" t="s">
        <v>19</v>
      </c>
      <c r="H650" s="2">
        <v>57268</v>
      </c>
      <c r="I650" s="2">
        <v>9</v>
      </c>
      <c r="J650" s="2">
        <v>114451</v>
      </c>
      <c r="K650" s="2">
        <v>18801</v>
      </c>
      <c r="L650" s="2">
        <v>1</v>
      </c>
      <c r="M650" t="str">
        <f>IF(Revv_bike_sales_data[[#This Row],[delivery_days]]&lt;=7, "Yes", "No")</f>
        <v>Yes</v>
      </c>
      <c r="N650" t="s">
        <v>16</v>
      </c>
      <c r="O650" s="2">
        <v>95650</v>
      </c>
    </row>
    <row r="651" spans="1:15" x14ac:dyDescent="0.3">
      <c r="A651" s="2">
        <v>641</v>
      </c>
      <c r="B651" s="1">
        <v>44953.666666666664</v>
      </c>
      <c r="C651" s="1" t="str">
        <f t="shared" ref="C651:C714" si="20">TEXT(B651,"mm-yyyy")</f>
        <v>01-2023</v>
      </c>
      <c r="D651" s="2">
        <f t="shared" ref="D651:D714" si="21">WEEKNUM(B651)</f>
        <v>4</v>
      </c>
      <c r="E651" t="s">
        <v>13</v>
      </c>
      <c r="F651" t="s">
        <v>14</v>
      </c>
      <c r="G651" t="s">
        <v>20</v>
      </c>
      <c r="H651" s="2">
        <v>60684</v>
      </c>
      <c r="I651" s="2">
        <v>1</v>
      </c>
      <c r="J651" s="2">
        <v>142782</v>
      </c>
      <c r="K651" s="2">
        <v>56048</v>
      </c>
      <c r="L651" s="2">
        <v>2</v>
      </c>
      <c r="M651" t="str">
        <f>IF(Revv_bike_sales_data[[#This Row],[delivery_days]]&lt;=7, "Yes", "No")</f>
        <v>Yes</v>
      </c>
      <c r="N651" t="s">
        <v>16</v>
      </c>
      <c r="O651" s="2">
        <v>86734</v>
      </c>
    </row>
    <row r="652" spans="1:15" x14ac:dyDescent="0.3">
      <c r="A652" s="2">
        <v>642</v>
      </c>
      <c r="B652" s="1">
        <v>44953.708333333336</v>
      </c>
      <c r="C652" s="1" t="str">
        <f t="shared" si="20"/>
        <v>01-2023</v>
      </c>
      <c r="D652" s="2">
        <f t="shared" si="21"/>
        <v>4</v>
      </c>
      <c r="E652" t="s">
        <v>17</v>
      </c>
      <c r="F652" t="s">
        <v>14</v>
      </c>
      <c r="G652" t="s">
        <v>21</v>
      </c>
      <c r="H652" s="2">
        <v>66292</v>
      </c>
      <c r="I652" s="2">
        <v>6</v>
      </c>
      <c r="J652" s="2">
        <v>27365</v>
      </c>
      <c r="K652" s="2">
        <v>55144</v>
      </c>
      <c r="L652" s="2">
        <v>4</v>
      </c>
      <c r="M652" t="str">
        <f>IF(Revv_bike_sales_data[[#This Row],[delivery_days]]&lt;=7, "Yes", "No")</f>
        <v>Yes</v>
      </c>
      <c r="N652" t="s">
        <v>16</v>
      </c>
      <c r="O652" s="2">
        <v>-27779</v>
      </c>
    </row>
    <row r="653" spans="1:15" x14ac:dyDescent="0.3">
      <c r="A653" s="2">
        <v>643</v>
      </c>
      <c r="B653" s="1">
        <v>44953.75</v>
      </c>
      <c r="C653" s="1" t="str">
        <f t="shared" si="20"/>
        <v>01-2023</v>
      </c>
      <c r="D653" s="2">
        <f t="shared" si="21"/>
        <v>4</v>
      </c>
      <c r="E653" t="s">
        <v>17</v>
      </c>
      <c r="F653" t="s">
        <v>14</v>
      </c>
      <c r="G653" t="s">
        <v>20</v>
      </c>
      <c r="H653" s="2">
        <v>33939</v>
      </c>
      <c r="I653" s="2">
        <v>4</v>
      </c>
      <c r="J653" s="2">
        <v>97204</v>
      </c>
      <c r="K653" s="2">
        <v>109478</v>
      </c>
      <c r="L653" s="2">
        <v>10</v>
      </c>
      <c r="M653" t="str">
        <f>IF(Revv_bike_sales_data[[#This Row],[delivery_days]]&lt;=7, "Yes", "No")</f>
        <v>No</v>
      </c>
      <c r="N653" t="s">
        <v>16</v>
      </c>
      <c r="O653" s="2">
        <v>-12274</v>
      </c>
    </row>
    <row r="654" spans="1:15" x14ac:dyDescent="0.3">
      <c r="A654" s="2">
        <v>644</v>
      </c>
      <c r="B654" s="1">
        <v>44953.791666666664</v>
      </c>
      <c r="C654" s="1" t="str">
        <f t="shared" si="20"/>
        <v>01-2023</v>
      </c>
      <c r="D654" s="2">
        <f t="shared" si="21"/>
        <v>4</v>
      </c>
      <c r="E654" t="s">
        <v>18</v>
      </c>
      <c r="F654" t="s">
        <v>14</v>
      </c>
      <c r="G654" t="s">
        <v>15</v>
      </c>
      <c r="H654" s="2">
        <v>33757</v>
      </c>
      <c r="I654" s="2">
        <v>4</v>
      </c>
      <c r="J654" s="2">
        <v>161072</v>
      </c>
      <c r="K654" s="2">
        <v>25148</v>
      </c>
      <c r="L654" s="2">
        <v>2</v>
      </c>
      <c r="M654" t="str">
        <f>IF(Revv_bike_sales_data[[#This Row],[delivery_days]]&lt;=7, "Yes", "No")</f>
        <v>Yes</v>
      </c>
      <c r="N654" t="s">
        <v>16</v>
      </c>
      <c r="O654" s="2">
        <v>135924</v>
      </c>
    </row>
    <row r="655" spans="1:15" x14ac:dyDescent="0.3">
      <c r="A655" s="2">
        <v>645</v>
      </c>
      <c r="B655" s="1">
        <v>44953.833333333336</v>
      </c>
      <c r="C655" s="1" t="str">
        <f t="shared" si="20"/>
        <v>01-2023</v>
      </c>
      <c r="D655" s="2">
        <f t="shared" si="21"/>
        <v>4</v>
      </c>
      <c r="E655" t="s">
        <v>17</v>
      </c>
      <c r="F655" t="s">
        <v>14</v>
      </c>
      <c r="G655" t="s">
        <v>20</v>
      </c>
      <c r="H655" s="2">
        <v>45174</v>
      </c>
      <c r="I655" s="2">
        <v>4</v>
      </c>
      <c r="J655" s="2">
        <v>82072</v>
      </c>
      <c r="K655" s="2">
        <v>127364</v>
      </c>
      <c r="L655" s="2">
        <v>11</v>
      </c>
      <c r="M655" t="str">
        <f>IF(Revv_bike_sales_data[[#This Row],[delivery_days]]&lt;=7, "Yes", "No")</f>
        <v>No</v>
      </c>
      <c r="N655" t="s">
        <v>16</v>
      </c>
      <c r="O655" s="2">
        <v>-45292</v>
      </c>
    </row>
    <row r="656" spans="1:15" x14ac:dyDescent="0.3">
      <c r="A656" s="2">
        <v>646</v>
      </c>
      <c r="B656" s="1">
        <v>44953.875</v>
      </c>
      <c r="C656" s="1" t="str">
        <f t="shared" si="20"/>
        <v>01-2023</v>
      </c>
      <c r="D656" s="2">
        <f t="shared" si="21"/>
        <v>4</v>
      </c>
      <c r="E656" t="s">
        <v>22</v>
      </c>
      <c r="F656" t="s">
        <v>14</v>
      </c>
      <c r="G656" t="s">
        <v>19</v>
      </c>
      <c r="H656" s="2">
        <v>51748</v>
      </c>
      <c r="I656" s="2">
        <v>6</v>
      </c>
      <c r="J656" s="2">
        <v>77499</v>
      </c>
      <c r="K656" s="2">
        <v>97819</v>
      </c>
      <c r="L656" s="2">
        <v>10</v>
      </c>
      <c r="M656" t="str">
        <f>IF(Revv_bike_sales_data[[#This Row],[delivery_days]]&lt;=7, "Yes", "No")</f>
        <v>No</v>
      </c>
      <c r="N656" t="s">
        <v>16</v>
      </c>
      <c r="O656" s="2">
        <v>-20320</v>
      </c>
    </row>
    <row r="657" spans="1:15" x14ac:dyDescent="0.3">
      <c r="A657" s="2">
        <v>647</v>
      </c>
      <c r="B657" s="1">
        <v>44953.916666666664</v>
      </c>
      <c r="C657" s="1" t="str">
        <f t="shared" si="20"/>
        <v>01-2023</v>
      </c>
      <c r="D657" s="2">
        <f t="shared" si="21"/>
        <v>4</v>
      </c>
      <c r="E657" t="s">
        <v>18</v>
      </c>
      <c r="F657" t="s">
        <v>14</v>
      </c>
      <c r="G657" t="s">
        <v>20</v>
      </c>
      <c r="H657" s="2">
        <v>84102</v>
      </c>
      <c r="I657" s="2">
        <v>8</v>
      </c>
      <c r="J657" s="2">
        <v>94211</v>
      </c>
      <c r="K657" s="2">
        <v>34861</v>
      </c>
      <c r="L657" s="2">
        <v>14</v>
      </c>
      <c r="M657" t="str">
        <f>IF(Revv_bike_sales_data[[#This Row],[delivery_days]]&lt;=7, "Yes", "No")</f>
        <v>No</v>
      </c>
      <c r="N657" t="s">
        <v>16</v>
      </c>
      <c r="O657" s="2">
        <v>59350</v>
      </c>
    </row>
    <row r="658" spans="1:15" x14ac:dyDescent="0.3">
      <c r="A658" s="2">
        <v>648</v>
      </c>
      <c r="B658" s="1">
        <v>44953.958333333336</v>
      </c>
      <c r="C658" s="1" t="str">
        <f t="shared" si="20"/>
        <v>01-2023</v>
      </c>
      <c r="D658" s="2">
        <f t="shared" si="21"/>
        <v>4</v>
      </c>
      <c r="E658" t="s">
        <v>17</v>
      </c>
      <c r="F658" t="s">
        <v>14</v>
      </c>
      <c r="G658" t="s">
        <v>19</v>
      </c>
      <c r="H658" s="2">
        <v>45871</v>
      </c>
      <c r="I658" s="2">
        <v>7</v>
      </c>
      <c r="J658" s="2">
        <v>168979</v>
      </c>
      <c r="K658" s="2">
        <v>115048</v>
      </c>
      <c r="L658" s="2">
        <v>14</v>
      </c>
      <c r="M658" t="str">
        <f>IF(Revv_bike_sales_data[[#This Row],[delivery_days]]&lt;=7, "Yes", "No")</f>
        <v>No</v>
      </c>
      <c r="N658" t="s">
        <v>16</v>
      </c>
      <c r="O658" s="2">
        <v>53931</v>
      </c>
    </row>
    <row r="659" spans="1:15" x14ac:dyDescent="0.3">
      <c r="A659" s="2">
        <v>649</v>
      </c>
      <c r="B659" s="1">
        <v>44954</v>
      </c>
      <c r="C659" s="1" t="str">
        <f t="shared" si="20"/>
        <v>01-2023</v>
      </c>
      <c r="D659" s="2">
        <f t="shared" si="21"/>
        <v>4</v>
      </c>
      <c r="E659" t="s">
        <v>25</v>
      </c>
      <c r="F659" t="s">
        <v>14</v>
      </c>
      <c r="G659" t="s">
        <v>21</v>
      </c>
      <c r="H659" s="2">
        <v>98782</v>
      </c>
      <c r="I659" s="2">
        <v>5</v>
      </c>
      <c r="J659" s="2">
        <v>173408</v>
      </c>
      <c r="K659" s="2">
        <v>76717</v>
      </c>
      <c r="L659" s="2">
        <v>3</v>
      </c>
      <c r="M659" t="str">
        <f>IF(Revv_bike_sales_data[[#This Row],[delivery_days]]&lt;=7, "Yes", "No")</f>
        <v>Yes</v>
      </c>
      <c r="N659" t="s">
        <v>16</v>
      </c>
      <c r="O659" s="2">
        <v>96691</v>
      </c>
    </row>
    <row r="660" spans="1:15" x14ac:dyDescent="0.3">
      <c r="A660" s="2">
        <v>650</v>
      </c>
      <c r="B660" s="1">
        <v>44954.041666666664</v>
      </c>
      <c r="C660" s="1" t="str">
        <f t="shared" si="20"/>
        <v>01-2023</v>
      </c>
      <c r="D660" s="2">
        <f t="shared" si="21"/>
        <v>4</v>
      </c>
      <c r="E660" t="s">
        <v>22</v>
      </c>
      <c r="F660" t="s">
        <v>14</v>
      </c>
      <c r="G660" t="s">
        <v>20</v>
      </c>
      <c r="H660" s="2">
        <v>68496</v>
      </c>
      <c r="I660" s="2">
        <v>6</v>
      </c>
      <c r="J660" s="2">
        <v>110220</v>
      </c>
      <c r="K660" s="2">
        <v>37480</v>
      </c>
      <c r="L660" s="2">
        <v>9</v>
      </c>
      <c r="M660" t="str">
        <f>IF(Revv_bike_sales_data[[#This Row],[delivery_days]]&lt;=7, "Yes", "No")</f>
        <v>No</v>
      </c>
      <c r="N660" t="s">
        <v>16</v>
      </c>
      <c r="O660" s="2">
        <v>72740</v>
      </c>
    </row>
    <row r="661" spans="1:15" x14ac:dyDescent="0.3">
      <c r="A661" s="2">
        <v>651</v>
      </c>
      <c r="B661" s="1">
        <v>44954.083333333336</v>
      </c>
      <c r="C661" s="1" t="str">
        <f t="shared" si="20"/>
        <v>01-2023</v>
      </c>
      <c r="D661" s="2">
        <f t="shared" si="21"/>
        <v>4</v>
      </c>
      <c r="E661" t="s">
        <v>22</v>
      </c>
      <c r="F661" t="s">
        <v>14</v>
      </c>
      <c r="G661" t="s">
        <v>21</v>
      </c>
      <c r="H661" s="2">
        <v>37797</v>
      </c>
      <c r="I661" s="2">
        <v>8</v>
      </c>
      <c r="J661" s="2">
        <v>118847</v>
      </c>
      <c r="K661" s="2">
        <v>33637</v>
      </c>
      <c r="L661" s="2">
        <v>9</v>
      </c>
      <c r="M661" t="str">
        <f>IF(Revv_bike_sales_data[[#This Row],[delivery_days]]&lt;=7, "Yes", "No")</f>
        <v>No</v>
      </c>
      <c r="N661" t="s">
        <v>16</v>
      </c>
      <c r="O661" s="2">
        <v>85210</v>
      </c>
    </row>
    <row r="662" spans="1:15" x14ac:dyDescent="0.3">
      <c r="A662" s="2">
        <v>652</v>
      </c>
      <c r="B662" s="1">
        <v>44954.125</v>
      </c>
      <c r="C662" s="1" t="str">
        <f t="shared" si="20"/>
        <v>01-2023</v>
      </c>
      <c r="D662" s="2">
        <f t="shared" si="21"/>
        <v>4</v>
      </c>
      <c r="E662" t="s">
        <v>22</v>
      </c>
      <c r="F662" t="s">
        <v>14</v>
      </c>
      <c r="G662" t="s">
        <v>21</v>
      </c>
      <c r="H662" s="2">
        <v>54773</v>
      </c>
      <c r="I662" s="2">
        <v>5</v>
      </c>
      <c r="J662" s="2">
        <v>134459</v>
      </c>
      <c r="K662" s="2">
        <v>59621</v>
      </c>
      <c r="L662" s="2">
        <v>14</v>
      </c>
      <c r="M662" t="str">
        <f>IF(Revv_bike_sales_data[[#This Row],[delivery_days]]&lt;=7, "Yes", "No")</f>
        <v>No</v>
      </c>
      <c r="N662" t="s">
        <v>16</v>
      </c>
      <c r="O662" s="2">
        <v>74838</v>
      </c>
    </row>
    <row r="663" spans="1:15" x14ac:dyDescent="0.3">
      <c r="A663" s="2">
        <v>653</v>
      </c>
      <c r="B663" s="1">
        <v>44954.166666666664</v>
      </c>
      <c r="C663" s="1" t="str">
        <f t="shared" si="20"/>
        <v>01-2023</v>
      </c>
      <c r="D663" s="2">
        <f t="shared" si="21"/>
        <v>4</v>
      </c>
      <c r="E663" t="s">
        <v>18</v>
      </c>
      <c r="F663" t="s">
        <v>23</v>
      </c>
      <c r="G663" t="s">
        <v>20</v>
      </c>
      <c r="H663" s="2">
        <v>61756</v>
      </c>
      <c r="I663" s="2">
        <v>0</v>
      </c>
      <c r="J663" s="2">
        <v>102755</v>
      </c>
      <c r="K663" s="2">
        <v>75304</v>
      </c>
      <c r="L663" s="2">
        <v>11</v>
      </c>
      <c r="M663" t="str">
        <f>IF(Revv_bike_sales_data[[#This Row],[delivery_days]]&lt;=7, "Yes", "No")</f>
        <v>No</v>
      </c>
      <c r="N663" t="s">
        <v>16</v>
      </c>
      <c r="O663" s="2">
        <v>27451</v>
      </c>
    </row>
    <row r="664" spans="1:15" x14ac:dyDescent="0.3">
      <c r="A664" s="2">
        <v>654</v>
      </c>
      <c r="B664" s="1">
        <v>44954.208333333336</v>
      </c>
      <c r="C664" s="1" t="str">
        <f t="shared" si="20"/>
        <v>01-2023</v>
      </c>
      <c r="D664" s="2">
        <f t="shared" si="21"/>
        <v>4</v>
      </c>
      <c r="E664" t="s">
        <v>17</v>
      </c>
      <c r="F664" t="s">
        <v>14</v>
      </c>
      <c r="G664" t="s">
        <v>19</v>
      </c>
      <c r="H664" s="2">
        <v>35243</v>
      </c>
      <c r="I664" s="2">
        <v>3</v>
      </c>
      <c r="J664" s="2">
        <v>93783</v>
      </c>
      <c r="K664" s="2">
        <v>62431</v>
      </c>
      <c r="L664" s="2">
        <v>9</v>
      </c>
      <c r="M664" t="str">
        <f>IF(Revv_bike_sales_data[[#This Row],[delivery_days]]&lt;=7, "Yes", "No")</f>
        <v>No</v>
      </c>
      <c r="N664" t="s">
        <v>16</v>
      </c>
      <c r="O664" s="2">
        <v>31352</v>
      </c>
    </row>
    <row r="665" spans="1:15" x14ac:dyDescent="0.3">
      <c r="A665" s="2">
        <v>655</v>
      </c>
      <c r="B665" s="1">
        <v>44954.25</v>
      </c>
      <c r="C665" s="1" t="str">
        <f t="shared" si="20"/>
        <v>01-2023</v>
      </c>
      <c r="D665" s="2">
        <f t="shared" si="21"/>
        <v>4</v>
      </c>
      <c r="E665" t="s">
        <v>17</v>
      </c>
      <c r="F665" t="s">
        <v>14</v>
      </c>
      <c r="G665" t="s">
        <v>21</v>
      </c>
      <c r="H665" s="2">
        <v>69252</v>
      </c>
      <c r="I665" s="2">
        <v>7</v>
      </c>
      <c r="J665" s="2">
        <v>152851</v>
      </c>
      <c r="K665" s="2">
        <v>114937</v>
      </c>
      <c r="L665" s="2">
        <v>7</v>
      </c>
      <c r="M665" t="str">
        <f>IF(Revv_bike_sales_data[[#This Row],[delivery_days]]&lt;=7, "Yes", "No")</f>
        <v>Yes</v>
      </c>
      <c r="N665" t="s">
        <v>16</v>
      </c>
      <c r="O665" s="2">
        <v>37914</v>
      </c>
    </row>
    <row r="666" spans="1:15" x14ac:dyDescent="0.3">
      <c r="A666" s="2">
        <v>656</v>
      </c>
      <c r="B666" s="1">
        <v>44954.291666666664</v>
      </c>
      <c r="C666" s="1" t="str">
        <f t="shared" si="20"/>
        <v>01-2023</v>
      </c>
      <c r="D666" s="2">
        <f t="shared" si="21"/>
        <v>4</v>
      </c>
      <c r="E666" t="s">
        <v>25</v>
      </c>
      <c r="F666" t="s">
        <v>14</v>
      </c>
      <c r="G666" t="s">
        <v>21</v>
      </c>
      <c r="H666" s="2">
        <v>80303</v>
      </c>
      <c r="I666" s="2">
        <v>6</v>
      </c>
      <c r="J666" s="2">
        <v>31472</v>
      </c>
      <c r="K666" s="2">
        <v>103921</v>
      </c>
      <c r="L666" s="2">
        <v>4</v>
      </c>
      <c r="M666" t="str">
        <f>IF(Revv_bike_sales_data[[#This Row],[delivery_days]]&lt;=7, "Yes", "No")</f>
        <v>Yes</v>
      </c>
      <c r="N666" t="s">
        <v>16</v>
      </c>
      <c r="O666" s="2">
        <v>-72449</v>
      </c>
    </row>
    <row r="667" spans="1:15" x14ac:dyDescent="0.3">
      <c r="A667" s="2">
        <v>657</v>
      </c>
      <c r="B667" s="1">
        <v>44954.333333333336</v>
      </c>
      <c r="C667" s="1" t="str">
        <f t="shared" si="20"/>
        <v>01-2023</v>
      </c>
      <c r="D667" s="2">
        <f t="shared" si="21"/>
        <v>4</v>
      </c>
      <c r="E667" t="s">
        <v>25</v>
      </c>
      <c r="F667" t="s">
        <v>14</v>
      </c>
      <c r="G667" t="s">
        <v>20</v>
      </c>
      <c r="H667" s="2">
        <v>75617</v>
      </c>
      <c r="I667" s="2">
        <v>2</v>
      </c>
      <c r="J667" s="2">
        <v>178452</v>
      </c>
      <c r="K667" s="2">
        <v>71172</v>
      </c>
      <c r="L667" s="2">
        <v>1</v>
      </c>
      <c r="M667" t="str">
        <f>IF(Revv_bike_sales_data[[#This Row],[delivery_days]]&lt;=7, "Yes", "No")</f>
        <v>Yes</v>
      </c>
      <c r="N667" t="s">
        <v>16</v>
      </c>
      <c r="O667" s="2">
        <v>107280</v>
      </c>
    </row>
    <row r="668" spans="1:15" x14ac:dyDescent="0.3">
      <c r="A668" s="2">
        <v>658</v>
      </c>
      <c r="B668" s="1">
        <v>44954.375</v>
      </c>
      <c r="C668" s="1" t="str">
        <f t="shared" si="20"/>
        <v>01-2023</v>
      </c>
      <c r="D668" s="2">
        <f t="shared" si="21"/>
        <v>4</v>
      </c>
      <c r="E668" t="s">
        <v>22</v>
      </c>
      <c r="F668" t="s">
        <v>14</v>
      </c>
      <c r="G668" t="s">
        <v>20</v>
      </c>
      <c r="H668" s="2">
        <v>70551</v>
      </c>
      <c r="I668" s="2">
        <v>9</v>
      </c>
      <c r="J668" s="2">
        <v>128152</v>
      </c>
      <c r="K668" s="2">
        <v>40437</v>
      </c>
      <c r="L668" s="2">
        <v>3</v>
      </c>
      <c r="M668" t="str">
        <f>IF(Revv_bike_sales_data[[#This Row],[delivery_days]]&lt;=7, "Yes", "No")</f>
        <v>Yes</v>
      </c>
      <c r="N668" t="s">
        <v>16</v>
      </c>
      <c r="O668" s="2">
        <v>87715</v>
      </c>
    </row>
    <row r="669" spans="1:15" x14ac:dyDescent="0.3">
      <c r="A669" s="2">
        <v>659</v>
      </c>
      <c r="B669" s="1">
        <v>44954.416666666664</v>
      </c>
      <c r="C669" s="1" t="str">
        <f t="shared" si="20"/>
        <v>01-2023</v>
      </c>
      <c r="D669" s="2">
        <f t="shared" si="21"/>
        <v>4</v>
      </c>
      <c r="E669" t="s">
        <v>25</v>
      </c>
      <c r="F669" t="s">
        <v>14</v>
      </c>
      <c r="G669" t="s">
        <v>20</v>
      </c>
      <c r="H669" s="2">
        <v>22576</v>
      </c>
      <c r="I669" s="2">
        <v>2</v>
      </c>
      <c r="J669" s="2">
        <v>177931</v>
      </c>
      <c r="K669" s="2">
        <v>23149</v>
      </c>
      <c r="L669" s="2">
        <v>14</v>
      </c>
      <c r="M669" t="str">
        <f>IF(Revv_bike_sales_data[[#This Row],[delivery_days]]&lt;=7, "Yes", "No")</f>
        <v>No</v>
      </c>
      <c r="N669" t="s">
        <v>16</v>
      </c>
      <c r="O669" s="2">
        <v>154782</v>
      </c>
    </row>
    <row r="670" spans="1:15" x14ac:dyDescent="0.3">
      <c r="A670" s="2">
        <v>660</v>
      </c>
      <c r="B670" s="1">
        <v>44954.458333333336</v>
      </c>
      <c r="C670" s="1" t="str">
        <f t="shared" si="20"/>
        <v>01-2023</v>
      </c>
      <c r="D670" s="2">
        <f t="shared" si="21"/>
        <v>4</v>
      </c>
      <c r="E670" t="s">
        <v>18</v>
      </c>
      <c r="F670" t="s">
        <v>14</v>
      </c>
      <c r="G670" t="s">
        <v>20</v>
      </c>
      <c r="H670" s="2">
        <v>75812</v>
      </c>
      <c r="I670" s="2">
        <v>2</v>
      </c>
      <c r="J670" s="2">
        <v>164334</v>
      </c>
      <c r="K670" s="2">
        <v>29671</v>
      </c>
      <c r="L670" s="2">
        <v>8</v>
      </c>
      <c r="M670" t="str">
        <f>IF(Revv_bike_sales_data[[#This Row],[delivery_days]]&lt;=7, "Yes", "No")</f>
        <v>No</v>
      </c>
      <c r="N670" t="s">
        <v>16</v>
      </c>
      <c r="O670" s="2">
        <v>134663</v>
      </c>
    </row>
    <row r="671" spans="1:15" x14ac:dyDescent="0.3">
      <c r="A671" s="2">
        <v>661</v>
      </c>
      <c r="B671" s="1">
        <v>44954.5</v>
      </c>
      <c r="C671" s="1" t="str">
        <f t="shared" si="20"/>
        <v>01-2023</v>
      </c>
      <c r="D671" s="2">
        <f t="shared" si="21"/>
        <v>4</v>
      </c>
      <c r="E671" t="s">
        <v>17</v>
      </c>
      <c r="F671" t="s">
        <v>14</v>
      </c>
      <c r="G671" t="s">
        <v>20</v>
      </c>
      <c r="H671" s="2">
        <v>87983</v>
      </c>
      <c r="I671" s="2">
        <v>0</v>
      </c>
      <c r="J671" s="2">
        <v>167138</v>
      </c>
      <c r="K671" s="2">
        <v>118005</v>
      </c>
      <c r="L671" s="2">
        <v>4</v>
      </c>
      <c r="M671" t="str">
        <f>IF(Revv_bike_sales_data[[#This Row],[delivery_days]]&lt;=7, "Yes", "No")</f>
        <v>Yes</v>
      </c>
      <c r="N671" t="s">
        <v>16</v>
      </c>
      <c r="O671" s="2">
        <v>49133</v>
      </c>
    </row>
    <row r="672" spans="1:15" x14ac:dyDescent="0.3">
      <c r="A672" s="2">
        <v>662</v>
      </c>
      <c r="B672" s="1">
        <v>44954.541666666664</v>
      </c>
      <c r="C672" s="1" t="str">
        <f t="shared" si="20"/>
        <v>01-2023</v>
      </c>
      <c r="D672" s="2">
        <f t="shared" si="21"/>
        <v>4</v>
      </c>
      <c r="E672" t="s">
        <v>22</v>
      </c>
      <c r="F672" t="s">
        <v>14</v>
      </c>
      <c r="G672" t="s">
        <v>15</v>
      </c>
      <c r="H672" s="2">
        <v>3463</v>
      </c>
      <c r="I672" s="2">
        <v>9</v>
      </c>
      <c r="J672" s="2">
        <v>171626</v>
      </c>
      <c r="K672" s="2">
        <v>38119</v>
      </c>
      <c r="L672" s="2">
        <v>10</v>
      </c>
      <c r="M672" t="str">
        <f>IF(Revv_bike_sales_data[[#This Row],[delivery_days]]&lt;=7, "Yes", "No")</f>
        <v>No</v>
      </c>
      <c r="N672" t="s">
        <v>16</v>
      </c>
      <c r="O672" s="2">
        <v>133507</v>
      </c>
    </row>
    <row r="673" spans="1:15" x14ac:dyDescent="0.3">
      <c r="A673" s="2">
        <v>663</v>
      </c>
      <c r="B673" s="1">
        <v>44954.583333333336</v>
      </c>
      <c r="C673" s="1" t="str">
        <f t="shared" si="20"/>
        <v>01-2023</v>
      </c>
      <c r="D673" s="2">
        <f t="shared" si="21"/>
        <v>4</v>
      </c>
      <c r="E673" t="s">
        <v>25</v>
      </c>
      <c r="F673" t="s">
        <v>14</v>
      </c>
      <c r="G673" t="s">
        <v>20</v>
      </c>
      <c r="H673" s="2">
        <v>72822</v>
      </c>
      <c r="I673" s="2">
        <v>0</v>
      </c>
      <c r="J673" s="2">
        <v>32008</v>
      </c>
      <c r="K673" s="2">
        <v>61117</v>
      </c>
      <c r="L673" s="2">
        <v>10</v>
      </c>
      <c r="M673" t="str">
        <f>IF(Revv_bike_sales_data[[#This Row],[delivery_days]]&lt;=7, "Yes", "No")</f>
        <v>No</v>
      </c>
      <c r="N673" t="s">
        <v>16</v>
      </c>
      <c r="O673" s="2">
        <v>-29109</v>
      </c>
    </row>
    <row r="674" spans="1:15" x14ac:dyDescent="0.3">
      <c r="A674" s="2">
        <v>664</v>
      </c>
      <c r="B674" s="1">
        <v>44954.625</v>
      </c>
      <c r="C674" s="1" t="str">
        <f t="shared" si="20"/>
        <v>01-2023</v>
      </c>
      <c r="D674" s="2">
        <f t="shared" si="21"/>
        <v>4</v>
      </c>
      <c r="E674" t="s">
        <v>18</v>
      </c>
      <c r="F674" t="s">
        <v>23</v>
      </c>
      <c r="G674" t="s">
        <v>19</v>
      </c>
      <c r="H674" s="2">
        <v>14366</v>
      </c>
      <c r="I674" s="2">
        <v>5</v>
      </c>
      <c r="J674" s="2">
        <v>112851</v>
      </c>
      <c r="K674" s="2">
        <v>114317</v>
      </c>
      <c r="L674" s="2">
        <v>2</v>
      </c>
      <c r="M674" t="str">
        <f>IF(Revv_bike_sales_data[[#This Row],[delivery_days]]&lt;=7, "Yes", "No")</f>
        <v>Yes</v>
      </c>
      <c r="N674" t="s">
        <v>16</v>
      </c>
      <c r="O674" s="2">
        <v>-1466</v>
      </c>
    </row>
    <row r="675" spans="1:15" x14ac:dyDescent="0.3">
      <c r="A675" s="2">
        <v>665</v>
      </c>
      <c r="B675" s="1">
        <v>44954.666666666664</v>
      </c>
      <c r="C675" s="1" t="str">
        <f t="shared" si="20"/>
        <v>01-2023</v>
      </c>
      <c r="D675" s="2">
        <f t="shared" si="21"/>
        <v>4</v>
      </c>
      <c r="E675" t="s">
        <v>18</v>
      </c>
      <c r="F675" t="s">
        <v>14</v>
      </c>
      <c r="G675" t="s">
        <v>21</v>
      </c>
      <c r="H675" s="2">
        <v>32805</v>
      </c>
      <c r="I675" s="2">
        <v>0</v>
      </c>
      <c r="J675" s="2">
        <v>105799</v>
      </c>
      <c r="K675" s="2">
        <v>31279</v>
      </c>
      <c r="L675" s="2">
        <v>14</v>
      </c>
      <c r="M675" t="str">
        <f>IF(Revv_bike_sales_data[[#This Row],[delivery_days]]&lt;=7, "Yes", "No")</f>
        <v>No</v>
      </c>
      <c r="N675" t="s">
        <v>16</v>
      </c>
      <c r="O675" s="2">
        <v>74520</v>
      </c>
    </row>
    <row r="676" spans="1:15" x14ac:dyDescent="0.3">
      <c r="A676" s="2">
        <v>666</v>
      </c>
      <c r="B676" s="1">
        <v>44954.708333333336</v>
      </c>
      <c r="C676" s="1" t="str">
        <f t="shared" si="20"/>
        <v>01-2023</v>
      </c>
      <c r="D676" s="2">
        <f t="shared" si="21"/>
        <v>4</v>
      </c>
      <c r="E676" t="s">
        <v>25</v>
      </c>
      <c r="F676" t="s">
        <v>14</v>
      </c>
      <c r="G676" t="s">
        <v>19</v>
      </c>
      <c r="H676" s="2">
        <v>62903</v>
      </c>
      <c r="I676" s="2">
        <v>4</v>
      </c>
      <c r="J676" s="2">
        <v>41238</v>
      </c>
      <c r="K676" s="2">
        <v>83835</v>
      </c>
      <c r="L676" s="2">
        <v>8</v>
      </c>
      <c r="M676" t="str">
        <f>IF(Revv_bike_sales_data[[#This Row],[delivery_days]]&lt;=7, "Yes", "No")</f>
        <v>No</v>
      </c>
      <c r="N676" t="s">
        <v>16</v>
      </c>
      <c r="O676" s="2">
        <v>-42597</v>
      </c>
    </row>
    <row r="677" spans="1:15" x14ac:dyDescent="0.3">
      <c r="A677" s="2">
        <v>667</v>
      </c>
      <c r="B677" s="1">
        <v>44954.75</v>
      </c>
      <c r="C677" s="1" t="str">
        <f t="shared" si="20"/>
        <v>01-2023</v>
      </c>
      <c r="D677" s="2">
        <f t="shared" si="21"/>
        <v>4</v>
      </c>
      <c r="E677" t="s">
        <v>17</v>
      </c>
      <c r="F677" t="s">
        <v>14</v>
      </c>
      <c r="G677" t="s">
        <v>19</v>
      </c>
      <c r="H677" s="2">
        <v>83396</v>
      </c>
      <c r="I677" s="2">
        <v>3</v>
      </c>
      <c r="J677" s="2">
        <v>42153</v>
      </c>
      <c r="K677" s="2">
        <v>114810</v>
      </c>
      <c r="L677" s="2">
        <v>7</v>
      </c>
      <c r="M677" t="str">
        <f>IF(Revv_bike_sales_data[[#This Row],[delivery_days]]&lt;=7, "Yes", "No")</f>
        <v>Yes</v>
      </c>
      <c r="N677" t="s">
        <v>16</v>
      </c>
      <c r="O677" s="2">
        <v>-72657</v>
      </c>
    </row>
    <row r="678" spans="1:15" x14ac:dyDescent="0.3">
      <c r="A678" s="2">
        <v>668</v>
      </c>
      <c r="B678" s="1">
        <v>44954.791666666664</v>
      </c>
      <c r="C678" s="1" t="str">
        <f t="shared" si="20"/>
        <v>01-2023</v>
      </c>
      <c r="D678" s="2">
        <f t="shared" si="21"/>
        <v>4</v>
      </c>
      <c r="E678" t="s">
        <v>25</v>
      </c>
      <c r="F678" t="s">
        <v>23</v>
      </c>
      <c r="G678" t="s">
        <v>15</v>
      </c>
      <c r="H678" s="2">
        <v>33313</v>
      </c>
      <c r="I678" s="2">
        <v>4</v>
      </c>
      <c r="J678" s="2">
        <v>84353</v>
      </c>
      <c r="K678" s="2">
        <v>19803</v>
      </c>
      <c r="L678" s="2">
        <v>11</v>
      </c>
      <c r="M678" t="str">
        <f>IF(Revv_bike_sales_data[[#This Row],[delivery_days]]&lt;=7, "Yes", "No")</f>
        <v>No</v>
      </c>
      <c r="N678" t="s">
        <v>16</v>
      </c>
      <c r="O678" s="2">
        <v>64550</v>
      </c>
    </row>
    <row r="679" spans="1:15" x14ac:dyDescent="0.3">
      <c r="A679" s="2">
        <v>669</v>
      </c>
      <c r="B679" s="1">
        <v>44954.833333333336</v>
      </c>
      <c r="C679" s="1" t="str">
        <f t="shared" si="20"/>
        <v>01-2023</v>
      </c>
      <c r="D679" s="2">
        <f t="shared" si="21"/>
        <v>4</v>
      </c>
      <c r="E679" t="s">
        <v>22</v>
      </c>
      <c r="F679" t="s">
        <v>14</v>
      </c>
      <c r="G679" t="s">
        <v>20</v>
      </c>
      <c r="H679" s="2">
        <v>67229</v>
      </c>
      <c r="I679" s="2">
        <v>6</v>
      </c>
      <c r="J679" s="2">
        <v>77092</v>
      </c>
      <c r="K679" s="2">
        <v>97897</v>
      </c>
      <c r="L679" s="2">
        <v>10</v>
      </c>
      <c r="M679" t="str">
        <f>IF(Revv_bike_sales_data[[#This Row],[delivery_days]]&lt;=7, "Yes", "No")</f>
        <v>No</v>
      </c>
      <c r="N679" t="s">
        <v>16</v>
      </c>
      <c r="O679" s="2">
        <v>-20805</v>
      </c>
    </row>
    <row r="680" spans="1:15" x14ac:dyDescent="0.3">
      <c r="A680" s="2">
        <v>670</v>
      </c>
      <c r="B680" s="1">
        <v>44954.875</v>
      </c>
      <c r="C680" s="1" t="str">
        <f t="shared" si="20"/>
        <v>01-2023</v>
      </c>
      <c r="D680" s="2">
        <f t="shared" si="21"/>
        <v>4</v>
      </c>
      <c r="E680" t="s">
        <v>25</v>
      </c>
      <c r="F680" t="s">
        <v>14</v>
      </c>
      <c r="G680" t="s">
        <v>21</v>
      </c>
      <c r="H680" s="2">
        <v>61186</v>
      </c>
      <c r="I680" s="2">
        <v>5</v>
      </c>
      <c r="J680" s="2">
        <v>74104</v>
      </c>
      <c r="K680" s="2">
        <v>75805</v>
      </c>
      <c r="L680" s="2">
        <v>9</v>
      </c>
      <c r="M680" t="str">
        <f>IF(Revv_bike_sales_data[[#This Row],[delivery_days]]&lt;=7, "Yes", "No")</f>
        <v>No</v>
      </c>
      <c r="N680" t="s">
        <v>16</v>
      </c>
      <c r="O680" s="2">
        <v>-1701</v>
      </c>
    </row>
    <row r="681" spans="1:15" x14ac:dyDescent="0.3">
      <c r="A681" s="2">
        <v>671</v>
      </c>
      <c r="B681" s="1">
        <v>44954.916666666664</v>
      </c>
      <c r="C681" s="1" t="str">
        <f t="shared" si="20"/>
        <v>01-2023</v>
      </c>
      <c r="D681" s="2">
        <f t="shared" si="21"/>
        <v>4</v>
      </c>
      <c r="E681" t="s">
        <v>18</v>
      </c>
      <c r="F681" t="s">
        <v>14</v>
      </c>
      <c r="G681" t="s">
        <v>19</v>
      </c>
      <c r="H681" s="2">
        <v>5012</v>
      </c>
      <c r="I681" s="2">
        <v>8</v>
      </c>
      <c r="J681" s="2">
        <v>53887</v>
      </c>
      <c r="K681" s="2">
        <v>33201</v>
      </c>
      <c r="L681" s="2">
        <v>2</v>
      </c>
      <c r="M681" t="str">
        <f>IF(Revv_bike_sales_data[[#This Row],[delivery_days]]&lt;=7, "Yes", "No")</f>
        <v>Yes</v>
      </c>
      <c r="N681" t="s">
        <v>16</v>
      </c>
      <c r="O681" s="2">
        <v>20686</v>
      </c>
    </row>
    <row r="682" spans="1:15" x14ac:dyDescent="0.3">
      <c r="A682" s="2">
        <v>672</v>
      </c>
      <c r="B682" s="1">
        <v>44954.958333333336</v>
      </c>
      <c r="C682" s="1" t="str">
        <f t="shared" si="20"/>
        <v>01-2023</v>
      </c>
      <c r="D682" s="2">
        <f t="shared" si="21"/>
        <v>4</v>
      </c>
      <c r="E682" t="s">
        <v>25</v>
      </c>
      <c r="F682" t="s">
        <v>14</v>
      </c>
      <c r="G682" t="s">
        <v>20</v>
      </c>
      <c r="H682" s="2">
        <v>23166</v>
      </c>
      <c r="I682" s="2">
        <v>5</v>
      </c>
      <c r="J682" s="2">
        <v>29355</v>
      </c>
      <c r="K682" s="2">
        <v>43634</v>
      </c>
      <c r="L682" s="2">
        <v>5</v>
      </c>
      <c r="M682" t="str">
        <f>IF(Revv_bike_sales_data[[#This Row],[delivery_days]]&lt;=7, "Yes", "No")</f>
        <v>Yes</v>
      </c>
      <c r="N682" t="s">
        <v>24</v>
      </c>
      <c r="O682" s="2">
        <v>-14279</v>
      </c>
    </row>
    <row r="683" spans="1:15" x14ac:dyDescent="0.3">
      <c r="A683" s="2">
        <v>673</v>
      </c>
      <c r="B683" s="1">
        <v>44955</v>
      </c>
      <c r="C683" s="1" t="str">
        <f t="shared" si="20"/>
        <v>01-2023</v>
      </c>
      <c r="D683" s="2">
        <f t="shared" si="21"/>
        <v>5</v>
      </c>
      <c r="E683" t="s">
        <v>17</v>
      </c>
      <c r="F683" t="s">
        <v>14</v>
      </c>
      <c r="G683" t="s">
        <v>20</v>
      </c>
      <c r="H683" s="2">
        <v>17130</v>
      </c>
      <c r="I683" s="2">
        <v>8</v>
      </c>
      <c r="J683" s="2">
        <v>58701</v>
      </c>
      <c r="K683" s="2">
        <v>29760</v>
      </c>
      <c r="L683" s="2">
        <v>6</v>
      </c>
      <c r="M683" t="str">
        <f>IF(Revv_bike_sales_data[[#This Row],[delivery_days]]&lt;=7, "Yes", "No")</f>
        <v>Yes</v>
      </c>
      <c r="N683" t="s">
        <v>24</v>
      </c>
      <c r="O683" s="2">
        <v>28941</v>
      </c>
    </row>
    <row r="684" spans="1:15" x14ac:dyDescent="0.3">
      <c r="A684" s="2">
        <v>674</v>
      </c>
      <c r="B684" s="1">
        <v>44955.041666666664</v>
      </c>
      <c r="C684" s="1" t="str">
        <f t="shared" si="20"/>
        <v>01-2023</v>
      </c>
      <c r="D684" s="2">
        <f t="shared" si="21"/>
        <v>5</v>
      </c>
      <c r="E684" t="s">
        <v>13</v>
      </c>
      <c r="F684" t="s">
        <v>14</v>
      </c>
      <c r="G684" t="s">
        <v>15</v>
      </c>
      <c r="H684" s="2">
        <v>75019</v>
      </c>
      <c r="I684" s="2">
        <v>3</v>
      </c>
      <c r="J684" s="2">
        <v>96442</v>
      </c>
      <c r="K684" s="2">
        <v>25826</v>
      </c>
      <c r="L684" s="2">
        <v>13</v>
      </c>
      <c r="M684" t="str">
        <f>IF(Revv_bike_sales_data[[#This Row],[delivery_days]]&lt;=7, "Yes", "No")</f>
        <v>No</v>
      </c>
      <c r="N684" t="s">
        <v>16</v>
      </c>
      <c r="O684" s="2">
        <v>70616</v>
      </c>
    </row>
    <row r="685" spans="1:15" x14ac:dyDescent="0.3">
      <c r="A685" s="2">
        <v>675</v>
      </c>
      <c r="B685" s="1">
        <v>44955.083333333336</v>
      </c>
      <c r="C685" s="1" t="str">
        <f t="shared" si="20"/>
        <v>01-2023</v>
      </c>
      <c r="D685" s="2">
        <f t="shared" si="21"/>
        <v>5</v>
      </c>
      <c r="E685" t="s">
        <v>25</v>
      </c>
      <c r="F685" t="s">
        <v>14</v>
      </c>
      <c r="G685" t="s">
        <v>15</v>
      </c>
      <c r="H685" s="2">
        <v>1136</v>
      </c>
      <c r="I685" s="2">
        <v>0</v>
      </c>
      <c r="J685" s="2">
        <v>37279</v>
      </c>
      <c r="K685" s="2">
        <v>101821</v>
      </c>
      <c r="L685" s="2">
        <v>2</v>
      </c>
      <c r="M685" t="str">
        <f>IF(Revv_bike_sales_data[[#This Row],[delivery_days]]&lt;=7, "Yes", "No")</f>
        <v>Yes</v>
      </c>
      <c r="N685" t="s">
        <v>16</v>
      </c>
      <c r="O685" s="2">
        <v>-64542</v>
      </c>
    </row>
    <row r="686" spans="1:15" x14ac:dyDescent="0.3">
      <c r="A686" s="2">
        <v>676</v>
      </c>
      <c r="B686" s="1">
        <v>44955.125</v>
      </c>
      <c r="C686" s="1" t="str">
        <f t="shared" si="20"/>
        <v>01-2023</v>
      </c>
      <c r="D686" s="2">
        <f t="shared" si="21"/>
        <v>5</v>
      </c>
      <c r="E686" t="s">
        <v>17</v>
      </c>
      <c r="F686" t="s">
        <v>14</v>
      </c>
      <c r="G686" t="s">
        <v>15</v>
      </c>
      <c r="H686" s="2">
        <v>4275</v>
      </c>
      <c r="I686" s="2">
        <v>0</v>
      </c>
      <c r="J686" s="2">
        <v>145738</v>
      </c>
      <c r="K686" s="2">
        <v>127125</v>
      </c>
      <c r="L686" s="2">
        <v>2</v>
      </c>
      <c r="M686" t="str">
        <f>IF(Revv_bike_sales_data[[#This Row],[delivery_days]]&lt;=7, "Yes", "No")</f>
        <v>Yes</v>
      </c>
      <c r="N686" t="s">
        <v>16</v>
      </c>
      <c r="O686" s="2">
        <v>18613</v>
      </c>
    </row>
    <row r="687" spans="1:15" x14ac:dyDescent="0.3">
      <c r="A687" s="2">
        <v>677</v>
      </c>
      <c r="B687" s="1">
        <v>44955.166666666664</v>
      </c>
      <c r="C687" s="1" t="str">
        <f t="shared" si="20"/>
        <v>01-2023</v>
      </c>
      <c r="D687" s="2">
        <f t="shared" si="21"/>
        <v>5</v>
      </c>
      <c r="E687" t="s">
        <v>17</v>
      </c>
      <c r="F687" t="s">
        <v>14</v>
      </c>
      <c r="G687" t="s">
        <v>21</v>
      </c>
      <c r="H687" s="2">
        <v>68457</v>
      </c>
      <c r="I687" s="2">
        <v>9</v>
      </c>
      <c r="J687" s="2">
        <v>164333</v>
      </c>
      <c r="K687" s="2">
        <v>60775</v>
      </c>
      <c r="L687" s="2">
        <v>13</v>
      </c>
      <c r="M687" t="str">
        <f>IF(Revv_bike_sales_data[[#This Row],[delivery_days]]&lt;=7, "Yes", "No")</f>
        <v>No</v>
      </c>
      <c r="N687" t="s">
        <v>16</v>
      </c>
      <c r="O687" s="2">
        <v>103558</v>
      </c>
    </row>
    <row r="688" spans="1:15" x14ac:dyDescent="0.3">
      <c r="A688" s="2">
        <v>678</v>
      </c>
      <c r="B688" s="1">
        <v>44955.208333333336</v>
      </c>
      <c r="C688" s="1" t="str">
        <f t="shared" si="20"/>
        <v>01-2023</v>
      </c>
      <c r="D688" s="2">
        <f t="shared" si="21"/>
        <v>5</v>
      </c>
      <c r="E688" t="s">
        <v>18</v>
      </c>
      <c r="F688" t="s">
        <v>14</v>
      </c>
      <c r="G688" t="s">
        <v>19</v>
      </c>
      <c r="H688" s="2">
        <v>65091</v>
      </c>
      <c r="I688" s="2">
        <v>6</v>
      </c>
      <c r="J688" s="2">
        <v>160546</v>
      </c>
      <c r="K688" s="2">
        <v>129090</v>
      </c>
      <c r="L688" s="2">
        <v>14</v>
      </c>
      <c r="M688" t="str">
        <f>IF(Revv_bike_sales_data[[#This Row],[delivery_days]]&lt;=7, "Yes", "No")</f>
        <v>No</v>
      </c>
      <c r="N688" t="s">
        <v>24</v>
      </c>
      <c r="O688" s="2">
        <v>31456</v>
      </c>
    </row>
    <row r="689" spans="1:15" x14ac:dyDescent="0.3">
      <c r="A689" s="2">
        <v>679</v>
      </c>
      <c r="B689" s="1">
        <v>44955.25</v>
      </c>
      <c r="C689" s="1" t="str">
        <f t="shared" si="20"/>
        <v>01-2023</v>
      </c>
      <c r="D689" s="2">
        <f t="shared" si="21"/>
        <v>5</v>
      </c>
      <c r="E689" t="s">
        <v>17</v>
      </c>
      <c r="F689" t="s">
        <v>14</v>
      </c>
      <c r="G689" t="s">
        <v>15</v>
      </c>
      <c r="H689" s="2">
        <v>79061</v>
      </c>
      <c r="I689" s="2">
        <v>2</v>
      </c>
      <c r="J689" s="2">
        <v>116414</v>
      </c>
      <c r="K689" s="2">
        <v>89676</v>
      </c>
      <c r="L689" s="2">
        <v>14</v>
      </c>
      <c r="M689" t="str">
        <f>IF(Revv_bike_sales_data[[#This Row],[delivery_days]]&lt;=7, "Yes", "No")</f>
        <v>No</v>
      </c>
      <c r="N689" t="s">
        <v>16</v>
      </c>
      <c r="O689" s="2">
        <v>26738</v>
      </c>
    </row>
    <row r="690" spans="1:15" x14ac:dyDescent="0.3">
      <c r="A690" s="2">
        <v>680</v>
      </c>
      <c r="B690" s="1">
        <v>44955.291666666664</v>
      </c>
      <c r="C690" s="1" t="str">
        <f t="shared" si="20"/>
        <v>01-2023</v>
      </c>
      <c r="D690" s="2">
        <f t="shared" si="21"/>
        <v>5</v>
      </c>
      <c r="E690" t="s">
        <v>17</v>
      </c>
      <c r="F690" t="s">
        <v>14</v>
      </c>
      <c r="G690" t="s">
        <v>15</v>
      </c>
      <c r="H690" s="2">
        <v>75316</v>
      </c>
      <c r="I690" s="2">
        <v>1</v>
      </c>
      <c r="J690" s="2">
        <v>53390</v>
      </c>
      <c r="K690" s="2">
        <v>21798</v>
      </c>
      <c r="L690" s="2">
        <v>10</v>
      </c>
      <c r="M690" t="str">
        <f>IF(Revv_bike_sales_data[[#This Row],[delivery_days]]&lt;=7, "Yes", "No")</f>
        <v>No</v>
      </c>
      <c r="N690" t="s">
        <v>16</v>
      </c>
      <c r="O690" s="2">
        <v>31592</v>
      </c>
    </row>
    <row r="691" spans="1:15" x14ac:dyDescent="0.3">
      <c r="A691" s="2">
        <v>681</v>
      </c>
      <c r="B691" s="1">
        <v>44955.333333333336</v>
      </c>
      <c r="C691" s="1" t="str">
        <f t="shared" si="20"/>
        <v>01-2023</v>
      </c>
      <c r="D691" s="2">
        <f t="shared" si="21"/>
        <v>5</v>
      </c>
      <c r="E691" t="s">
        <v>17</v>
      </c>
      <c r="F691" t="s">
        <v>14</v>
      </c>
      <c r="G691" t="s">
        <v>15</v>
      </c>
      <c r="H691" s="2">
        <v>11851</v>
      </c>
      <c r="I691" s="2">
        <v>5</v>
      </c>
      <c r="J691" s="2">
        <v>107174</v>
      </c>
      <c r="K691" s="2">
        <v>130161</v>
      </c>
      <c r="L691" s="2">
        <v>14</v>
      </c>
      <c r="M691" t="str">
        <f>IF(Revv_bike_sales_data[[#This Row],[delivery_days]]&lt;=7, "Yes", "No")</f>
        <v>No</v>
      </c>
      <c r="N691" t="s">
        <v>16</v>
      </c>
      <c r="O691" s="2">
        <v>-22987</v>
      </c>
    </row>
    <row r="692" spans="1:15" x14ac:dyDescent="0.3">
      <c r="A692" s="2">
        <v>682</v>
      </c>
      <c r="B692" s="1">
        <v>44955.375</v>
      </c>
      <c r="C692" s="1" t="str">
        <f t="shared" si="20"/>
        <v>01-2023</v>
      </c>
      <c r="D692" s="2">
        <f t="shared" si="21"/>
        <v>5</v>
      </c>
      <c r="E692" t="s">
        <v>17</v>
      </c>
      <c r="F692" t="s">
        <v>23</v>
      </c>
      <c r="G692" t="s">
        <v>19</v>
      </c>
      <c r="H692" s="2">
        <v>55684</v>
      </c>
      <c r="I692" s="2">
        <v>5</v>
      </c>
      <c r="J692" s="2">
        <v>29787</v>
      </c>
      <c r="K692" s="2">
        <v>81103</v>
      </c>
      <c r="L692" s="2">
        <v>4</v>
      </c>
      <c r="M692" t="str">
        <f>IF(Revv_bike_sales_data[[#This Row],[delivery_days]]&lt;=7, "Yes", "No")</f>
        <v>Yes</v>
      </c>
      <c r="N692" t="s">
        <v>16</v>
      </c>
      <c r="O692" s="2">
        <v>-51316</v>
      </c>
    </row>
    <row r="693" spans="1:15" x14ac:dyDescent="0.3">
      <c r="A693" s="2">
        <v>683</v>
      </c>
      <c r="B693" s="1">
        <v>44955.416666666664</v>
      </c>
      <c r="C693" s="1" t="str">
        <f t="shared" si="20"/>
        <v>01-2023</v>
      </c>
      <c r="D693" s="2">
        <f t="shared" si="21"/>
        <v>5</v>
      </c>
      <c r="E693" t="s">
        <v>22</v>
      </c>
      <c r="F693" t="s">
        <v>14</v>
      </c>
      <c r="G693" t="s">
        <v>19</v>
      </c>
      <c r="H693" s="2">
        <v>96207</v>
      </c>
      <c r="I693" s="2">
        <v>6</v>
      </c>
      <c r="J693" s="2">
        <v>68724</v>
      </c>
      <c r="K693" s="2">
        <v>92160</v>
      </c>
      <c r="L693" s="2">
        <v>8</v>
      </c>
      <c r="M693" t="str">
        <f>IF(Revv_bike_sales_data[[#This Row],[delivery_days]]&lt;=7, "Yes", "No")</f>
        <v>No</v>
      </c>
      <c r="N693" t="s">
        <v>16</v>
      </c>
      <c r="O693" s="2">
        <v>-23436</v>
      </c>
    </row>
    <row r="694" spans="1:15" x14ac:dyDescent="0.3">
      <c r="A694" s="2">
        <v>684</v>
      </c>
      <c r="B694" s="1">
        <v>44955.458333333336</v>
      </c>
      <c r="C694" s="1" t="str">
        <f t="shared" si="20"/>
        <v>01-2023</v>
      </c>
      <c r="D694" s="2">
        <f t="shared" si="21"/>
        <v>5</v>
      </c>
      <c r="E694" t="s">
        <v>22</v>
      </c>
      <c r="F694" t="s">
        <v>14</v>
      </c>
      <c r="G694" t="s">
        <v>15</v>
      </c>
      <c r="H694" s="2">
        <v>69680</v>
      </c>
      <c r="I694" s="2">
        <v>4</v>
      </c>
      <c r="J694" s="2">
        <v>35663</v>
      </c>
      <c r="K694" s="2">
        <v>92751</v>
      </c>
      <c r="L694" s="2">
        <v>14</v>
      </c>
      <c r="M694" t="str">
        <f>IF(Revv_bike_sales_data[[#This Row],[delivery_days]]&lt;=7, "Yes", "No")</f>
        <v>No</v>
      </c>
      <c r="N694" t="s">
        <v>16</v>
      </c>
      <c r="O694" s="2">
        <v>-57088</v>
      </c>
    </row>
    <row r="695" spans="1:15" x14ac:dyDescent="0.3">
      <c r="A695" s="2">
        <v>685</v>
      </c>
      <c r="B695" s="1">
        <v>44955.5</v>
      </c>
      <c r="C695" s="1" t="str">
        <f t="shared" si="20"/>
        <v>01-2023</v>
      </c>
      <c r="D695" s="2">
        <f t="shared" si="21"/>
        <v>5</v>
      </c>
      <c r="E695" t="s">
        <v>18</v>
      </c>
      <c r="F695" t="s">
        <v>14</v>
      </c>
      <c r="G695" t="s">
        <v>15</v>
      </c>
      <c r="H695" s="2">
        <v>82178</v>
      </c>
      <c r="I695" s="2">
        <v>7</v>
      </c>
      <c r="J695" s="2">
        <v>172192</v>
      </c>
      <c r="K695" s="2">
        <v>88502</v>
      </c>
      <c r="L695" s="2">
        <v>13</v>
      </c>
      <c r="M695" t="str">
        <f>IF(Revv_bike_sales_data[[#This Row],[delivery_days]]&lt;=7, "Yes", "No")</f>
        <v>No</v>
      </c>
      <c r="N695" t="s">
        <v>16</v>
      </c>
      <c r="O695" s="2">
        <v>83690</v>
      </c>
    </row>
    <row r="696" spans="1:15" x14ac:dyDescent="0.3">
      <c r="A696" s="2">
        <v>686</v>
      </c>
      <c r="B696" s="1">
        <v>44955.541666666664</v>
      </c>
      <c r="C696" s="1" t="str">
        <f t="shared" si="20"/>
        <v>01-2023</v>
      </c>
      <c r="D696" s="2">
        <f t="shared" si="21"/>
        <v>5</v>
      </c>
      <c r="E696" t="s">
        <v>25</v>
      </c>
      <c r="F696" t="s">
        <v>23</v>
      </c>
      <c r="G696" t="s">
        <v>20</v>
      </c>
      <c r="H696" s="2">
        <v>73809</v>
      </c>
      <c r="I696" s="2">
        <v>6</v>
      </c>
      <c r="J696" s="2">
        <v>178812</v>
      </c>
      <c r="K696" s="2">
        <v>66410</v>
      </c>
      <c r="L696" s="2">
        <v>11</v>
      </c>
      <c r="M696" t="str">
        <f>IF(Revv_bike_sales_data[[#This Row],[delivery_days]]&lt;=7, "Yes", "No")</f>
        <v>No</v>
      </c>
      <c r="N696" t="s">
        <v>16</v>
      </c>
      <c r="O696" s="2">
        <v>112402</v>
      </c>
    </row>
    <row r="697" spans="1:15" x14ac:dyDescent="0.3">
      <c r="A697" s="2">
        <v>687</v>
      </c>
      <c r="B697" s="1">
        <v>44955.583333333336</v>
      </c>
      <c r="C697" s="1" t="str">
        <f t="shared" si="20"/>
        <v>01-2023</v>
      </c>
      <c r="D697" s="2">
        <f t="shared" si="21"/>
        <v>5</v>
      </c>
      <c r="E697" t="s">
        <v>17</v>
      </c>
      <c r="F697" t="s">
        <v>14</v>
      </c>
      <c r="G697" t="s">
        <v>15</v>
      </c>
      <c r="H697" s="2">
        <v>94502</v>
      </c>
      <c r="I697" s="2">
        <v>1</v>
      </c>
      <c r="J697" s="2">
        <v>158107</v>
      </c>
      <c r="K697" s="2">
        <v>55888</v>
      </c>
      <c r="L697" s="2">
        <v>5</v>
      </c>
      <c r="M697" t="str">
        <f>IF(Revv_bike_sales_data[[#This Row],[delivery_days]]&lt;=7, "Yes", "No")</f>
        <v>Yes</v>
      </c>
      <c r="N697" t="s">
        <v>16</v>
      </c>
      <c r="O697" s="2">
        <v>102219</v>
      </c>
    </row>
    <row r="698" spans="1:15" x14ac:dyDescent="0.3">
      <c r="A698" s="2">
        <v>688</v>
      </c>
      <c r="B698" s="1">
        <v>44955.625</v>
      </c>
      <c r="C698" s="1" t="str">
        <f t="shared" si="20"/>
        <v>01-2023</v>
      </c>
      <c r="D698" s="2">
        <f t="shared" si="21"/>
        <v>5</v>
      </c>
      <c r="E698" t="s">
        <v>25</v>
      </c>
      <c r="F698" t="s">
        <v>14</v>
      </c>
      <c r="G698" t="s">
        <v>21</v>
      </c>
      <c r="H698" s="2">
        <v>11278</v>
      </c>
      <c r="I698" s="2">
        <v>0</v>
      </c>
      <c r="J698" s="2">
        <v>125271</v>
      </c>
      <c r="K698" s="2">
        <v>64047</v>
      </c>
      <c r="L698" s="2">
        <v>9</v>
      </c>
      <c r="M698" t="str">
        <f>IF(Revv_bike_sales_data[[#This Row],[delivery_days]]&lt;=7, "Yes", "No")</f>
        <v>No</v>
      </c>
      <c r="N698" t="s">
        <v>16</v>
      </c>
      <c r="O698" s="2">
        <v>61224</v>
      </c>
    </row>
    <row r="699" spans="1:15" x14ac:dyDescent="0.3">
      <c r="A699" s="2">
        <v>689</v>
      </c>
      <c r="B699" s="1">
        <v>44955.666666666664</v>
      </c>
      <c r="C699" s="1" t="str">
        <f t="shared" si="20"/>
        <v>01-2023</v>
      </c>
      <c r="D699" s="2">
        <f t="shared" si="21"/>
        <v>5</v>
      </c>
      <c r="E699" t="s">
        <v>25</v>
      </c>
      <c r="F699" t="s">
        <v>14</v>
      </c>
      <c r="G699" t="s">
        <v>21</v>
      </c>
      <c r="H699" s="2">
        <v>13001</v>
      </c>
      <c r="I699" s="2">
        <v>8</v>
      </c>
      <c r="J699" s="2">
        <v>92388</v>
      </c>
      <c r="K699" s="2">
        <v>110289</v>
      </c>
      <c r="L699" s="2">
        <v>4</v>
      </c>
      <c r="M699" t="str">
        <f>IF(Revv_bike_sales_data[[#This Row],[delivery_days]]&lt;=7, "Yes", "No")</f>
        <v>Yes</v>
      </c>
      <c r="N699" t="s">
        <v>16</v>
      </c>
      <c r="O699" s="2">
        <v>-17901</v>
      </c>
    </row>
    <row r="700" spans="1:15" x14ac:dyDescent="0.3">
      <c r="A700" s="2">
        <v>690</v>
      </c>
      <c r="B700" s="1">
        <v>44955.708333333336</v>
      </c>
      <c r="C700" s="1" t="str">
        <f t="shared" si="20"/>
        <v>01-2023</v>
      </c>
      <c r="D700" s="2">
        <f t="shared" si="21"/>
        <v>5</v>
      </c>
      <c r="E700" t="s">
        <v>18</v>
      </c>
      <c r="F700" t="s">
        <v>14</v>
      </c>
      <c r="G700" t="s">
        <v>15</v>
      </c>
      <c r="H700" s="2">
        <v>2608</v>
      </c>
      <c r="I700" s="2">
        <v>4</v>
      </c>
      <c r="J700" s="2">
        <v>77335</v>
      </c>
      <c r="K700" s="2">
        <v>124640</v>
      </c>
      <c r="L700" s="2">
        <v>3</v>
      </c>
      <c r="M700" t="str">
        <f>IF(Revv_bike_sales_data[[#This Row],[delivery_days]]&lt;=7, "Yes", "No")</f>
        <v>Yes</v>
      </c>
      <c r="N700" t="s">
        <v>16</v>
      </c>
      <c r="O700" s="2">
        <v>-47305</v>
      </c>
    </row>
    <row r="701" spans="1:15" x14ac:dyDescent="0.3">
      <c r="A701" s="2">
        <v>691</v>
      </c>
      <c r="B701" s="1">
        <v>44955.75</v>
      </c>
      <c r="C701" s="1" t="str">
        <f t="shared" si="20"/>
        <v>01-2023</v>
      </c>
      <c r="D701" s="2">
        <f t="shared" si="21"/>
        <v>5</v>
      </c>
      <c r="E701" t="s">
        <v>17</v>
      </c>
      <c r="F701" t="s">
        <v>14</v>
      </c>
      <c r="G701" t="s">
        <v>19</v>
      </c>
      <c r="H701" s="2">
        <v>95405</v>
      </c>
      <c r="I701" s="2">
        <v>4</v>
      </c>
      <c r="J701" s="2">
        <v>68315</v>
      </c>
      <c r="K701" s="2">
        <v>117614</v>
      </c>
      <c r="L701" s="2">
        <v>10</v>
      </c>
      <c r="M701" t="str">
        <f>IF(Revv_bike_sales_data[[#This Row],[delivery_days]]&lt;=7, "Yes", "No")</f>
        <v>No</v>
      </c>
      <c r="N701" t="s">
        <v>16</v>
      </c>
      <c r="O701" s="2">
        <v>-49299</v>
      </c>
    </row>
    <row r="702" spans="1:15" x14ac:dyDescent="0.3">
      <c r="A702" s="2">
        <v>692</v>
      </c>
      <c r="B702" s="1">
        <v>44955.791666666664</v>
      </c>
      <c r="C702" s="1" t="str">
        <f t="shared" si="20"/>
        <v>01-2023</v>
      </c>
      <c r="D702" s="2">
        <f t="shared" si="21"/>
        <v>5</v>
      </c>
      <c r="E702" t="s">
        <v>17</v>
      </c>
      <c r="F702" t="s">
        <v>14</v>
      </c>
      <c r="G702" t="s">
        <v>20</v>
      </c>
      <c r="H702" s="2">
        <v>36882</v>
      </c>
      <c r="I702" s="2">
        <v>9</v>
      </c>
      <c r="J702" s="2">
        <v>129922</v>
      </c>
      <c r="K702" s="2">
        <v>60955</v>
      </c>
      <c r="L702" s="2">
        <v>8</v>
      </c>
      <c r="M702" t="str">
        <f>IF(Revv_bike_sales_data[[#This Row],[delivery_days]]&lt;=7, "Yes", "No")</f>
        <v>No</v>
      </c>
      <c r="N702" t="s">
        <v>16</v>
      </c>
      <c r="O702" s="2">
        <v>68967</v>
      </c>
    </row>
    <row r="703" spans="1:15" x14ac:dyDescent="0.3">
      <c r="A703" s="2">
        <v>693</v>
      </c>
      <c r="B703" s="1">
        <v>44955.833333333336</v>
      </c>
      <c r="C703" s="1" t="str">
        <f t="shared" si="20"/>
        <v>01-2023</v>
      </c>
      <c r="D703" s="2">
        <f t="shared" si="21"/>
        <v>5</v>
      </c>
      <c r="E703" t="s">
        <v>13</v>
      </c>
      <c r="F703" t="s">
        <v>14</v>
      </c>
      <c r="G703" t="s">
        <v>19</v>
      </c>
      <c r="H703" s="2">
        <v>91854</v>
      </c>
      <c r="I703" s="2">
        <v>3</v>
      </c>
      <c r="J703" s="2">
        <v>71627</v>
      </c>
      <c r="K703" s="2">
        <v>127393</v>
      </c>
      <c r="L703" s="2">
        <v>1</v>
      </c>
      <c r="M703" t="str">
        <f>IF(Revv_bike_sales_data[[#This Row],[delivery_days]]&lt;=7, "Yes", "No")</f>
        <v>Yes</v>
      </c>
      <c r="N703" t="s">
        <v>16</v>
      </c>
      <c r="O703" s="2">
        <v>-55766</v>
      </c>
    </row>
    <row r="704" spans="1:15" x14ac:dyDescent="0.3">
      <c r="A704" s="2">
        <v>694</v>
      </c>
      <c r="B704" s="1">
        <v>44955.875</v>
      </c>
      <c r="C704" s="1" t="str">
        <f t="shared" si="20"/>
        <v>01-2023</v>
      </c>
      <c r="D704" s="2">
        <f t="shared" si="21"/>
        <v>5</v>
      </c>
      <c r="E704" t="s">
        <v>25</v>
      </c>
      <c r="F704" t="s">
        <v>23</v>
      </c>
      <c r="G704" t="s">
        <v>15</v>
      </c>
      <c r="H704" s="2">
        <v>76287</v>
      </c>
      <c r="I704" s="2">
        <v>1</v>
      </c>
      <c r="J704" s="2">
        <v>164375</v>
      </c>
      <c r="K704" s="2">
        <v>16982</v>
      </c>
      <c r="L704" s="2">
        <v>9</v>
      </c>
      <c r="M704" t="str">
        <f>IF(Revv_bike_sales_data[[#This Row],[delivery_days]]&lt;=7, "Yes", "No")</f>
        <v>No</v>
      </c>
      <c r="N704" t="s">
        <v>24</v>
      </c>
      <c r="O704" s="2">
        <v>147393</v>
      </c>
    </row>
    <row r="705" spans="1:15" x14ac:dyDescent="0.3">
      <c r="A705" s="2">
        <v>695</v>
      </c>
      <c r="B705" s="1">
        <v>44955.916666666664</v>
      </c>
      <c r="C705" s="1" t="str">
        <f t="shared" si="20"/>
        <v>01-2023</v>
      </c>
      <c r="D705" s="2">
        <f t="shared" si="21"/>
        <v>5</v>
      </c>
      <c r="E705" t="s">
        <v>25</v>
      </c>
      <c r="F705" t="s">
        <v>14</v>
      </c>
      <c r="G705" t="s">
        <v>21</v>
      </c>
      <c r="H705" s="2">
        <v>23841</v>
      </c>
      <c r="I705" s="2">
        <v>4</v>
      </c>
      <c r="J705" s="2">
        <v>74334</v>
      </c>
      <c r="K705" s="2">
        <v>48864</v>
      </c>
      <c r="L705" s="2">
        <v>4</v>
      </c>
      <c r="M705" t="str">
        <f>IF(Revv_bike_sales_data[[#This Row],[delivery_days]]&lt;=7, "Yes", "No")</f>
        <v>Yes</v>
      </c>
      <c r="N705" t="s">
        <v>16</v>
      </c>
      <c r="O705" s="2">
        <v>25470</v>
      </c>
    </row>
    <row r="706" spans="1:15" x14ac:dyDescent="0.3">
      <c r="A706" s="2">
        <v>696</v>
      </c>
      <c r="B706" s="1">
        <v>44955.958333333336</v>
      </c>
      <c r="C706" s="1" t="str">
        <f t="shared" si="20"/>
        <v>01-2023</v>
      </c>
      <c r="D706" s="2">
        <f t="shared" si="21"/>
        <v>5</v>
      </c>
      <c r="E706" t="s">
        <v>22</v>
      </c>
      <c r="F706" t="s">
        <v>14</v>
      </c>
      <c r="G706" t="s">
        <v>20</v>
      </c>
      <c r="H706" s="2">
        <v>77714</v>
      </c>
      <c r="I706" s="2">
        <v>1</v>
      </c>
      <c r="J706" s="2">
        <v>90700</v>
      </c>
      <c r="K706" s="2">
        <v>136298</v>
      </c>
      <c r="L706" s="2">
        <v>11</v>
      </c>
      <c r="M706" t="str">
        <f>IF(Revv_bike_sales_data[[#This Row],[delivery_days]]&lt;=7, "Yes", "No")</f>
        <v>No</v>
      </c>
      <c r="N706" t="s">
        <v>24</v>
      </c>
      <c r="O706" s="2">
        <v>-45598</v>
      </c>
    </row>
    <row r="707" spans="1:15" x14ac:dyDescent="0.3">
      <c r="A707" s="2">
        <v>697</v>
      </c>
      <c r="B707" s="1">
        <v>44956</v>
      </c>
      <c r="C707" s="1" t="str">
        <f t="shared" si="20"/>
        <v>01-2023</v>
      </c>
      <c r="D707" s="2">
        <f t="shared" si="21"/>
        <v>5</v>
      </c>
      <c r="E707" t="s">
        <v>13</v>
      </c>
      <c r="F707" t="s">
        <v>14</v>
      </c>
      <c r="G707" t="s">
        <v>19</v>
      </c>
      <c r="H707" s="2">
        <v>14867</v>
      </c>
      <c r="I707" s="2">
        <v>6</v>
      </c>
      <c r="J707" s="2">
        <v>64726</v>
      </c>
      <c r="K707" s="2">
        <v>94118</v>
      </c>
      <c r="L707" s="2">
        <v>9</v>
      </c>
      <c r="M707" t="str">
        <f>IF(Revv_bike_sales_data[[#This Row],[delivery_days]]&lt;=7, "Yes", "No")</f>
        <v>No</v>
      </c>
      <c r="N707" t="s">
        <v>16</v>
      </c>
      <c r="O707" s="2">
        <v>-29392</v>
      </c>
    </row>
    <row r="708" spans="1:15" x14ac:dyDescent="0.3">
      <c r="A708" s="2">
        <v>698</v>
      </c>
      <c r="B708" s="1">
        <v>44956.041666666664</v>
      </c>
      <c r="C708" s="1" t="str">
        <f t="shared" si="20"/>
        <v>01-2023</v>
      </c>
      <c r="D708" s="2">
        <f t="shared" si="21"/>
        <v>5</v>
      </c>
      <c r="E708" t="s">
        <v>22</v>
      </c>
      <c r="F708" t="s">
        <v>14</v>
      </c>
      <c r="G708" t="s">
        <v>19</v>
      </c>
      <c r="H708" s="2">
        <v>95708</v>
      </c>
      <c r="I708" s="2">
        <v>8</v>
      </c>
      <c r="J708" s="2">
        <v>55694</v>
      </c>
      <c r="K708" s="2">
        <v>100490</v>
      </c>
      <c r="L708" s="2">
        <v>8</v>
      </c>
      <c r="M708" t="str">
        <f>IF(Revv_bike_sales_data[[#This Row],[delivery_days]]&lt;=7, "Yes", "No")</f>
        <v>No</v>
      </c>
      <c r="N708" t="s">
        <v>16</v>
      </c>
      <c r="O708" s="2">
        <v>-44796</v>
      </c>
    </row>
    <row r="709" spans="1:15" x14ac:dyDescent="0.3">
      <c r="A709" s="2">
        <v>699</v>
      </c>
      <c r="B709" s="1">
        <v>44956.083333333336</v>
      </c>
      <c r="C709" s="1" t="str">
        <f t="shared" si="20"/>
        <v>01-2023</v>
      </c>
      <c r="D709" s="2">
        <f t="shared" si="21"/>
        <v>5</v>
      </c>
      <c r="E709" t="s">
        <v>22</v>
      </c>
      <c r="F709" t="s">
        <v>14</v>
      </c>
      <c r="G709" t="s">
        <v>15</v>
      </c>
      <c r="H709" s="2">
        <v>70368</v>
      </c>
      <c r="I709" s="2">
        <v>8</v>
      </c>
      <c r="J709" s="2">
        <v>88545</v>
      </c>
      <c r="K709" s="2">
        <v>54265</v>
      </c>
      <c r="L709" s="2">
        <v>3</v>
      </c>
      <c r="M709" t="str">
        <f>IF(Revv_bike_sales_data[[#This Row],[delivery_days]]&lt;=7, "Yes", "No")</f>
        <v>Yes</v>
      </c>
      <c r="N709" t="s">
        <v>16</v>
      </c>
      <c r="O709" s="2">
        <v>34280</v>
      </c>
    </row>
    <row r="710" spans="1:15" x14ac:dyDescent="0.3">
      <c r="A710" s="2">
        <v>700</v>
      </c>
      <c r="B710" s="1">
        <v>44956.125</v>
      </c>
      <c r="C710" s="1" t="str">
        <f t="shared" si="20"/>
        <v>01-2023</v>
      </c>
      <c r="D710" s="2">
        <f t="shared" si="21"/>
        <v>5</v>
      </c>
      <c r="E710" t="s">
        <v>22</v>
      </c>
      <c r="F710" t="s">
        <v>14</v>
      </c>
      <c r="G710" t="s">
        <v>20</v>
      </c>
      <c r="H710" s="2">
        <v>12502</v>
      </c>
      <c r="I710" s="2">
        <v>5</v>
      </c>
      <c r="J710" s="2">
        <v>172997</v>
      </c>
      <c r="K710" s="2">
        <v>61313</v>
      </c>
      <c r="L710" s="2">
        <v>3</v>
      </c>
      <c r="M710" t="str">
        <f>IF(Revv_bike_sales_data[[#This Row],[delivery_days]]&lt;=7, "Yes", "No")</f>
        <v>Yes</v>
      </c>
      <c r="N710" t="s">
        <v>16</v>
      </c>
      <c r="O710" s="2">
        <v>111684</v>
      </c>
    </row>
    <row r="711" spans="1:15" x14ac:dyDescent="0.3">
      <c r="A711" s="2">
        <v>701</v>
      </c>
      <c r="B711" s="1">
        <v>44956.166666666664</v>
      </c>
      <c r="C711" s="1" t="str">
        <f t="shared" si="20"/>
        <v>01-2023</v>
      </c>
      <c r="D711" s="2">
        <f t="shared" si="21"/>
        <v>5</v>
      </c>
      <c r="E711" t="s">
        <v>18</v>
      </c>
      <c r="F711" t="s">
        <v>14</v>
      </c>
      <c r="G711" t="s">
        <v>21</v>
      </c>
      <c r="H711" s="2">
        <v>86320</v>
      </c>
      <c r="I711" s="2">
        <v>0</v>
      </c>
      <c r="J711" s="2">
        <v>31033</v>
      </c>
      <c r="K711" s="2">
        <v>59350</v>
      </c>
      <c r="L711" s="2">
        <v>14</v>
      </c>
      <c r="M711" t="str">
        <f>IF(Revv_bike_sales_data[[#This Row],[delivery_days]]&lt;=7, "Yes", "No")</f>
        <v>No</v>
      </c>
      <c r="N711" t="s">
        <v>16</v>
      </c>
      <c r="O711" s="2">
        <v>-28317</v>
      </c>
    </row>
    <row r="712" spans="1:15" x14ac:dyDescent="0.3">
      <c r="A712" s="2">
        <v>702</v>
      </c>
      <c r="B712" s="1">
        <v>44956.208333333336</v>
      </c>
      <c r="C712" s="1" t="str">
        <f t="shared" si="20"/>
        <v>01-2023</v>
      </c>
      <c r="D712" s="2">
        <f t="shared" si="21"/>
        <v>5</v>
      </c>
      <c r="E712" t="s">
        <v>18</v>
      </c>
      <c r="F712" t="s">
        <v>23</v>
      </c>
      <c r="G712" t="s">
        <v>15</v>
      </c>
      <c r="H712" s="2">
        <v>60449</v>
      </c>
      <c r="I712" s="2">
        <v>5</v>
      </c>
      <c r="J712" s="2">
        <v>87461</v>
      </c>
      <c r="K712" s="2">
        <v>30378</v>
      </c>
      <c r="L712" s="2">
        <v>9</v>
      </c>
      <c r="M712" t="str">
        <f>IF(Revv_bike_sales_data[[#This Row],[delivery_days]]&lt;=7, "Yes", "No")</f>
        <v>No</v>
      </c>
      <c r="N712" t="s">
        <v>16</v>
      </c>
      <c r="O712" s="2">
        <v>57083</v>
      </c>
    </row>
    <row r="713" spans="1:15" x14ac:dyDescent="0.3">
      <c r="A713" s="2">
        <v>703</v>
      </c>
      <c r="B713" s="1">
        <v>44956.25</v>
      </c>
      <c r="C713" s="1" t="str">
        <f t="shared" si="20"/>
        <v>01-2023</v>
      </c>
      <c r="D713" s="2">
        <f t="shared" si="21"/>
        <v>5</v>
      </c>
      <c r="E713" t="s">
        <v>22</v>
      </c>
      <c r="F713" t="s">
        <v>23</v>
      </c>
      <c r="G713" t="s">
        <v>20</v>
      </c>
      <c r="H713" s="2">
        <v>16200</v>
      </c>
      <c r="I713" s="2">
        <v>4</v>
      </c>
      <c r="J713" s="2">
        <v>27665</v>
      </c>
      <c r="K713" s="2">
        <v>124168</v>
      </c>
      <c r="L713" s="2">
        <v>3</v>
      </c>
      <c r="M713" t="str">
        <f>IF(Revv_bike_sales_data[[#This Row],[delivery_days]]&lt;=7, "Yes", "No")</f>
        <v>Yes</v>
      </c>
      <c r="N713" t="s">
        <v>16</v>
      </c>
      <c r="O713" s="2">
        <v>-96503</v>
      </c>
    </row>
    <row r="714" spans="1:15" x14ac:dyDescent="0.3">
      <c r="A714" s="2">
        <v>704</v>
      </c>
      <c r="B714" s="1">
        <v>44956.291666666664</v>
      </c>
      <c r="C714" s="1" t="str">
        <f t="shared" si="20"/>
        <v>01-2023</v>
      </c>
      <c r="D714" s="2">
        <f t="shared" si="21"/>
        <v>5</v>
      </c>
      <c r="E714" t="s">
        <v>13</v>
      </c>
      <c r="F714" t="s">
        <v>14</v>
      </c>
      <c r="G714" t="s">
        <v>19</v>
      </c>
      <c r="H714" s="2">
        <v>79805</v>
      </c>
      <c r="I714" s="2">
        <v>3</v>
      </c>
      <c r="J714" s="2">
        <v>52025</v>
      </c>
      <c r="K714" s="2">
        <v>133334</v>
      </c>
      <c r="L714" s="2">
        <v>4</v>
      </c>
      <c r="M714" t="str">
        <f>IF(Revv_bike_sales_data[[#This Row],[delivery_days]]&lt;=7, "Yes", "No")</f>
        <v>Yes</v>
      </c>
      <c r="N714" t="s">
        <v>16</v>
      </c>
      <c r="O714" s="2">
        <v>-81309</v>
      </c>
    </row>
    <row r="715" spans="1:15" x14ac:dyDescent="0.3">
      <c r="A715" s="2">
        <v>705</v>
      </c>
      <c r="B715" s="1">
        <v>44956.333333333336</v>
      </c>
      <c r="C715" s="1" t="str">
        <f t="shared" ref="C715:C778" si="22">TEXT(B715,"mm-yyyy")</f>
        <v>01-2023</v>
      </c>
      <c r="D715" s="2">
        <f t="shared" ref="D715:D778" si="23">WEEKNUM(B715)</f>
        <v>5</v>
      </c>
      <c r="E715" t="s">
        <v>25</v>
      </c>
      <c r="F715" t="s">
        <v>14</v>
      </c>
      <c r="G715" t="s">
        <v>15</v>
      </c>
      <c r="H715" s="2">
        <v>63043</v>
      </c>
      <c r="I715" s="2">
        <v>5</v>
      </c>
      <c r="J715" s="2">
        <v>179605</v>
      </c>
      <c r="K715" s="2">
        <v>132107</v>
      </c>
      <c r="L715" s="2">
        <v>9</v>
      </c>
      <c r="M715" t="str">
        <f>IF(Revv_bike_sales_data[[#This Row],[delivery_days]]&lt;=7, "Yes", "No")</f>
        <v>No</v>
      </c>
      <c r="N715" t="s">
        <v>16</v>
      </c>
      <c r="O715" s="2">
        <v>47498</v>
      </c>
    </row>
    <row r="716" spans="1:15" x14ac:dyDescent="0.3">
      <c r="A716" s="2">
        <v>706</v>
      </c>
      <c r="B716" s="1">
        <v>44956.375</v>
      </c>
      <c r="C716" s="1" t="str">
        <f t="shared" si="22"/>
        <v>01-2023</v>
      </c>
      <c r="D716" s="2">
        <f t="shared" si="23"/>
        <v>5</v>
      </c>
      <c r="E716" t="s">
        <v>13</v>
      </c>
      <c r="F716" t="s">
        <v>23</v>
      </c>
      <c r="G716" t="s">
        <v>19</v>
      </c>
      <c r="H716" s="2">
        <v>29818</v>
      </c>
      <c r="I716" s="2">
        <v>5</v>
      </c>
      <c r="J716" s="2">
        <v>102661</v>
      </c>
      <c r="K716" s="2">
        <v>84815</v>
      </c>
      <c r="L716" s="2">
        <v>12</v>
      </c>
      <c r="M716" t="str">
        <f>IF(Revv_bike_sales_data[[#This Row],[delivery_days]]&lt;=7, "Yes", "No")</f>
        <v>No</v>
      </c>
      <c r="N716" t="s">
        <v>16</v>
      </c>
      <c r="O716" s="2">
        <v>17846</v>
      </c>
    </row>
    <row r="717" spans="1:15" x14ac:dyDescent="0.3">
      <c r="A717" s="2">
        <v>707</v>
      </c>
      <c r="B717" s="1">
        <v>44956.416666666664</v>
      </c>
      <c r="C717" s="1" t="str">
        <f t="shared" si="22"/>
        <v>01-2023</v>
      </c>
      <c r="D717" s="2">
        <f t="shared" si="23"/>
        <v>5</v>
      </c>
      <c r="E717" t="s">
        <v>17</v>
      </c>
      <c r="F717" t="s">
        <v>14</v>
      </c>
      <c r="G717" t="s">
        <v>19</v>
      </c>
      <c r="H717" s="2">
        <v>90359</v>
      </c>
      <c r="I717" s="2">
        <v>5</v>
      </c>
      <c r="J717" s="2">
        <v>145473</v>
      </c>
      <c r="K717" s="2">
        <v>42924</v>
      </c>
      <c r="L717" s="2">
        <v>4</v>
      </c>
      <c r="M717" t="str">
        <f>IF(Revv_bike_sales_data[[#This Row],[delivery_days]]&lt;=7, "Yes", "No")</f>
        <v>Yes</v>
      </c>
      <c r="N717" t="s">
        <v>16</v>
      </c>
      <c r="O717" s="2">
        <v>102549</v>
      </c>
    </row>
    <row r="718" spans="1:15" x14ac:dyDescent="0.3">
      <c r="A718" s="2">
        <v>708</v>
      </c>
      <c r="B718" s="1">
        <v>44956.458333333336</v>
      </c>
      <c r="C718" s="1" t="str">
        <f t="shared" si="22"/>
        <v>01-2023</v>
      </c>
      <c r="D718" s="2">
        <f t="shared" si="23"/>
        <v>5</v>
      </c>
      <c r="E718" t="s">
        <v>18</v>
      </c>
      <c r="F718" t="s">
        <v>23</v>
      </c>
      <c r="G718" t="s">
        <v>15</v>
      </c>
      <c r="H718" s="2">
        <v>28110</v>
      </c>
      <c r="I718" s="2">
        <v>1</v>
      </c>
      <c r="J718" s="2">
        <v>45998</v>
      </c>
      <c r="K718" s="2">
        <v>97593</v>
      </c>
      <c r="L718" s="2">
        <v>11</v>
      </c>
      <c r="M718" t="str">
        <f>IF(Revv_bike_sales_data[[#This Row],[delivery_days]]&lt;=7, "Yes", "No")</f>
        <v>No</v>
      </c>
      <c r="N718" t="s">
        <v>16</v>
      </c>
      <c r="O718" s="2">
        <v>-51595</v>
      </c>
    </row>
    <row r="719" spans="1:15" x14ac:dyDescent="0.3">
      <c r="A719" s="2">
        <v>709</v>
      </c>
      <c r="B719" s="1">
        <v>44956.5</v>
      </c>
      <c r="C719" s="1" t="str">
        <f t="shared" si="22"/>
        <v>01-2023</v>
      </c>
      <c r="D719" s="2">
        <f t="shared" si="23"/>
        <v>5</v>
      </c>
      <c r="E719" t="s">
        <v>25</v>
      </c>
      <c r="F719" t="s">
        <v>14</v>
      </c>
      <c r="G719" t="s">
        <v>15</v>
      </c>
      <c r="H719" s="2">
        <v>72999</v>
      </c>
      <c r="I719" s="2">
        <v>6</v>
      </c>
      <c r="J719" s="2">
        <v>86248</v>
      </c>
      <c r="K719" s="2">
        <v>132490</v>
      </c>
      <c r="L719" s="2">
        <v>3</v>
      </c>
      <c r="M719" t="str">
        <f>IF(Revv_bike_sales_data[[#This Row],[delivery_days]]&lt;=7, "Yes", "No")</f>
        <v>Yes</v>
      </c>
      <c r="N719" t="s">
        <v>16</v>
      </c>
      <c r="O719" s="2">
        <v>-46242</v>
      </c>
    </row>
    <row r="720" spans="1:15" x14ac:dyDescent="0.3">
      <c r="A720" s="2">
        <v>710</v>
      </c>
      <c r="B720" s="1">
        <v>44956.541666666664</v>
      </c>
      <c r="C720" s="1" t="str">
        <f t="shared" si="22"/>
        <v>01-2023</v>
      </c>
      <c r="D720" s="2">
        <f t="shared" si="23"/>
        <v>5</v>
      </c>
      <c r="E720" t="s">
        <v>25</v>
      </c>
      <c r="F720" t="s">
        <v>14</v>
      </c>
      <c r="G720" t="s">
        <v>15</v>
      </c>
      <c r="H720" s="2">
        <v>73874</v>
      </c>
      <c r="I720" s="2">
        <v>3</v>
      </c>
      <c r="J720" s="2">
        <v>129493</v>
      </c>
      <c r="K720" s="2">
        <v>22312</v>
      </c>
      <c r="L720" s="2">
        <v>14</v>
      </c>
      <c r="M720" t="str">
        <f>IF(Revv_bike_sales_data[[#This Row],[delivery_days]]&lt;=7, "Yes", "No")</f>
        <v>No</v>
      </c>
      <c r="N720" t="s">
        <v>24</v>
      </c>
      <c r="O720" s="2">
        <v>107181</v>
      </c>
    </row>
    <row r="721" spans="1:15" x14ac:dyDescent="0.3">
      <c r="A721" s="2">
        <v>711</v>
      </c>
      <c r="B721" s="1">
        <v>44956.583333333336</v>
      </c>
      <c r="C721" s="1" t="str">
        <f t="shared" si="22"/>
        <v>01-2023</v>
      </c>
      <c r="D721" s="2">
        <f t="shared" si="23"/>
        <v>5</v>
      </c>
      <c r="E721" t="s">
        <v>17</v>
      </c>
      <c r="F721" t="s">
        <v>14</v>
      </c>
      <c r="G721" t="s">
        <v>15</v>
      </c>
      <c r="H721" s="2">
        <v>65726</v>
      </c>
      <c r="I721" s="2">
        <v>8</v>
      </c>
      <c r="J721" s="2">
        <v>48057</v>
      </c>
      <c r="K721" s="2">
        <v>45353</v>
      </c>
      <c r="L721" s="2">
        <v>7</v>
      </c>
      <c r="M721" t="str">
        <f>IF(Revv_bike_sales_data[[#This Row],[delivery_days]]&lt;=7, "Yes", "No")</f>
        <v>Yes</v>
      </c>
      <c r="N721" t="s">
        <v>16</v>
      </c>
      <c r="O721" s="2">
        <v>2704</v>
      </c>
    </row>
    <row r="722" spans="1:15" x14ac:dyDescent="0.3">
      <c r="A722" s="2">
        <v>712</v>
      </c>
      <c r="B722" s="1">
        <v>44956.625</v>
      </c>
      <c r="C722" s="1" t="str">
        <f t="shared" si="22"/>
        <v>01-2023</v>
      </c>
      <c r="D722" s="2">
        <f t="shared" si="23"/>
        <v>5</v>
      </c>
      <c r="E722" t="s">
        <v>17</v>
      </c>
      <c r="F722" t="s">
        <v>14</v>
      </c>
      <c r="G722" t="s">
        <v>15</v>
      </c>
      <c r="H722" s="2">
        <v>45667</v>
      </c>
      <c r="I722" s="2">
        <v>9</v>
      </c>
      <c r="J722" s="2">
        <v>104244</v>
      </c>
      <c r="K722" s="2">
        <v>128744</v>
      </c>
      <c r="L722" s="2">
        <v>6</v>
      </c>
      <c r="M722" t="str">
        <f>IF(Revv_bike_sales_data[[#This Row],[delivery_days]]&lt;=7, "Yes", "No")</f>
        <v>Yes</v>
      </c>
      <c r="N722" t="s">
        <v>16</v>
      </c>
      <c r="O722" s="2">
        <v>-24500</v>
      </c>
    </row>
    <row r="723" spans="1:15" x14ac:dyDescent="0.3">
      <c r="A723" s="2">
        <v>713</v>
      </c>
      <c r="B723" s="1">
        <v>44956.666666666664</v>
      </c>
      <c r="C723" s="1" t="str">
        <f t="shared" si="22"/>
        <v>01-2023</v>
      </c>
      <c r="D723" s="2">
        <f t="shared" si="23"/>
        <v>5</v>
      </c>
      <c r="E723" t="s">
        <v>22</v>
      </c>
      <c r="F723" t="s">
        <v>14</v>
      </c>
      <c r="G723" t="s">
        <v>19</v>
      </c>
      <c r="H723" s="2">
        <v>78279</v>
      </c>
      <c r="I723" s="2">
        <v>1</v>
      </c>
      <c r="J723" s="2">
        <v>122031</v>
      </c>
      <c r="K723" s="2">
        <v>115673</v>
      </c>
      <c r="L723" s="2">
        <v>1</v>
      </c>
      <c r="M723" t="str">
        <f>IF(Revv_bike_sales_data[[#This Row],[delivery_days]]&lt;=7, "Yes", "No")</f>
        <v>Yes</v>
      </c>
      <c r="N723" t="s">
        <v>16</v>
      </c>
      <c r="O723" s="2">
        <v>6358</v>
      </c>
    </row>
    <row r="724" spans="1:15" x14ac:dyDescent="0.3">
      <c r="A724" s="2">
        <v>714</v>
      </c>
      <c r="B724" s="1">
        <v>44956.708333333336</v>
      </c>
      <c r="C724" s="1" t="str">
        <f t="shared" si="22"/>
        <v>01-2023</v>
      </c>
      <c r="D724" s="2">
        <f t="shared" si="23"/>
        <v>5</v>
      </c>
      <c r="E724" t="s">
        <v>18</v>
      </c>
      <c r="F724" t="s">
        <v>14</v>
      </c>
      <c r="G724" t="s">
        <v>21</v>
      </c>
      <c r="H724" s="2">
        <v>28439</v>
      </c>
      <c r="I724" s="2">
        <v>4</v>
      </c>
      <c r="J724" s="2">
        <v>137713</v>
      </c>
      <c r="K724" s="2">
        <v>101450</v>
      </c>
      <c r="L724" s="2">
        <v>14</v>
      </c>
      <c r="M724" t="str">
        <f>IF(Revv_bike_sales_data[[#This Row],[delivery_days]]&lt;=7, "Yes", "No")</f>
        <v>No</v>
      </c>
      <c r="N724" t="s">
        <v>16</v>
      </c>
      <c r="O724" s="2">
        <v>36263</v>
      </c>
    </row>
    <row r="725" spans="1:15" x14ac:dyDescent="0.3">
      <c r="A725" s="2">
        <v>715</v>
      </c>
      <c r="B725" s="1">
        <v>44956.75</v>
      </c>
      <c r="C725" s="1" t="str">
        <f t="shared" si="22"/>
        <v>01-2023</v>
      </c>
      <c r="D725" s="2">
        <f t="shared" si="23"/>
        <v>5</v>
      </c>
      <c r="E725" t="s">
        <v>18</v>
      </c>
      <c r="F725" t="s">
        <v>14</v>
      </c>
      <c r="G725" t="s">
        <v>21</v>
      </c>
      <c r="H725" s="2">
        <v>61865</v>
      </c>
      <c r="I725" s="2">
        <v>3</v>
      </c>
      <c r="J725" s="2">
        <v>130887</v>
      </c>
      <c r="K725" s="2">
        <v>31192</v>
      </c>
      <c r="L725" s="2">
        <v>10</v>
      </c>
      <c r="M725" t="str">
        <f>IF(Revv_bike_sales_data[[#This Row],[delivery_days]]&lt;=7, "Yes", "No")</f>
        <v>No</v>
      </c>
      <c r="N725" t="s">
        <v>16</v>
      </c>
      <c r="O725" s="2">
        <v>99695</v>
      </c>
    </row>
    <row r="726" spans="1:15" x14ac:dyDescent="0.3">
      <c r="A726" s="2">
        <v>716</v>
      </c>
      <c r="B726" s="1">
        <v>44956.791666666664</v>
      </c>
      <c r="C726" s="1" t="str">
        <f t="shared" si="22"/>
        <v>01-2023</v>
      </c>
      <c r="D726" s="2">
        <f t="shared" si="23"/>
        <v>5</v>
      </c>
      <c r="E726" t="s">
        <v>13</v>
      </c>
      <c r="F726" t="s">
        <v>14</v>
      </c>
      <c r="G726" t="s">
        <v>15</v>
      </c>
      <c r="H726" s="2">
        <v>67881</v>
      </c>
      <c r="I726" s="2">
        <v>8</v>
      </c>
      <c r="J726" s="2">
        <v>92173</v>
      </c>
      <c r="K726" s="2">
        <v>32450</v>
      </c>
      <c r="L726" s="2">
        <v>8</v>
      </c>
      <c r="M726" t="str">
        <f>IF(Revv_bike_sales_data[[#This Row],[delivery_days]]&lt;=7, "Yes", "No")</f>
        <v>No</v>
      </c>
      <c r="N726" t="s">
        <v>16</v>
      </c>
      <c r="O726" s="2">
        <v>59723</v>
      </c>
    </row>
    <row r="727" spans="1:15" x14ac:dyDescent="0.3">
      <c r="A727" s="2">
        <v>717</v>
      </c>
      <c r="B727" s="1">
        <v>44956.833333333336</v>
      </c>
      <c r="C727" s="1" t="str">
        <f t="shared" si="22"/>
        <v>01-2023</v>
      </c>
      <c r="D727" s="2">
        <f t="shared" si="23"/>
        <v>5</v>
      </c>
      <c r="E727" t="s">
        <v>22</v>
      </c>
      <c r="F727" t="s">
        <v>14</v>
      </c>
      <c r="G727" t="s">
        <v>19</v>
      </c>
      <c r="H727" s="2">
        <v>47210</v>
      </c>
      <c r="I727" s="2">
        <v>3</v>
      </c>
      <c r="J727" s="2">
        <v>63734</v>
      </c>
      <c r="K727" s="2">
        <v>20432</v>
      </c>
      <c r="L727" s="2">
        <v>1</v>
      </c>
      <c r="M727" t="str">
        <f>IF(Revv_bike_sales_data[[#This Row],[delivery_days]]&lt;=7, "Yes", "No")</f>
        <v>Yes</v>
      </c>
      <c r="N727" t="s">
        <v>16</v>
      </c>
      <c r="O727" s="2">
        <v>43302</v>
      </c>
    </row>
    <row r="728" spans="1:15" x14ac:dyDescent="0.3">
      <c r="A728" s="2">
        <v>718</v>
      </c>
      <c r="B728" s="1">
        <v>44956.875</v>
      </c>
      <c r="C728" s="1" t="str">
        <f t="shared" si="22"/>
        <v>01-2023</v>
      </c>
      <c r="D728" s="2">
        <f t="shared" si="23"/>
        <v>5</v>
      </c>
      <c r="E728" t="s">
        <v>22</v>
      </c>
      <c r="F728" t="s">
        <v>23</v>
      </c>
      <c r="G728" t="s">
        <v>21</v>
      </c>
      <c r="H728" s="2">
        <v>17266</v>
      </c>
      <c r="I728" s="2">
        <v>7</v>
      </c>
      <c r="J728" s="2">
        <v>87072</v>
      </c>
      <c r="K728" s="2">
        <v>72225</v>
      </c>
      <c r="L728" s="2">
        <v>4</v>
      </c>
      <c r="M728" t="str">
        <f>IF(Revv_bike_sales_data[[#This Row],[delivery_days]]&lt;=7, "Yes", "No")</f>
        <v>Yes</v>
      </c>
      <c r="N728" t="s">
        <v>16</v>
      </c>
      <c r="O728" s="2">
        <v>14847</v>
      </c>
    </row>
    <row r="729" spans="1:15" x14ac:dyDescent="0.3">
      <c r="A729" s="2">
        <v>719</v>
      </c>
      <c r="B729" s="1">
        <v>44956.916666666664</v>
      </c>
      <c r="C729" s="1" t="str">
        <f t="shared" si="22"/>
        <v>01-2023</v>
      </c>
      <c r="D729" s="2">
        <f t="shared" si="23"/>
        <v>5</v>
      </c>
      <c r="E729" t="s">
        <v>22</v>
      </c>
      <c r="F729" t="s">
        <v>14</v>
      </c>
      <c r="G729" t="s">
        <v>21</v>
      </c>
      <c r="H729" s="2">
        <v>13280</v>
      </c>
      <c r="I729" s="2">
        <v>7</v>
      </c>
      <c r="J729" s="2">
        <v>119194</v>
      </c>
      <c r="K729" s="2">
        <v>111548</v>
      </c>
      <c r="L729" s="2">
        <v>6</v>
      </c>
      <c r="M729" t="str">
        <f>IF(Revv_bike_sales_data[[#This Row],[delivery_days]]&lt;=7, "Yes", "No")</f>
        <v>Yes</v>
      </c>
      <c r="N729" t="s">
        <v>16</v>
      </c>
      <c r="O729" s="2">
        <v>7646</v>
      </c>
    </row>
    <row r="730" spans="1:15" x14ac:dyDescent="0.3">
      <c r="A730" s="2">
        <v>720</v>
      </c>
      <c r="B730" s="1">
        <v>44956.958333333336</v>
      </c>
      <c r="C730" s="1" t="str">
        <f t="shared" si="22"/>
        <v>01-2023</v>
      </c>
      <c r="D730" s="2">
        <f t="shared" si="23"/>
        <v>5</v>
      </c>
      <c r="E730" t="s">
        <v>22</v>
      </c>
      <c r="F730" t="s">
        <v>14</v>
      </c>
      <c r="G730" t="s">
        <v>21</v>
      </c>
      <c r="H730" s="2">
        <v>48958</v>
      </c>
      <c r="I730" s="2">
        <v>5</v>
      </c>
      <c r="J730" s="2">
        <v>164741</v>
      </c>
      <c r="K730" s="2">
        <v>113991</v>
      </c>
      <c r="L730" s="2">
        <v>6</v>
      </c>
      <c r="M730" t="str">
        <f>IF(Revv_bike_sales_data[[#This Row],[delivery_days]]&lt;=7, "Yes", "No")</f>
        <v>Yes</v>
      </c>
      <c r="N730" t="s">
        <v>24</v>
      </c>
      <c r="O730" s="2">
        <v>50750</v>
      </c>
    </row>
    <row r="731" spans="1:15" x14ac:dyDescent="0.3">
      <c r="A731" s="2">
        <v>721</v>
      </c>
      <c r="B731" s="1">
        <v>44957</v>
      </c>
      <c r="C731" s="1" t="str">
        <f t="shared" si="22"/>
        <v>01-2023</v>
      </c>
      <c r="D731" s="2">
        <f t="shared" si="23"/>
        <v>5</v>
      </c>
      <c r="E731" t="s">
        <v>18</v>
      </c>
      <c r="F731" t="s">
        <v>14</v>
      </c>
      <c r="G731" t="s">
        <v>19</v>
      </c>
      <c r="H731" s="2">
        <v>56721</v>
      </c>
      <c r="I731" s="2">
        <v>5</v>
      </c>
      <c r="J731" s="2">
        <v>138272</v>
      </c>
      <c r="K731" s="2">
        <v>93711</v>
      </c>
      <c r="L731" s="2">
        <v>7</v>
      </c>
      <c r="M731" t="str">
        <f>IF(Revv_bike_sales_data[[#This Row],[delivery_days]]&lt;=7, "Yes", "No")</f>
        <v>Yes</v>
      </c>
      <c r="N731" t="s">
        <v>16</v>
      </c>
      <c r="O731" s="2">
        <v>44561</v>
      </c>
    </row>
    <row r="732" spans="1:15" x14ac:dyDescent="0.3">
      <c r="A732" s="2">
        <v>722</v>
      </c>
      <c r="B732" s="1">
        <v>44957.041666666664</v>
      </c>
      <c r="C732" s="1" t="str">
        <f t="shared" si="22"/>
        <v>01-2023</v>
      </c>
      <c r="D732" s="2">
        <f t="shared" si="23"/>
        <v>5</v>
      </c>
      <c r="E732" t="s">
        <v>18</v>
      </c>
      <c r="F732" t="s">
        <v>14</v>
      </c>
      <c r="G732" t="s">
        <v>15</v>
      </c>
      <c r="H732" s="2">
        <v>2009</v>
      </c>
      <c r="I732" s="2">
        <v>7</v>
      </c>
      <c r="J732" s="2">
        <v>92902</v>
      </c>
      <c r="K732" s="2">
        <v>80604</v>
      </c>
      <c r="L732" s="2">
        <v>14</v>
      </c>
      <c r="M732" t="str">
        <f>IF(Revv_bike_sales_data[[#This Row],[delivery_days]]&lt;=7, "Yes", "No")</f>
        <v>No</v>
      </c>
      <c r="N732" t="s">
        <v>16</v>
      </c>
      <c r="O732" s="2">
        <v>12298</v>
      </c>
    </row>
    <row r="733" spans="1:15" x14ac:dyDescent="0.3">
      <c r="A733" s="2">
        <v>723</v>
      </c>
      <c r="B733" s="1">
        <v>44957.083333333336</v>
      </c>
      <c r="C733" s="1" t="str">
        <f t="shared" si="22"/>
        <v>01-2023</v>
      </c>
      <c r="D733" s="2">
        <f t="shared" si="23"/>
        <v>5</v>
      </c>
      <c r="E733" t="s">
        <v>22</v>
      </c>
      <c r="F733" t="s">
        <v>23</v>
      </c>
      <c r="G733" t="s">
        <v>15</v>
      </c>
      <c r="H733" s="2">
        <v>89993</v>
      </c>
      <c r="I733" s="2">
        <v>9</v>
      </c>
      <c r="J733" s="2">
        <v>147247</v>
      </c>
      <c r="K733" s="2">
        <v>25295</v>
      </c>
      <c r="L733" s="2">
        <v>11</v>
      </c>
      <c r="M733" t="str">
        <f>IF(Revv_bike_sales_data[[#This Row],[delivery_days]]&lt;=7, "Yes", "No")</f>
        <v>No</v>
      </c>
      <c r="N733" t="s">
        <v>16</v>
      </c>
      <c r="O733" s="2">
        <v>121952</v>
      </c>
    </row>
    <row r="734" spans="1:15" x14ac:dyDescent="0.3">
      <c r="A734" s="2">
        <v>724</v>
      </c>
      <c r="B734" s="1">
        <v>44957.125</v>
      </c>
      <c r="C734" s="1" t="str">
        <f t="shared" si="22"/>
        <v>01-2023</v>
      </c>
      <c r="D734" s="2">
        <f t="shared" si="23"/>
        <v>5</v>
      </c>
      <c r="E734" t="s">
        <v>13</v>
      </c>
      <c r="F734" t="s">
        <v>14</v>
      </c>
      <c r="G734" t="s">
        <v>15</v>
      </c>
      <c r="H734" s="2">
        <v>34846</v>
      </c>
      <c r="I734" s="2">
        <v>8</v>
      </c>
      <c r="J734" s="2">
        <v>174982</v>
      </c>
      <c r="K734" s="2">
        <v>21774</v>
      </c>
      <c r="L734" s="2">
        <v>12</v>
      </c>
      <c r="M734" t="str">
        <f>IF(Revv_bike_sales_data[[#This Row],[delivery_days]]&lt;=7, "Yes", "No")</f>
        <v>No</v>
      </c>
      <c r="N734" t="s">
        <v>16</v>
      </c>
      <c r="O734" s="2">
        <v>153208</v>
      </c>
    </row>
    <row r="735" spans="1:15" x14ac:dyDescent="0.3">
      <c r="A735" s="2">
        <v>725</v>
      </c>
      <c r="B735" s="1">
        <v>44957.166666666664</v>
      </c>
      <c r="C735" s="1" t="str">
        <f t="shared" si="22"/>
        <v>01-2023</v>
      </c>
      <c r="D735" s="2">
        <f t="shared" si="23"/>
        <v>5</v>
      </c>
      <c r="E735" t="s">
        <v>25</v>
      </c>
      <c r="F735" t="s">
        <v>14</v>
      </c>
      <c r="G735" t="s">
        <v>20</v>
      </c>
      <c r="H735" s="2">
        <v>83299</v>
      </c>
      <c r="I735" s="2">
        <v>4</v>
      </c>
      <c r="J735" s="2">
        <v>81959</v>
      </c>
      <c r="K735" s="2">
        <v>130107</v>
      </c>
      <c r="L735" s="2">
        <v>14</v>
      </c>
      <c r="M735" t="str">
        <f>IF(Revv_bike_sales_data[[#This Row],[delivery_days]]&lt;=7, "Yes", "No")</f>
        <v>No</v>
      </c>
      <c r="N735" t="s">
        <v>24</v>
      </c>
      <c r="O735" s="2">
        <v>-48148</v>
      </c>
    </row>
    <row r="736" spans="1:15" x14ac:dyDescent="0.3">
      <c r="A736" s="2">
        <v>726</v>
      </c>
      <c r="B736" s="1">
        <v>44957.208333333336</v>
      </c>
      <c r="C736" s="1" t="str">
        <f t="shared" si="22"/>
        <v>01-2023</v>
      </c>
      <c r="D736" s="2">
        <f t="shared" si="23"/>
        <v>5</v>
      </c>
      <c r="E736" t="s">
        <v>25</v>
      </c>
      <c r="F736" t="s">
        <v>14</v>
      </c>
      <c r="G736" t="s">
        <v>20</v>
      </c>
      <c r="H736" s="2">
        <v>47374</v>
      </c>
      <c r="I736" s="2">
        <v>0</v>
      </c>
      <c r="J736" s="2">
        <v>121623</v>
      </c>
      <c r="K736" s="2">
        <v>27190</v>
      </c>
      <c r="L736" s="2">
        <v>5</v>
      </c>
      <c r="M736" t="str">
        <f>IF(Revv_bike_sales_data[[#This Row],[delivery_days]]&lt;=7, "Yes", "No")</f>
        <v>Yes</v>
      </c>
      <c r="N736" t="s">
        <v>16</v>
      </c>
      <c r="O736" s="2">
        <v>94433</v>
      </c>
    </row>
    <row r="737" spans="1:15" x14ac:dyDescent="0.3">
      <c r="A737" s="2">
        <v>727</v>
      </c>
      <c r="B737" s="1">
        <v>44957.25</v>
      </c>
      <c r="C737" s="1" t="str">
        <f t="shared" si="22"/>
        <v>01-2023</v>
      </c>
      <c r="D737" s="2">
        <f t="shared" si="23"/>
        <v>5</v>
      </c>
      <c r="E737" t="s">
        <v>13</v>
      </c>
      <c r="F737" t="s">
        <v>14</v>
      </c>
      <c r="G737" t="s">
        <v>20</v>
      </c>
      <c r="H737" s="2">
        <v>26648</v>
      </c>
      <c r="I737" s="2">
        <v>0</v>
      </c>
      <c r="J737" s="2">
        <v>156438</v>
      </c>
      <c r="K737" s="2">
        <v>46286</v>
      </c>
      <c r="L737" s="2">
        <v>5</v>
      </c>
      <c r="M737" t="str">
        <f>IF(Revv_bike_sales_data[[#This Row],[delivery_days]]&lt;=7, "Yes", "No")</f>
        <v>Yes</v>
      </c>
      <c r="N737" t="s">
        <v>16</v>
      </c>
      <c r="O737" s="2">
        <v>110152</v>
      </c>
    </row>
    <row r="738" spans="1:15" x14ac:dyDescent="0.3">
      <c r="A738" s="2">
        <v>728</v>
      </c>
      <c r="B738" s="1">
        <v>44957.291666666664</v>
      </c>
      <c r="C738" s="1" t="str">
        <f t="shared" si="22"/>
        <v>01-2023</v>
      </c>
      <c r="D738" s="2">
        <f t="shared" si="23"/>
        <v>5</v>
      </c>
      <c r="E738" t="s">
        <v>22</v>
      </c>
      <c r="F738" t="s">
        <v>14</v>
      </c>
      <c r="G738" t="s">
        <v>19</v>
      </c>
      <c r="H738" s="2">
        <v>32033</v>
      </c>
      <c r="I738" s="2">
        <v>1</v>
      </c>
      <c r="J738" s="2">
        <v>73415</v>
      </c>
      <c r="K738" s="2">
        <v>91325</v>
      </c>
      <c r="L738" s="2">
        <v>4</v>
      </c>
      <c r="M738" t="str">
        <f>IF(Revv_bike_sales_data[[#This Row],[delivery_days]]&lt;=7, "Yes", "No")</f>
        <v>Yes</v>
      </c>
      <c r="N738" t="s">
        <v>16</v>
      </c>
      <c r="O738" s="2">
        <v>-17910</v>
      </c>
    </row>
    <row r="739" spans="1:15" x14ac:dyDescent="0.3">
      <c r="A739" s="2">
        <v>729</v>
      </c>
      <c r="B739" s="1">
        <v>44957.333333333336</v>
      </c>
      <c r="C739" s="1" t="str">
        <f t="shared" si="22"/>
        <v>01-2023</v>
      </c>
      <c r="D739" s="2">
        <f t="shared" si="23"/>
        <v>5</v>
      </c>
      <c r="E739" t="s">
        <v>18</v>
      </c>
      <c r="F739" t="s">
        <v>23</v>
      </c>
      <c r="G739" t="s">
        <v>21</v>
      </c>
      <c r="H739" s="2">
        <v>78967</v>
      </c>
      <c r="I739" s="2">
        <v>9</v>
      </c>
      <c r="J739" s="2">
        <v>149716</v>
      </c>
      <c r="K739" s="2">
        <v>109450</v>
      </c>
      <c r="L739" s="2">
        <v>6</v>
      </c>
      <c r="M739" t="str">
        <f>IF(Revv_bike_sales_data[[#This Row],[delivery_days]]&lt;=7, "Yes", "No")</f>
        <v>Yes</v>
      </c>
      <c r="N739" t="s">
        <v>16</v>
      </c>
      <c r="O739" s="2">
        <v>40266</v>
      </c>
    </row>
    <row r="740" spans="1:15" x14ac:dyDescent="0.3">
      <c r="A740" s="2">
        <v>730</v>
      </c>
      <c r="B740" s="1">
        <v>44957.375</v>
      </c>
      <c r="C740" s="1" t="str">
        <f t="shared" si="22"/>
        <v>01-2023</v>
      </c>
      <c r="D740" s="2">
        <f t="shared" si="23"/>
        <v>5</v>
      </c>
      <c r="E740" t="s">
        <v>25</v>
      </c>
      <c r="F740" t="s">
        <v>14</v>
      </c>
      <c r="G740" t="s">
        <v>21</v>
      </c>
      <c r="H740" s="2">
        <v>1859</v>
      </c>
      <c r="I740" s="2">
        <v>9</v>
      </c>
      <c r="J740" s="2">
        <v>146209</v>
      </c>
      <c r="K740" s="2">
        <v>112480</v>
      </c>
      <c r="L740" s="2">
        <v>7</v>
      </c>
      <c r="M740" t="str">
        <f>IF(Revv_bike_sales_data[[#This Row],[delivery_days]]&lt;=7, "Yes", "No")</f>
        <v>Yes</v>
      </c>
      <c r="N740" t="s">
        <v>16</v>
      </c>
      <c r="O740" s="2">
        <v>33729</v>
      </c>
    </row>
    <row r="741" spans="1:15" x14ac:dyDescent="0.3">
      <c r="A741" s="2">
        <v>731</v>
      </c>
      <c r="B741" s="1">
        <v>44957.416666666664</v>
      </c>
      <c r="C741" s="1" t="str">
        <f t="shared" si="22"/>
        <v>01-2023</v>
      </c>
      <c r="D741" s="2">
        <f t="shared" si="23"/>
        <v>5</v>
      </c>
      <c r="E741" t="s">
        <v>17</v>
      </c>
      <c r="F741" t="s">
        <v>14</v>
      </c>
      <c r="G741" t="s">
        <v>19</v>
      </c>
      <c r="H741" s="2">
        <v>90568</v>
      </c>
      <c r="I741" s="2">
        <v>4</v>
      </c>
      <c r="J741" s="2">
        <v>34907</v>
      </c>
      <c r="K741" s="2">
        <v>87427</v>
      </c>
      <c r="L741" s="2">
        <v>10</v>
      </c>
      <c r="M741" t="str">
        <f>IF(Revv_bike_sales_data[[#This Row],[delivery_days]]&lt;=7, "Yes", "No")</f>
        <v>No</v>
      </c>
      <c r="N741" t="s">
        <v>16</v>
      </c>
      <c r="O741" s="2">
        <v>-52520</v>
      </c>
    </row>
    <row r="742" spans="1:15" x14ac:dyDescent="0.3">
      <c r="A742" s="2">
        <v>732</v>
      </c>
      <c r="B742" s="1">
        <v>44957.458333333336</v>
      </c>
      <c r="C742" s="1" t="str">
        <f t="shared" si="22"/>
        <v>01-2023</v>
      </c>
      <c r="D742" s="2">
        <f t="shared" si="23"/>
        <v>5</v>
      </c>
      <c r="E742" t="s">
        <v>17</v>
      </c>
      <c r="F742" t="s">
        <v>14</v>
      </c>
      <c r="G742" t="s">
        <v>19</v>
      </c>
      <c r="H742" s="2">
        <v>60813</v>
      </c>
      <c r="I742" s="2">
        <v>3</v>
      </c>
      <c r="J742" s="2">
        <v>120825</v>
      </c>
      <c r="K742" s="2">
        <v>102513</v>
      </c>
      <c r="L742" s="2">
        <v>10</v>
      </c>
      <c r="M742" t="str">
        <f>IF(Revv_bike_sales_data[[#This Row],[delivery_days]]&lt;=7, "Yes", "No")</f>
        <v>No</v>
      </c>
      <c r="N742" t="s">
        <v>16</v>
      </c>
      <c r="O742" s="2">
        <v>18312</v>
      </c>
    </row>
    <row r="743" spans="1:15" x14ac:dyDescent="0.3">
      <c r="A743" s="2">
        <v>733</v>
      </c>
      <c r="B743" s="1">
        <v>44957.5</v>
      </c>
      <c r="C743" s="1" t="str">
        <f t="shared" si="22"/>
        <v>01-2023</v>
      </c>
      <c r="D743" s="2">
        <f t="shared" si="23"/>
        <v>5</v>
      </c>
      <c r="E743" t="s">
        <v>13</v>
      </c>
      <c r="F743" t="s">
        <v>14</v>
      </c>
      <c r="G743" t="s">
        <v>15</v>
      </c>
      <c r="H743" s="2">
        <v>20844</v>
      </c>
      <c r="I743" s="2">
        <v>0</v>
      </c>
      <c r="J743" s="2">
        <v>57780</v>
      </c>
      <c r="K743" s="2">
        <v>79014</v>
      </c>
      <c r="L743" s="2">
        <v>1</v>
      </c>
      <c r="M743" t="str">
        <f>IF(Revv_bike_sales_data[[#This Row],[delivery_days]]&lt;=7, "Yes", "No")</f>
        <v>Yes</v>
      </c>
      <c r="N743" t="s">
        <v>16</v>
      </c>
      <c r="O743" s="2">
        <v>-21234</v>
      </c>
    </row>
    <row r="744" spans="1:15" x14ac:dyDescent="0.3">
      <c r="A744" s="2">
        <v>734</v>
      </c>
      <c r="B744" s="1">
        <v>44957.541666666664</v>
      </c>
      <c r="C744" s="1" t="str">
        <f t="shared" si="22"/>
        <v>01-2023</v>
      </c>
      <c r="D744" s="2">
        <f t="shared" si="23"/>
        <v>5</v>
      </c>
      <c r="E744" t="s">
        <v>22</v>
      </c>
      <c r="F744" t="s">
        <v>14</v>
      </c>
      <c r="G744" t="s">
        <v>15</v>
      </c>
      <c r="H744" s="2">
        <v>70278</v>
      </c>
      <c r="I744" s="2">
        <v>3</v>
      </c>
      <c r="J744" s="2">
        <v>60085</v>
      </c>
      <c r="K744" s="2">
        <v>110887</v>
      </c>
      <c r="L744" s="2">
        <v>9</v>
      </c>
      <c r="M744" t="str">
        <f>IF(Revv_bike_sales_data[[#This Row],[delivery_days]]&lt;=7, "Yes", "No")</f>
        <v>No</v>
      </c>
      <c r="N744" t="s">
        <v>16</v>
      </c>
      <c r="O744" s="2">
        <v>-50802</v>
      </c>
    </row>
    <row r="745" spans="1:15" x14ac:dyDescent="0.3">
      <c r="A745" s="2">
        <v>735</v>
      </c>
      <c r="B745" s="1">
        <v>44957.583333333336</v>
      </c>
      <c r="C745" s="1" t="str">
        <f t="shared" si="22"/>
        <v>01-2023</v>
      </c>
      <c r="D745" s="2">
        <f t="shared" si="23"/>
        <v>5</v>
      </c>
      <c r="E745" t="s">
        <v>25</v>
      </c>
      <c r="F745" t="s">
        <v>14</v>
      </c>
      <c r="G745" t="s">
        <v>20</v>
      </c>
      <c r="H745" s="2">
        <v>21101</v>
      </c>
      <c r="I745" s="2">
        <v>3</v>
      </c>
      <c r="J745" s="2">
        <v>45426</v>
      </c>
      <c r="K745" s="2">
        <v>90852</v>
      </c>
      <c r="L745" s="2">
        <v>14</v>
      </c>
      <c r="M745" t="str">
        <f>IF(Revv_bike_sales_data[[#This Row],[delivery_days]]&lt;=7, "Yes", "No")</f>
        <v>No</v>
      </c>
      <c r="N745" t="s">
        <v>16</v>
      </c>
      <c r="O745" s="2">
        <v>-45426</v>
      </c>
    </row>
    <row r="746" spans="1:15" x14ac:dyDescent="0.3">
      <c r="A746" s="2">
        <v>736</v>
      </c>
      <c r="B746" s="1">
        <v>44957.625</v>
      </c>
      <c r="C746" s="1" t="str">
        <f t="shared" si="22"/>
        <v>01-2023</v>
      </c>
      <c r="D746" s="2">
        <f t="shared" si="23"/>
        <v>5</v>
      </c>
      <c r="E746" t="s">
        <v>22</v>
      </c>
      <c r="F746" t="s">
        <v>14</v>
      </c>
      <c r="G746" t="s">
        <v>20</v>
      </c>
      <c r="H746" s="2">
        <v>19616</v>
      </c>
      <c r="I746" s="2">
        <v>9</v>
      </c>
      <c r="J746" s="2">
        <v>32485</v>
      </c>
      <c r="K746" s="2">
        <v>70256</v>
      </c>
      <c r="L746" s="2">
        <v>8</v>
      </c>
      <c r="M746" t="str">
        <f>IF(Revv_bike_sales_data[[#This Row],[delivery_days]]&lt;=7, "Yes", "No")</f>
        <v>No</v>
      </c>
      <c r="N746" t="s">
        <v>16</v>
      </c>
      <c r="O746" s="2">
        <v>-37771</v>
      </c>
    </row>
    <row r="747" spans="1:15" x14ac:dyDescent="0.3">
      <c r="A747" s="2">
        <v>737</v>
      </c>
      <c r="B747" s="1">
        <v>44957.666666666664</v>
      </c>
      <c r="C747" s="1" t="str">
        <f t="shared" si="22"/>
        <v>01-2023</v>
      </c>
      <c r="D747" s="2">
        <f t="shared" si="23"/>
        <v>5</v>
      </c>
      <c r="E747" t="s">
        <v>25</v>
      </c>
      <c r="F747" t="s">
        <v>14</v>
      </c>
      <c r="G747" t="s">
        <v>19</v>
      </c>
      <c r="H747" s="2">
        <v>57485</v>
      </c>
      <c r="I747" s="2">
        <v>3</v>
      </c>
      <c r="J747" s="2">
        <v>74527</v>
      </c>
      <c r="K747" s="2">
        <v>133580</v>
      </c>
      <c r="L747" s="2">
        <v>7</v>
      </c>
      <c r="M747" t="str">
        <f>IF(Revv_bike_sales_data[[#This Row],[delivery_days]]&lt;=7, "Yes", "No")</f>
        <v>Yes</v>
      </c>
      <c r="N747" t="s">
        <v>16</v>
      </c>
      <c r="O747" s="2">
        <v>-59053</v>
      </c>
    </row>
    <row r="748" spans="1:15" x14ac:dyDescent="0.3">
      <c r="A748" s="2">
        <v>738</v>
      </c>
      <c r="B748" s="1">
        <v>44957.708333333336</v>
      </c>
      <c r="C748" s="1" t="str">
        <f t="shared" si="22"/>
        <v>01-2023</v>
      </c>
      <c r="D748" s="2">
        <f t="shared" si="23"/>
        <v>5</v>
      </c>
      <c r="E748" t="s">
        <v>13</v>
      </c>
      <c r="F748" t="s">
        <v>14</v>
      </c>
      <c r="G748" t="s">
        <v>20</v>
      </c>
      <c r="H748" s="2">
        <v>31282</v>
      </c>
      <c r="I748" s="2">
        <v>0</v>
      </c>
      <c r="J748" s="2">
        <v>149604</v>
      </c>
      <c r="K748" s="2">
        <v>113743</v>
      </c>
      <c r="L748" s="2">
        <v>9</v>
      </c>
      <c r="M748" t="str">
        <f>IF(Revv_bike_sales_data[[#This Row],[delivery_days]]&lt;=7, "Yes", "No")</f>
        <v>No</v>
      </c>
      <c r="N748" t="s">
        <v>24</v>
      </c>
      <c r="O748" s="2">
        <v>35861</v>
      </c>
    </row>
    <row r="749" spans="1:15" x14ac:dyDescent="0.3">
      <c r="A749" s="2">
        <v>739</v>
      </c>
      <c r="B749" s="1">
        <v>44957.75</v>
      </c>
      <c r="C749" s="1" t="str">
        <f t="shared" si="22"/>
        <v>01-2023</v>
      </c>
      <c r="D749" s="2">
        <f t="shared" si="23"/>
        <v>5</v>
      </c>
      <c r="E749" t="s">
        <v>13</v>
      </c>
      <c r="F749" t="s">
        <v>14</v>
      </c>
      <c r="G749" t="s">
        <v>21</v>
      </c>
      <c r="H749" s="2">
        <v>50319</v>
      </c>
      <c r="I749" s="2">
        <v>8</v>
      </c>
      <c r="J749" s="2">
        <v>116005</v>
      </c>
      <c r="K749" s="2">
        <v>73630</v>
      </c>
      <c r="L749" s="2">
        <v>3</v>
      </c>
      <c r="M749" t="str">
        <f>IF(Revv_bike_sales_data[[#This Row],[delivery_days]]&lt;=7, "Yes", "No")</f>
        <v>Yes</v>
      </c>
      <c r="N749" t="s">
        <v>16</v>
      </c>
      <c r="O749" s="2">
        <v>42375</v>
      </c>
    </row>
    <row r="750" spans="1:15" x14ac:dyDescent="0.3">
      <c r="A750" s="2">
        <v>740</v>
      </c>
      <c r="B750" s="1">
        <v>44957.791666666664</v>
      </c>
      <c r="C750" s="1" t="str">
        <f t="shared" si="22"/>
        <v>01-2023</v>
      </c>
      <c r="D750" s="2">
        <f t="shared" si="23"/>
        <v>5</v>
      </c>
      <c r="E750" t="s">
        <v>17</v>
      </c>
      <c r="F750" t="s">
        <v>14</v>
      </c>
      <c r="G750" t="s">
        <v>19</v>
      </c>
      <c r="H750" s="2">
        <v>84916</v>
      </c>
      <c r="I750" s="2">
        <v>2</v>
      </c>
      <c r="J750" s="2">
        <v>83528</v>
      </c>
      <c r="K750" s="2">
        <v>130896</v>
      </c>
      <c r="L750" s="2">
        <v>10</v>
      </c>
      <c r="M750" t="str">
        <f>IF(Revv_bike_sales_data[[#This Row],[delivery_days]]&lt;=7, "Yes", "No")</f>
        <v>No</v>
      </c>
      <c r="N750" t="s">
        <v>24</v>
      </c>
      <c r="O750" s="2">
        <v>-47368</v>
      </c>
    </row>
    <row r="751" spans="1:15" x14ac:dyDescent="0.3">
      <c r="A751" s="2">
        <v>741</v>
      </c>
      <c r="B751" s="1">
        <v>44957.833333333336</v>
      </c>
      <c r="C751" s="1" t="str">
        <f t="shared" si="22"/>
        <v>01-2023</v>
      </c>
      <c r="D751" s="2">
        <f t="shared" si="23"/>
        <v>5</v>
      </c>
      <c r="E751" t="s">
        <v>22</v>
      </c>
      <c r="F751" t="s">
        <v>14</v>
      </c>
      <c r="G751" t="s">
        <v>19</v>
      </c>
      <c r="H751" s="2">
        <v>69535</v>
      </c>
      <c r="I751" s="2">
        <v>3</v>
      </c>
      <c r="J751" s="2">
        <v>145631</v>
      </c>
      <c r="K751" s="2">
        <v>106190</v>
      </c>
      <c r="L751" s="2">
        <v>4</v>
      </c>
      <c r="M751" t="str">
        <f>IF(Revv_bike_sales_data[[#This Row],[delivery_days]]&lt;=7, "Yes", "No")</f>
        <v>Yes</v>
      </c>
      <c r="N751" t="s">
        <v>16</v>
      </c>
      <c r="O751" s="2">
        <v>39441</v>
      </c>
    </row>
    <row r="752" spans="1:15" x14ac:dyDescent="0.3">
      <c r="A752" s="2">
        <v>742</v>
      </c>
      <c r="B752" s="1">
        <v>44957.875</v>
      </c>
      <c r="C752" s="1" t="str">
        <f t="shared" si="22"/>
        <v>01-2023</v>
      </c>
      <c r="D752" s="2">
        <f t="shared" si="23"/>
        <v>5</v>
      </c>
      <c r="E752" t="s">
        <v>17</v>
      </c>
      <c r="F752" t="s">
        <v>23</v>
      </c>
      <c r="G752" t="s">
        <v>21</v>
      </c>
      <c r="H752" s="2">
        <v>97623</v>
      </c>
      <c r="I752" s="2">
        <v>4</v>
      </c>
      <c r="J752" s="2">
        <v>52799</v>
      </c>
      <c r="K752" s="2">
        <v>77771</v>
      </c>
      <c r="L752" s="2">
        <v>7</v>
      </c>
      <c r="M752" t="str">
        <f>IF(Revv_bike_sales_data[[#This Row],[delivery_days]]&lt;=7, "Yes", "No")</f>
        <v>Yes</v>
      </c>
      <c r="N752" t="s">
        <v>16</v>
      </c>
      <c r="O752" s="2">
        <v>-24972</v>
      </c>
    </row>
    <row r="753" spans="1:15" x14ac:dyDescent="0.3">
      <c r="A753" s="2">
        <v>743</v>
      </c>
      <c r="B753" s="1">
        <v>44957.916666666664</v>
      </c>
      <c r="C753" s="1" t="str">
        <f t="shared" si="22"/>
        <v>01-2023</v>
      </c>
      <c r="D753" s="2">
        <f t="shared" si="23"/>
        <v>5</v>
      </c>
      <c r="E753" t="s">
        <v>22</v>
      </c>
      <c r="F753" t="s">
        <v>14</v>
      </c>
      <c r="G753" t="s">
        <v>15</v>
      </c>
      <c r="H753" s="2">
        <v>44958</v>
      </c>
      <c r="I753" s="2">
        <v>6</v>
      </c>
      <c r="J753" s="2">
        <v>172159</v>
      </c>
      <c r="K753" s="2">
        <v>66715</v>
      </c>
      <c r="L753" s="2">
        <v>6</v>
      </c>
      <c r="M753" t="str">
        <f>IF(Revv_bike_sales_data[[#This Row],[delivery_days]]&lt;=7, "Yes", "No")</f>
        <v>Yes</v>
      </c>
      <c r="N753" t="s">
        <v>16</v>
      </c>
      <c r="O753" s="2">
        <v>105444</v>
      </c>
    </row>
    <row r="754" spans="1:15" x14ac:dyDescent="0.3">
      <c r="A754" s="2">
        <v>744</v>
      </c>
      <c r="B754" s="1">
        <v>44957.958333333336</v>
      </c>
      <c r="C754" s="1" t="str">
        <f t="shared" si="22"/>
        <v>01-2023</v>
      </c>
      <c r="D754" s="2">
        <f t="shared" si="23"/>
        <v>5</v>
      </c>
      <c r="E754" t="s">
        <v>17</v>
      </c>
      <c r="F754" t="s">
        <v>14</v>
      </c>
      <c r="G754" t="s">
        <v>15</v>
      </c>
      <c r="H754" s="2">
        <v>92056</v>
      </c>
      <c r="I754" s="2">
        <v>5</v>
      </c>
      <c r="J754" s="2">
        <v>163518</v>
      </c>
      <c r="K754" s="2">
        <v>22466</v>
      </c>
      <c r="L754" s="2">
        <v>14</v>
      </c>
      <c r="M754" t="str">
        <f>IF(Revv_bike_sales_data[[#This Row],[delivery_days]]&lt;=7, "Yes", "No")</f>
        <v>No</v>
      </c>
      <c r="N754" t="s">
        <v>16</v>
      </c>
      <c r="O754" s="2">
        <v>141052</v>
      </c>
    </row>
    <row r="755" spans="1:15" x14ac:dyDescent="0.3">
      <c r="A755" s="2">
        <v>745</v>
      </c>
      <c r="B755" s="1">
        <v>44958</v>
      </c>
      <c r="C755" s="1" t="str">
        <f t="shared" si="22"/>
        <v>02-2023</v>
      </c>
      <c r="D755" s="2">
        <f t="shared" si="23"/>
        <v>5</v>
      </c>
      <c r="E755" t="s">
        <v>18</v>
      </c>
      <c r="F755" t="s">
        <v>14</v>
      </c>
      <c r="G755" t="s">
        <v>21</v>
      </c>
      <c r="H755" s="2">
        <v>8580</v>
      </c>
      <c r="I755" s="2">
        <v>4</v>
      </c>
      <c r="J755" s="2">
        <v>119817</v>
      </c>
      <c r="K755" s="2">
        <v>32637</v>
      </c>
      <c r="L755" s="2">
        <v>13</v>
      </c>
      <c r="M755" t="str">
        <f>IF(Revv_bike_sales_data[[#This Row],[delivery_days]]&lt;=7, "Yes", "No")</f>
        <v>No</v>
      </c>
      <c r="N755" t="s">
        <v>16</v>
      </c>
      <c r="O755" s="2">
        <v>87180</v>
      </c>
    </row>
    <row r="756" spans="1:15" x14ac:dyDescent="0.3">
      <c r="A756" s="2">
        <v>746</v>
      </c>
      <c r="B756" s="1">
        <v>44958.041666666664</v>
      </c>
      <c r="C756" s="1" t="str">
        <f t="shared" si="22"/>
        <v>02-2023</v>
      </c>
      <c r="D756" s="2">
        <f t="shared" si="23"/>
        <v>5</v>
      </c>
      <c r="E756" t="s">
        <v>18</v>
      </c>
      <c r="F756" t="s">
        <v>14</v>
      </c>
      <c r="G756" t="s">
        <v>21</v>
      </c>
      <c r="H756" s="2">
        <v>89243</v>
      </c>
      <c r="I756" s="2">
        <v>7</v>
      </c>
      <c r="J756" s="2">
        <v>83260</v>
      </c>
      <c r="K756" s="2">
        <v>83745</v>
      </c>
      <c r="L756" s="2">
        <v>2</v>
      </c>
      <c r="M756" t="str">
        <f>IF(Revv_bike_sales_data[[#This Row],[delivery_days]]&lt;=7, "Yes", "No")</f>
        <v>Yes</v>
      </c>
      <c r="N756" t="s">
        <v>16</v>
      </c>
      <c r="O756" s="2">
        <v>-485</v>
      </c>
    </row>
    <row r="757" spans="1:15" x14ac:dyDescent="0.3">
      <c r="A757" s="2">
        <v>747</v>
      </c>
      <c r="B757" s="1">
        <v>44958.083333333336</v>
      </c>
      <c r="C757" s="1" t="str">
        <f t="shared" si="22"/>
        <v>02-2023</v>
      </c>
      <c r="D757" s="2">
        <f t="shared" si="23"/>
        <v>5</v>
      </c>
      <c r="E757" t="s">
        <v>18</v>
      </c>
      <c r="F757" t="s">
        <v>14</v>
      </c>
      <c r="G757" t="s">
        <v>20</v>
      </c>
      <c r="H757" s="2">
        <v>34457</v>
      </c>
      <c r="I757" s="2">
        <v>0</v>
      </c>
      <c r="J757" s="2">
        <v>170949</v>
      </c>
      <c r="K757" s="2">
        <v>51317</v>
      </c>
      <c r="L757" s="2">
        <v>2</v>
      </c>
      <c r="M757" t="str">
        <f>IF(Revv_bike_sales_data[[#This Row],[delivery_days]]&lt;=7, "Yes", "No")</f>
        <v>Yes</v>
      </c>
      <c r="N757" t="s">
        <v>16</v>
      </c>
      <c r="O757" s="2">
        <v>119632</v>
      </c>
    </row>
    <row r="758" spans="1:15" x14ac:dyDescent="0.3">
      <c r="A758" s="2">
        <v>748</v>
      </c>
      <c r="B758" s="1">
        <v>44958.125</v>
      </c>
      <c r="C758" s="1" t="str">
        <f t="shared" si="22"/>
        <v>02-2023</v>
      </c>
      <c r="D758" s="2">
        <f t="shared" si="23"/>
        <v>5</v>
      </c>
      <c r="E758" t="s">
        <v>18</v>
      </c>
      <c r="F758" t="s">
        <v>14</v>
      </c>
      <c r="G758" t="s">
        <v>19</v>
      </c>
      <c r="H758" s="2">
        <v>14408</v>
      </c>
      <c r="I758" s="2">
        <v>6</v>
      </c>
      <c r="J758" s="2">
        <v>37943</v>
      </c>
      <c r="K758" s="2">
        <v>64766</v>
      </c>
      <c r="L758" s="2">
        <v>10</v>
      </c>
      <c r="M758" t="str">
        <f>IF(Revv_bike_sales_data[[#This Row],[delivery_days]]&lt;=7, "Yes", "No")</f>
        <v>No</v>
      </c>
      <c r="N758" t="s">
        <v>16</v>
      </c>
      <c r="O758" s="2">
        <v>-26823</v>
      </c>
    </row>
    <row r="759" spans="1:15" x14ac:dyDescent="0.3">
      <c r="A759" s="2">
        <v>749</v>
      </c>
      <c r="B759" s="1">
        <v>44958.166666666664</v>
      </c>
      <c r="C759" s="1" t="str">
        <f t="shared" si="22"/>
        <v>02-2023</v>
      </c>
      <c r="D759" s="2">
        <f t="shared" si="23"/>
        <v>5</v>
      </c>
      <c r="E759" t="s">
        <v>25</v>
      </c>
      <c r="F759" t="s">
        <v>14</v>
      </c>
      <c r="G759" t="s">
        <v>20</v>
      </c>
      <c r="H759" s="2">
        <v>96688</v>
      </c>
      <c r="I759" s="2">
        <v>5</v>
      </c>
      <c r="J759" s="2">
        <v>166378</v>
      </c>
      <c r="K759" s="2">
        <v>18078</v>
      </c>
      <c r="L759" s="2">
        <v>7</v>
      </c>
      <c r="M759" t="str">
        <f>IF(Revv_bike_sales_data[[#This Row],[delivery_days]]&lt;=7, "Yes", "No")</f>
        <v>Yes</v>
      </c>
      <c r="N759" t="s">
        <v>16</v>
      </c>
      <c r="O759" s="2">
        <v>148300</v>
      </c>
    </row>
    <row r="760" spans="1:15" x14ac:dyDescent="0.3">
      <c r="A760" s="2">
        <v>750</v>
      </c>
      <c r="B760" s="1">
        <v>44958.208333333336</v>
      </c>
      <c r="C760" s="1" t="str">
        <f t="shared" si="22"/>
        <v>02-2023</v>
      </c>
      <c r="D760" s="2">
        <f t="shared" si="23"/>
        <v>5</v>
      </c>
      <c r="E760" t="s">
        <v>18</v>
      </c>
      <c r="F760" t="s">
        <v>14</v>
      </c>
      <c r="G760" t="s">
        <v>21</v>
      </c>
      <c r="H760" s="2">
        <v>96380</v>
      </c>
      <c r="I760" s="2">
        <v>4</v>
      </c>
      <c r="J760" s="2">
        <v>146401</v>
      </c>
      <c r="K760" s="2">
        <v>42299</v>
      </c>
      <c r="L760" s="2">
        <v>9</v>
      </c>
      <c r="M760" t="str">
        <f>IF(Revv_bike_sales_data[[#This Row],[delivery_days]]&lt;=7, "Yes", "No")</f>
        <v>No</v>
      </c>
      <c r="N760" t="s">
        <v>16</v>
      </c>
      <c r="O760" s="2">
        <v>104102</v>
      </c>
    </row>
    <row r="761" spans="1:15" x14ac:dyDescent="0.3">
      <c r="A761" s="2">
        <v>751</v>
      </c>
      <c r="B761" s="1">
        <v>44958.25</v>
      </c>
      <c r="C761" s="1" t="str">
        <f t="shared" si="22"/>
        <v>02-2023</v>
      </c>
      <c r="D761" s="2">
        <f t="shared" si="23"/>
        <v>5</v>
      </c>
      <c r="E761" t="s">
        <v>13</v>
      </c>
      <c r="F761" t="s">
        <v>14</v>
      </c>
      <c r="G761" t="s">
        <v>20</v>
      </c>
      <c r="H761" s="2">
        <v>91070</v>
      </c>
      <c r="I761" s="2">
        <v>6</v>
      </c>
      <c r="J761" s="2">
        <v>176527</v>
      </c>
      <c r="K761" s="2">
        <v>116794</v>
      </c>
      <c r="L761" s="2">
        <v>11</v>
      </c>
      <c r="M761" t="str">
        <f>IF(Revv_bike_sales_data[[#This Row],[delivery_days]]&lt;=7, "Yes", "No")</f>
        <v>No</v>
      </c>
      <c r="N761" t="s">
        <v>16</v>
      </c>
      <c r="O761" s="2">
        <v>59733</v>
      </c>
    </row>
    <row r="762" spans="1:15" x14ac:dyDescent="0.3">
      <c r="A762" s="2">
        <v>752</v>
      </c>
      <c r="B762" s="1">
        <v>44958.291666666664</v>
      </c>
      <c r="C762" s="1" t="str">
        <f t="shared" si="22"/>
        <v>02-2023</v>
      </c>
      <c r="D762" s="2">
        <f t="shared" si="23"/>
        <v>5</v>
      </c>
      <c r="E762" t="s">
        <v>13</v>
      </c>
      <c r="F762" t="s">
        <v>14</v>
      </c>
      <c r="G762" t="s">
        <v>21</v>
      </c>
      <c r="H762" s="2">
        <v>91824</v>
      </c>
      <c r="I762" s="2">
        <v>2</v>
      </c>
      <c r="J762" s="2">
        <v>52371</v>
      </c>
      <c r="K762" s="2">
        <v>18543</v>
      </c>
      <c r="L762" s="2">
        <v>12</v>
      </c>
      <c r="M762" t="str">
        <f>IF(Revv_bike_sales_data[[#This Row],[delivery_days]]&lt;=7, "Yes", "No")</f>
        <v>No</v>
      </c>
      <c r="N762" t="s">
        <v>16</v>
      </c>
      <c r="O762" s="2">
        <v>33828</v>
      </c>
    </row>
    <row r="763" spans="1:15" x14ac:dyDescent="0.3">
      <c r="A763" s="2">
        <v>753</v>
      </c>
      <c r="B763" s="1">
        <v>44958.333333333336</v>
      </c>
      <c r="C763" s="1" t="str">
        <f t="shared" si="22"/>
        <v>02-2023</v>
      </c>
      <c r="D763" s="2">
        <f t="shared" si="23"/>
        <v>5</v>
      </c>
      <c r="E763" t="s">
        <v>25</v>
      </c>
      <c r="F763" t="s">
        <v>14</v>
      </c>
      <c r="G763" t="s">
        <v>20</v>
      </c>
      <c r="H763" s="2">
        <v>78787</v>
      </c>
      <c r="I763" s="2">
        <v>0</v>
      </c>
      <c r="J763" s="2">
        <v>123746</v>
      </c>
      <c r="K763" s="2">
        <v>137790</v>
      </c>
      <c r="L763" s="2">
        <v>9</v>
      </c>
      <c r="M763" t="str">
        <f>IF(Revv_bike_sales_data[[#This Row],[delivery_days]]&lt;=7, "Yes", "No")</f>
        <v>No</v>
      </c>
      <c r="N763" t="s">
        <v>16</v>
      </c>
      <c r="O763" s="2">
        <v>-14044</v>
      </c>
    </row>
    <row r="764" spans="1:15" x14ac:dyDescent="0.3">
      <c r="A764" s="2">
        <v>754</v>
      </c>
      <c r="B764" s="1">
        <v>44958.375</v>
      </c>
      <c r="C764" s="1" t="str">
        <f t="shared" si="22"/>
        <v>02-2023</v>
      </c>
      <c r="D764" s="2">
        <f t="shared" si="23"/>
        <v>5</v>
      </c>
      <c r="E764" t="s">
        <v>18</v>
      </c>
      <c r="F764" t="s">
        <v>14</v>
      </c>
      <c r="G764" t="s">
        <v>20</v>
      </c>
      <c r="H764" s="2">
        <v>47982</v>
      </c>
      <c r="I764" s="2">
        <v>8</v>
      </c>
      <c r="J764" s="2">
        <v>126248</v>
      </c>
      <c r="K764" s="2">
        <v>109627</v>
      </c>
      <c r="L764" s="2">
        <v>7</v>
      </c>
      <c r="M764" t="str">
        <f>IF(Revv_bike_sales_data[[#This Row],[delivery_days]]&lt;=7, "Yes", "No")</f>
        <v>Yes</v>
      </c>
      <c r="N764" t="s">
        <v>24</v>
      </c>
      <c r="O764" s="2">
        <v>16621</v>
      </c>
    </row>
    <row r="765" spans="1:15" x14ac:dyDescent="0.3">
      <c r="A765" s="2">
        <v>755</v>
      </c>
      <c r="B765" s="1">
        <v>44958.416666666664</v>
      </c>
      <c r="C765" s="1" t="str">
        <f t="shared" si="22"/>
        <v>02-2023</v>
      </c>
      <c r="D765" s="2">
        <f t="shared" si="23"/>
        <v>5</v>
      </c>
      <c r="E765" t="s">
        <v>18</v>
      </c>
      <c r="F765" t="s">
        <v>23</v>
      </c>
      <c r="G765" t="s">
        <v>15</v>
      </c>
      <c r="H765" s="2">
        <v>99829</v>
      </c>
      <c r="I765" s="2">
        <v>1</v>
      </c>
      <c r="J765" s="2">
        <v>160008</v>
      </c>
      <c r="K765" s="2">
        <v>66052</v>
      </c>
      <c r="L765" s="2">
        <v>11</v>
      </c>
      <c r="M765" t="str">
        <f>IF(Revv_bike_sales_data[[#This Row],[delivery_days]]&lt;=7, "Yes", "No")</f>
        <v>No</v>
      </c>
      <c r="N765" t="s">
        <v>24</v>
      </c>
      <c r="O765" s="2">
        <v>93956</v>
      </c>
    </row>
    <row r="766" spans="1:15" x14ac:dyDescent="0.3">
      <c r="A766" s="2">
        <v>756</v>
      </c>
      <c r="B766" s="1">
        <v>44958.458333333336</v>
      </c>
      <c r="C766" s="1" t="str">
        <f t="shared" si="22"/>
        <v>02-2023</v>
      </c>
      <c r="D766" s="2">
        <f t="shared" si="23"/>
        <v>5</v>
      </c>
      <c r="E766" t="s">
        <v>18</v>
      </c>
      <c r="F766" t="s">
        <v>14</v>
      </c>
      <c r="G766" t="s">
        <v>21</v>
      </c>
      <c r="H766" s="2">
        <v>98875</v>
      </c>
      <c r="I766" s="2">
        <v>9</v>
      </c>
      <c r="J766" s="2">
        <v>50727</v>
      </c>
      <c r="K766" s="2">
        <v>109483</v>
      </c>
      <c r="L766" s="2">
        <v>8</v>
      </c>
      <c r="M766" t="str">
        <f>IF(Revv_bike_sales_data[[#This Row],[delivery_days]]&lt;=7, "Yes", "No")</f>
        <v>No</v>
      </c>
      <c r="N766" t="s">
        <v>16</v>
      </c>
      <c r="O766" s="2">
        <v>-58756</v>
      </c>
    </row>
    <row r="767" spans="1:15" x14ac:dyDescent="0.3">
      <c r="A767" s="2">
        <v>757</v>
      </c>
      <c r="B767" s="1">
        <v>44958.5</v>
      </c>
      <c r="C767" s="1" t="str">
        <f t="shared" si="22"/>
        <v>02-2023</v>
      </c>
      <c r="D767" s="2">
        <f t="shared" si="23"/>
        <v>5</v>
      </c>
      <c r="E767" t="s">
        <v>17</v>
      </c>
      <c r="F767" t="s">
        <v>14</v>
      </c>
      <c r="G767" t="s">
        <v>20</v>
      </c>
      <c r="H767" s="2">
        <v>38814</v>
      </c>
      <c r="I767" s="2">
        <v>2</v>
      </c>
      <c r="J767" s="2">
        <v>139000</v>
      </c>
      <c r="K767" s="2">
        <v>37064</v>
      </c>
      <c r="L767" s="2">
        <v>10</v>
      </c>
      <c r="M767" t="str">
        <f>IF(Revv_bike_sales_data[[#This Row],[delivery_days]]&lt;=7, "Yes", "No")</f>
        <v>No</v>
      </c>
      <c r="N767" t="s">
        <v>16</v>
      </c>
      <c r="O767" s="2">
        <v>101936</v>
      </c>
    </row>
    <row r="768" spans="1:15" x14ac:dyDescent="0.3">
      <c r="A768" s="2">
        <v>758</v>
      </c>
      <c r="B768" s="1">
        <v>44958.541666666664</v>
      </c>
      <c r="C768" s="1" t="str">
        <f t="shared" si="22"/>
        <v>02-2023</v>
      </c>
      <c r="D768" s="2">
        <f t="shared" si="23"/>
        <v>5</v>
      </c>
      <c r="E768" t="s">
        <v>22</v>
      </c>
      <c r="F768" t="s">
        <v>14</v>
      </c>
      <c r="G768" t="s">
        <v>19</v>
      </c>
      <c r="H768" s="2">
        <v>75421</v>
      </c>
      <c r="I768" s="2">
        <v>7</v>
      </c>
      <c r="J768" s="2">
        <v>88969</v>
      </c>
      <c r="K768" s="2">
        <v>87287</v>
      </c>
      <c r="L768" s="2">
        <v>3</v>
      </c>
      <c r="M768" t="str">
        <f>IF(Revv_bike_sales_data[[#This Row],[delivery_days]]&lt;=7, "Yes", "No")</f>
        <v>Yes</v>
      </c>
      <c r="N768" t="s">
        <v>16</v>
      </c>
      <c r="O768" s="2">
        <v>1682</v>
      </c>
    </row>
    <row r="769" spans="1:15" x14ac:dyDescent="0.3">
      <c r="A769" s="2">
        <v>759</v>
      </c>
      <c r="B769" s="1">
        <v>44958.583333333336</v>
      </c>
      <c r="C769" s="1" t="str">
        <f t="shared" si="22"/>
        <v>02-2023</v>
      </c>
      <c r="D769" s="2">
        <f t="shared" si="23"/>
        <v>5</v>
      </c>
      <c r="E769" t="s">
        <v>17</v>
      </c>
      <c r="F769" t="s">
        <v>23</v>
      </c>
      <c r="G769" t="s">
        <v>20</v>
      </c>
      <c r="H769" s="2">
        <v>84268</v>
      </c>
      <c r="I769" s="2">
        <v>9</v>
      </c>
      <c r="J769" s="2">
        <v>93531</v>
      </c>
      <c r="K769" s="2">
        <v>95442</v>
      </c>
      <c r="L769" s="2">
        <v>1</v>
      </c>
      <c r="M769" t="str">
        <f>IF(Revv_bike_sales_data[[#This Row],[delivery_days]]&lt;=7, "Yes", "No")</f>
        <v>Yes</v>
      </c>
      <c r="N769" t="s">
        <v>16</v>
      </c>
      <c r="O769" s="2">
        <v>-1911</v>
      </c>
    </row>
    <row r="770" spans="1:15" x14ac:dyDescent="0.3">
      <c r="A770" s="2">
        <v>760</v>
      </c>
      <c r="B770" s="1">
        <v>44958.625</v>
      </c>
      <c r="C770" s="1" t="str">
        <f t="shared" si="22"/>
        <v>02-2023</v>
      </c>
      <c r="D770" s="2">
        <f t="shared" si="23"/>
        <v>5</v>
      </c>
      <c r="E770" t="s">
        <v>22</v>
      </c>
      <c r="F770" t="s">
        <v>14</v>
      </c>
      <c r="G770" t="s">
        <v>20</v>
      </c>
      <c r="H770" s="2">
        <v>16331</v>
      </c>
      <c r="I770" s="2">
        <v>8</v>
      </c>
      <c r="J770" s="2">
        <v>64097</v>
      </c>
      <c r="K770" s="2">
        <v>135550</v>
      </c>
      <c r="L770" s="2">
        <v>7</v>
      </c>
      <c r="M770" t="str">
        <f>IF(Revv_bike_sales_data[[#This Row],[delivery_days]]&lt;=7, "Yes", "No")</f>
        <v>Yes</v>
      </c>
      <c r="N770" t="s">
        <v>16</v>
      </c>
      <c r="O770" s="2">
        <v>-71453</v>
      </c>
    </row>
    <row r="771" spans="1:15" x14ac:dyDescent="0.3">
      <c r="A771" s="2">
        <v>761</v>
      </c>
      <c r="B771" s="1">
        <v>44958.666666666664</v>
      </c>
      <c r="C771" s="1" t="str">
        <f t="shared" si="22"/>
        <v>02-2023</v>
      </c>
      <c r="D771" s="2">
        <f t="shared" si="23"/>
        <v>5</v>
      </c>
      <c r="E771" t="s">
        <v>18</v>
      </c>
      <c r="F771" t="s">
        <v>14</v>
      </c>
      <c r="G771" t="s">
        <v>19</v>
      </c>
      <c r="H771" s="2">
        <v>20625</v>
      </c>
      <c r="I771" s="2">
        <v>2</v>
      </c>
      <c r="J771" s="2">
        <v>75859</v>
      </c>
      <c r="K771" s="2">
        <v>98632</v>
      </c>
      <c r="L771" s="2">
        <v>8</v>
      </c>
      <c r="M771" t="str">
        <f>IF(Revv_bike_sales_data[[#This Row],[delivery_days]]&lt;=7, "Yes", "No")</f>
        <v>No</v>
      </c>
      <c r="N771" t="s">
        <v>24</v>
      </c>
      <c r="O771" s="2">
        <v>-22773</v>
      </c>
    </row>
    <row r="772" spans="1:15" x14ac:dyDescent="0.3">
      <c r="A772" s="2">
        <v>762</v>
      </c>
      <c r="B772" s="1">
        <v>44958.708333333336</v>
      </c>
      <c r="C772" s="1" t="str">
        <f t="shared" si="22"/>
        <v>02-2023</v>
      </c>
      <c r="D772" s="2">
        <f t="shared" si="23"/>
        <v>5</v>
      </c>
      <c r="E772" t="s">
        <v>18</v>
      </c>
      <c r="F772" t="s">
        <v>14</v>
      </c>
      <c r="G772" t="s">
        <v>21</v>
      </c>
      <c r="H772" s="2">
        <v>62951</v>
      </c>
      <c r="I772" s="2">
        <v>5</v>
      </c>
      <c r="J772" s="2">
        <v>178222</v>
      </c>
      <c r="K772" s="2">
        <v>29425</v>
      </c>
      <c r="L772" s="2">
        <v>2</v>
      </c>
      <c r="M772" t="str">
        <f>IF(Revv_bike_sales_data[[#This Row],[delivery_days]]&lt;=7, "Yes", "No")</f>
        <v>Yes</v>
      </c>
      <c r="N772" t="s">
        <v>16</v>
      </c>
      <c r="O772" s="2">
        <v>148797</v>
      </c>
    </row>
    <row r="773" spans="1:15" x14ac:dyDescent="0.3">
      <c r="A773" s="2">
        <v>763</v>
      </c>
      <c r="B773" s="1">
        <v>44958.75</v>
      </c>
      <c r="C773" s="1" t="str">
        <f t="shared" si="22"/>
        <v>02-2023</v>
      </c>
      <c r="D773" s="2">
        <f t="shared" si="23"/>
        <v>5</v>
      </c>
      <c r="E773" t="s">
        <v>17</v>
      </c>
      <c r="F773" t="s">
        <v>14</v>
      </c>
      <c r="G773" t="s">
        <v>15</v>
      </c>
      <c r="H773" s="2">
        <v>46208</v>
      </c>
      <c r="I773" s="2">
        <v>6</v>
      </c>
      <c r="J773" s="2">
        <v>178133</v>
      </c>
      <c r="K773" s="2">
        <v>66481</v>
      </c>
      <c r="L773" s="2">
        <v>9</v>
      </c>
      <c r="M773" t="str">
        <f>IF(Revv_bike_sales_data[[#This Row],[delivery_days]]&lt;=7, "Yes", "No")</f>
        <v>No</v>
      </c>
      <c r="N773" t="s">
        <v>16</v>
      </c>
      <c r="O773" s="2">
        <v>111652</v>
      </c>
    </row>
    <row r="774" spans="1:15" x14ac:dyDescent="0.3">
      <c r="A774" s="2">
        <v>764</v>
      </c>
      <c r="B774" s="1">
        <v>44958.791666666664</v>
      </c>
      <c r="C774" s="1" t="str">
        <f t="shared" si="22"/>
        <v>02-2023</v>
      </c>
      <c r="D774" s="2">
        <f t="shared" si="23"/>
        <v>5</v>
      </c>
      <c r="E774" t="s">
        <v>17</v>
      </c>
      <c r="F774" t="s">
        <v>14</v>
      </c>
      <c r="G774" t="s">
        <v>15</v>
      </c>
      <c r="H774" s="2">
        <v>18182</v>
      </c>
      <c r="I774" s="2">
        <v>0</v>
      </c>
      <c r="J774" s="2">
        <v>81790</v>
      </c>
      <c r="K774" s="2">
        <v>92347</v>
      </c>
      <c r="L774" s="2">
        <v>4</v>
      </c>
      <c r="M774" t="str">
        <f>IF(Revv_bike_sales_data[[#This Row],[delivery_days]]&lt;=7, "Yes", "No")</f>
        <v>Yes</v>
      </c>
      <c r="N774" t="s">
        <v>16</v>
      </c>
      <c r="O774" s="2">
        <v>-10557</v>
      </c>
    </row>
    <row r="775" spans="1:15" x14ac:dyDescent="0.3">
      <c r="A775" s="2">
        <v>765</v>
      </c>
      <c r="B775" s="1">
        <v>44958.833333333336</v>
      </c>
      <c r="C775" s="1" t="str">
        <f t="shared" si="22"/>
        <v>02-2023</v>
      </c>
      <c r="D775" s="2">
        <f t="shared" si="23"/>
        <v>5</v>
      </c>
      <c r="E775" t="s">
        <v>22</v>
      </c>
      <c r="F775" t="s">
        <v>14</v>
      </c>
      <c r="G775" t="s">
        <v>15</v>
      </c>
      <c r="H775" s="2">
        <v>83324</v>
      </c>
      <c r="I775" s="2">
        <v>6</v>
      </c>
      <c r="J775" s="2">
        <v>90696</v>
      </c>
      <c r="K775" s="2">
        <v>98114</v>
      </c>
      <c r="L775" s="2">
        <v>10</v>
      </c>
      <c r="M775" t="str">
        <f>IF(Revv_bike_sales_data[[#This Row],[delivery_days]]&lt;=7, "Yes", "No")</f>
        <v>No</v>
      </c>
      <c r="N775" t="s">
        <v>16</v>
      </c>
      <c r="O775" s="2">
        <v>-7418</v>
      </c>
    </row>
    <row r="776" spans="1:15" x14ac:dyDescent="0.3">
      <c r="A776" s="2">
        <v>766</v>
      </c>
      <c r="B776" s="1">
        <v>44958.875</v>
      </c>
      <c r="C776" s="1" t="str">
        <f t="shared" si="22"/>
        <v>02-2023</v>
      </c>
      <c r="D776" s="2">
        <f t="shared" si="23"/>
        <v>5</v>
      </c>
      <c r="E776" t="s">
        <v>13</v>
      </c>
      <c r="F776" t="s">
        <v>14</v>
      </c>
      <c r="G776" t="s">
        <v>19</v>
      </c>
      <c r="H776" s="2">
        <v>36294</v>
      </c>
      <c r="I776" s="2">
        <v>3</v>
      </c>
      <c r="J776" s="2">
        <v>40648</v>
      </c>
      <c r="K776" s="2">
        <v>87317</v>
      </c>
      <c r="L776" s="2">
        <v>11</v>
      </c>
      <c r="M776" t="str">
        <f>IF(Revv_bike_sales_data[[#This Row],[delivery_days]]&lt;=7, "Yes", "No")</f>
        <v>No</v>
      </c>
      <c r="N776" t="s">
        <v>16</v>
      </c>
      <c r="O776" s="2">
        <v>-46669</v>
      </c>
    </row>
    <row r="777" spans="1:15" x14ac:dyDescent="0.3">
      <c r="A777" s="2">
        <v>767</v>
      </c>
      <c r="B777" s="1">
        <v>44958.916666666664</v>
      </c>
      <c r="C777" s="1" t="str">
        <f t="shared" si="22"/>
        <v>02-2023</v>
      </c>
      <c r="D777" s="2">
        <f t="shared" si="23"/>
        <v>5</v>
      </c>
      <c r="E777" t="s">
        <v>22</v>
      </c>
      <c r="F777" t="s">
        <v>14</v>
      </c>
      <c r="G777" t="s">
        <v>20</v>
      </c>
      <c r="H777" s="2">
        <v>59872</v>
      </c>
      <c r="I777" s="2">
        <v>4</v>
      </c>
      <c r="J777" s="2">
        <v>86779</v>
      </c>
      <c r="K777" s="2">
        <v>137850</v>
      </c>
      <c r="L777" s="2">
        <v>9</v>
      </c>
      <c r="M777" t="str">
        <f>IF(Revv_bike_sales_data[[#This Row],[delivery_days]]&lt;=7, "Yes", "No")</f>
        <v>No</v>
      </c>
      <c r="N777" t="s">
        <v>16</v>
      </c>
      <c r="O777" s="2">
        <v>-51071</v>
      </c>
    </row>
    <row r="778" spans="1:15" x14ac:dyDescent="0.3">
      <c r="A778" s="2">
        <v>768</v>
      </c>
      <c r="B778" s="1">
        <v>44958.958333333336</v>
      </c>
      <c r="C778" s="1" t="str">
        <f t="shared" si="22"/>
        <v>02-2023</v>
      </c>
      <c r="D778" s="2">
        <f t="shared" si="23"/>
        <v>5</v>
      </c>
      <c r="E778" t="s">
        <v>17</v>
      </c>
      <c r="F778" t="s">
        <v>23</v>
      </c>
      <c r="G778" t="s">
        <v>21</v>
      </c>
      <c r="H778" s="2">
        <v>39977</v>
      </c>
      <c r="I778" s="2">
        <v>7</v>
      </c>
      <c r="J778" s="2">
        <v>131371</v>
      </c>
      <c r="K778" s="2">
        <v>101826</v>
      </c>
      <c r="L778" s="2">
        <v>13</v>
      </c>
      <c r="M778" t="str">
        <f>IF(Revv_bike_sales_data[[#This Row],[delivery_days]]&lt;=7, "Yes", "No")</f>
        <v>No</v>
      </c>
      <c r="N778" t="s">
        <v>16</v>
      </c>
      <c r="O778" s="2">
        <v>29545</v>
      </c>
    </row>
    <row r="779" spans="1:15" x14ac:dyDescent="0.3">
      <c r="A779" s="2">
        <v>769</v>
      </c>
      <c r="B779" s="1">
        <v>44959</v>
      </c>
      <c r="C779" s="1" t="str">
        <f t="shared" ref="C779:C842" si="24">TEXT(B779,"mm-yyyy")</f>
        <v>02-2023</v>
      </c>
      <c r="D779" s="2">
        <f t="shared" ref="D779:D842" si="25">WEEKNUM(B779)</f>
        <v>5</v>
      </c>
      <c r="E779" t="s">
        <v>17</v>
      </c>
      <c r="F779" t="s">
        <v>14</v>
      </c>
      <c r="G779" t="s">
        <v>20</v>
      </c>
      <c r="H779" s="2">
        <v>54363</v>
      </c>
      <c r="I779" s="2">
        <v>3</v>
      </c>
      <c r="J779" s="2">
        <v>61672</v>
      </c>
      <c r="K779" s="2">
        <v>65530</v>
      </c>
      <c r="L779" s="2">
        <v>3</v>
      </c>
      <c r="M779" t="str">
        <f>IF(Revv_bike_sales_data[[#This Row],[delivery_days]]&lt;=7, "Yes", "No")</f>
        <v>Yes</v>
      </c>
      <c r="N779" t="s">
        <v>16</v>
      </c>
      <c r="O779" s="2">
        <v>-3858</v>
      </c>
    </row>
    <row r="780" spans="1:15" x14ac:dyDescent="0.3">
      <c r="A780" s="2">
        <v>770</v>
      </c>
      <c r="B780" s="1">
        <v>44959.041666666664</v>
      </c>
      <c r="C780" s="1" t="str">
        <f t="shared" si="24"/>
        <v>02-2023</v>
      </c>
      <c r="D780" s="2">
        <f t="shared" si="25"/>
        <v>5</v>
      </c>
      <c r="E780" t="s">
        <v>25</v>
      </c>
      <c r="F780" t="s">
        <v>14</v>
      </c>
      <c r="G780" t="s">
        <v>15</v>
      </c>
      <c r="H780" s="2">
        <v>90441</v>
      </c>
      <c r="I780" s="2">
        <v>3</v>
      </c>
      <c r="J780" s="2">
        <v>94109</v>
      </c>
      <c r="K780" s="2">
        <v>96099</v>
      </c>
      <c r="L780" s="2">
        <v>8</v>
      </c>
      <c r="M780" t="str">
        <f>IF(Revv_bike_sales_data[[#This Row],[delivery_days]]&lt;=7, "Yes", "No")</f>
        <v>No</v>
      </c>
      <c r="N780" t="s">
        <v>24</v>
      </c>
      <c r="O780" s="2">
        <v>-1990</v>
      </c>
    </row>
    <row r="781" spans="1:15" x14ac:dyDescent="0.3">
      <c r="A781" s="2">
        <v>771</v>
      </c>
      <c r="B781" s="1">
        <v>44959.083333333336</v>
      </c>
      <c r="C781" s="1" t="str">
        <f t="shared" si="24"/>
        <v>02-2023</v>
      </c>
      <c r="D781" s="2">
        <f t="shared" si="25"/>
        <v>5</v>
      </c>
      <c r="E781" t="s">
        <v>17</v>
      </c>
      <c r="F781" t="s">
        <v>14</v>
      </c>
      <c r="G781" t="s">
        <v>20</v>
      </c>
      <c r="H781" s="2">
        <v>39237</v>
      </c>
      <c r="I781" s="2">
        <v>7</v>
      </c>
      <c r="J781" s="2">
        <v>59593</v>
      </c>
      <c r="K781" s="2">
        <v>40888</v>
      </c>
      <c r="L781" s="2">
        <v>11</v>
      </c>
      <c r="M781" t="str">
        <f>IF(Revv_bike_sales_data[[#This Row],[delivery_days]]&lt;=7, "Yes", "No")</f>
        <v>No</v>
      </c>
      <c r="N781" t="s">
        <v>16</v>
      </c>
      <c r="O781" s="2">
        <v>18705</v>
      </c>
    </row>
    <row r="782" spans="1:15" x14ac:dyDescent="0.3">
      <c r="A782" s="2">
        <v>772</v>
      </c>
      <c r="B782" s="1">
        <v>44959.125</v>
      </c>
      <c r="C782" s="1" t="str">
        <f t="shared" si="24"/>
        <v>02-2023</v>
      </c>
      <c r="D782" s="2">
        <f t="shared" si="25"/>
        <v>5</v>
      </c>
      <c r="E782" t="s">
        <v>25</v>
      </c>
      <c r="F782" t="s">
        <v>14</v>
      </c>
      <c r="G782" t="s">
        <v>19</v>
      </c>
      <c r="H782" s="2">
        <v>3120</v>
      </c>
      <c r="I782" s="2">
        <v>4</v>
      </c>
      <c r="J782" s="2">
        <v>169858</v>
      </c>
      <c r="K782" s="2">
        <v>42491</v>
      </c>
      <c r="L782" s="2">
        <v>2</v>
      </c>
      <c r="M782" t="str">
        <f>IF(Revv_bike_sales_data[[#This Row],[delivery_days]]&lt;=7, "Yes", "No")</f>
        <v>Yes</v>
      </c>
      <c r="N782" t="s">
        <v>16</v>
      </c>
      <c r="O782" s="2">
        <v>127367</v>
      </c>
    </row>
    <row r="783" spans="1:15" x14ac:dyDescent="0.3">
      <c r="A783" s="2">
        <v>773</v>
      </c>
      <c r="B783" s="1">
        <v>44959.166666666664</v>
      </c>
      <c r="C783" s="1" t="str">
        <f t="shared" si="24"/>
        <v>02-2023</v>
      </c>
      <c r="D783" s="2">
        <f t="shared" si="25"/>
        <v>5</v>
      </c>
      <c r="E783" t="s">
        <v>13</v>
      </c>
      <c r="F783" t="s">
        <v>23</v>
      </c>
      <c r="G783" t="s">
        <v>19</v>
      </c>
      <c r="H783" s="2">
        <v>35557</v>
      </c>
      <c r="I783" s="2">
        <v>5</v>
      </c>
      <c r="J783" s="2">
        <v>34815</v>
      </c>
      <c r="K783" s="2">
        <v>128101</v>
      </c>
      <c r="L783" s="2">
        <v>14</v>
      </c>
      <c r="M783" t="str">
        <f>IF(Revv_bike_sales_data[[#This Row],[delivery_days]]&lt;=7, "Yes", "No")</f>
        <v>No</v>
      </c>
      <c r="N783" t="s">
        <v>16</v>
      </c>
      <c r="O783" s="2">
        <v>-93286</v>
      </c>
    </row>
    <row r="784" spans="1:15" x14ac:dyDescent="0.3">
      <c r="A784" s="2">
        <v>774</v>
      </c>
      <c r="B784" s="1">
        <v>44959.208333333336</v>
      </c>
      <c r="C784" s="1" t="str">
        <f t="shared" si="24"/>
        <v>02-2023</v>
      </c>
      <c r="D784" s="2">
        <f t="shared" si="25"/>
        <v>5</v>
      </c>
      <c r="E784" t="s">
        <v>22</v>
      </c>
      <c r="F784" t="s">
        <v>14</v>
      </c>
      <c r="G784" t="s">
        <v>21</v>
      </c>
      <c r="H784" s="2">
        <v>40638</v>
      </c>
      <c r="I784" s="2">
        <v>4</v>
      </c>
      <c r="J784" s="2">
        <v>178038</v>
      </c>
      <c r="K784" s="2">
        <v>47352</v>
      </c>
      <c r="L784" s="2">
        <v>3</v>
      </c>
      <c r="M784" t="str">
        <f>IF(Revv_bike_sales_data[[#This Row],[delivery_days]]&lt;=7, "Yes", "No")</f>
        <v>Yes</v>
      </c>
      <c r="N784" t="s">
        <v>16</v>
      </c>
      <c r="O784" s="2">
        <v>130686</v>
      </c>
    </row>
    <row r="785" spans="1:15" x14ac:dyDescent="0.3">
      <c r="A785" s="2">
        <v>775</v>
      </c>
      <c r="B785" s="1">
        <v>44959.25</v>
      </c>
      <c r="C785" s="1" t="str">
        <f t="shared" si="24"/>
        <v>02-2023</v>
      </c>
      <c r="D785" s="2">
        <f t="shared" si="25"/>
        <v>5</v>
      </c>
      <c r="E785" t="s">
        <v>22</v>
      </c>
      <c r="F785" t="s">
        <v>14</v>
      </c>
      <c r="G785" t="s">
        <v>21</v>
      </c>
      <c r="H785" s="2">
        <v>79890</v>
      </c>
      <c r="I785" s="2">
        <v>0</v>
      </c>
      <c r="J785" s="2">
        <v>169866</v>
      </c>
      <c r="K785" s="2">
        <v>130437</v>
      </c>
      <c r="L785" s="2">
        <v>1</v>
      </c>
      <c r="M785" t="str">
        <f>IF(Revv_bike_sales_data[[#This Row],[delivery_days]]&lt;=7, "Yes", "No")</f>
        <v>Yes</v>
      </c>
      <c r="N785" t="s">
        <v>16</v>
      </c>
      <c r="O785" s="2">
        <v>39429</v>
      </c>
    </row>
    <row r="786" spans="1:15" x14ac:dyDescent="0.3">
      <c r="A786" s="2">
        <v>776</v>
      </c>
      <c r="B786" s="1">
        <v>44959.291666666664</v>
      </c>
      <c r="C786" s="1" t="str">
        <f t="shared" si="24"/>
        <v>02-2023</v>
      </c>
      <c r="D786" s="2">
        <f t="shared" si="25"/>
        <v>5</v>
      </c>
      <c r="E786" t="s">
        <v>25</v>
      </c>
      <c r="F786" t="s">
        <v>14</v>
      </c>
      <c r="G786" t="s">
        <v>15</v>
      </c>
      <c r="H786" s="2">
        <v>53524</v>
      </c>
      <c r="I786" s="2">
        <v>6</v>
      </c>
      <c r="J786" s="2">
        <v>46302</v>
      </c>
      <c r="K786" s="2">
        <v>36676</v>
      </c>
      <c r="L786" s="2">
        <v>5</v>
      </c>
      <c r="M786" t="str">
        <f>IF(Revv_bike_sales_data[[#This Row],[delivery_days]]&lt;=7, "Yes", "No")</f>
        <v>Yes</v>
      </c>
      <c r="N786" t="s">
        <v>16</v>
      </c>
      <c r="O786" s="2">
        <v>9626</v>
      </c>
    </row>
    <row r="787" spans="1:15" x14ac:dyDescent="0.3">
      <c r="A787" s="2">
        <v>777</v>
      </c>
      <c r="B787" s="1">
        <v>44959.333333333336</v>
      </c>
      <c r="C787" s="1" t="str">
        <f t="shared" si="24"/>
        <v>02-2023</v>
      </c>
      <c r="D787" s="2">
        <f t="shared" si="25"/>
        <v>5</v>
      </c>
      <c r="E787" t="s">
        <v>22</v>
      </c>
      <c r="F787" t="s">
        <v>14</v>
      </c>
      <c r="G787" t="s">
        <v>21</v>
      </c>
      <c r="H787" s="2">
        <v>10177</v>
      </c>
      <c r="I787" s="2">
        <v>5</v>
      </c>
      <c r="J787" s="2">
        <v>110140</v>
      </c>
      <c r="K787" s="2">
        <v>80836</v>
      </c>
      <c r="L787" s="2">
        <v>4</v>
      </c>
      <c r="M787" t="str">
        <f>IF(Revv_bike_sales_data[[#This Row],[delivery_days]]&lt;=7, "Yes", "No")</f>
        <v>Yes</v>
      </c>
      <c r="N787" t="s">
        <v>16</v>
      </c>
      <c r="O787" s="2">
        <v>29304</v>
      </c>
    </row>
    <row r="788" spans="1:15" x14ac:dyDescent="0.3">
      <c r="A788" s="2">
        <v>778</v>
      </c>
      <c r="B788" s="1">
        <v>44959.375</v>
      </c>
      <c r="C788" s="1" t="str">
        <f t="shared" si="24"/>
        <v>02-2023</v>
      </c>
      <c r="D788" s="2">
        <f t="shared" si="25"/>
        <v>5</v>
      </c>
      <c r="E788" t="s">
        <v>17</v>
      </c>
      <c r="F788" t="s">
        <v>14</v>
      </c>
      <c r="G788" t="s">
        <v>20</v>
      </c>
      <c r="H788" s="2">
        <v>44611</v>
      </c>
      <c r="I788" s="2">
        <v>1</v>
      </c>
      <c r="J788" s="2">
        <v>98356</v>
      </c>
      <c r="K788" s="2">
        <v>52463</v>
      </c>
      <c r="L788" s="2">
        <v>13</v>
      </c>
      <c r="M788" t="str">
        <f>IF(Revv_bike_sales_data[[#This Row],[delivery_days]]&lt;=7, "Yes", "No")</f>
        <v>No</v>
      </c>
      <c r="N788" t="s">
        <v>16</v>
      </c>
      <c r="O788" s="2">
        <v>45893</v>
      </c>
    </row>
    <row r="789" spans="1:15" x14ac:dyDescent="0.3">
      <c r="A789" s="2">
        <v>779</v>
      </c>
      <c r="B789" s="1">
        <v>44959.416666666664</v>
      </c>
      <c r="C789" s="1" t="str">
        <f t="shared" si="24"/>
        <v>02-2023</v>
      </c>
      <c r="D789" s="2">
        <f t="shared" si="25"/>
        <v>5</v>
      </c>
      <c r="E789" t="s">
        <v>18</v>
      </c>
      <c r="F789" t="s">
        <v>14</v>
      </c>
      <c r="G789" t="s">
        <v>19</v>
      </c>
      <c r="H789" s="2">
        <v>24574</v>
      </c>
      <c r="I789" s="2">
        <v>6</v>
      </c>
      <c r="J789" s="2">
        <v>74282</v>
      </c>
      <c r="K789" s="2">
        <v>125478</v>
      </c>
      <c r="L789" s="2">
        <v>1</v>
      </c>
      <c r="M789" t="str">
        <f>IF(Revv_bike_sales_data[[#This Row],[delivery_days]]&lt;=7, "Yes", "No")</f>
        <v>Yes</v>
      </c>
      <c r="N789" t="s">
        <v>16</v>
      </c>
      <c r="O789" s="2">
        <v>-51196</v>
      </c>
    </row>
    <row r="790" spans="1:15" x14ac:dyDescent="0.3">
      <c r="A790" s="2">
        <v>780</v>
      </c>
      <c r="B790" s="1">
        <v>44959.458333333336</v>
      </c>
      <c r="C790" s="1" t="str">
        <f t="shared" si="24"/>
        <v>02-2023</v>
      </c>
      <c r="D790" s="2">
        <f t="shared" si="25"/>
        <v>5</v>
      </c>
      <c r="E790" t="s">
        <v>25</v>
      </c>
      <c r="F790" t="s">
        <v>14</v>
      </c>
      <c r="G790" t="s">
        <v>19</v>
      </c>
      <c r="H790" s="2">
        <v>18324</v>
      </c>
      <c r="I790" s="2">
        <v>5</v>
      </c>
      <c r="J790" s="2">
        <v>153451</v>
      </c>
      <c r="K790" s="2">
        <v>63990</v>
      </c>
      <c r="L790" s="2">
        <v>10</v>
      </c>
      <c r="M790" t="str">
        <f>IF(Revv_bike_sales_data[[#This Row],[delivery_days]]&lt;=7, "Yes", "No")</f>
        <v>No</v>
      </c>
      <c r="N790" t="s">
        <v>16</v>
      </c>
      <c r="O790" s="2">
        <v>89461</v>
      </c>
    </row>
    <row r="791" spans="1:15" x14ac:dyDescent="0.3">
      <c r="A791" s="2">
        <v>781</v>
      </c>
      <c r="B791" s="1">
        <v>44959.5</v>
      </c>
      <c r="C791" s="1" t="str">
        <f t="shared" si="24"/>
        <v>02-2023</v>
      </c>
      <c r="D791" s="2">
        <f t="shared" si="25"/>
        <v>5</v>
      </c>
      <c r="E791" t="s">
        <v>22</v>
      </c>
      <c r="F791" t="s">
        <v>14</v>
      </c>
      <c r="G791" t="s">
        <v>19</v>
      </c>
      <c r="H791" s="2">
        <v>1265</v>
      </c>
      <c r="I791" s="2">
        <v>4</v>
      </c>
      <c r="J791" s="2">
        <v>146347</v>
      </c>
      <c r="K791" s="2">
        <v>101544</v>
      </c>
      <c r="L791" s="2">
        <v>9</v>
      </c>
      <c r="M791" t="str">
        <f>IF(Revv_bike_sales_data[[#This Row],[delivery_days]]&lt;=7, "Yes", "No")</f>
        <v>No</v>
      </c>
      <c r="N791" t="s">
        <v>24</v>
      </c>
      <c r="O791" s="2">
        <v>44803</v>
      </c>
    </row>
    <row r="792" spans="1:15" x14ac:dyDescent="0.3">
      <c r="A792" s="2">
        <v>782</v>
      </c>
      <c r="B792" s="1">
        <v>44959.541666666664</v>
      </c>
      <c r="C792" s="1" t="str">
        <f t="shared" si="24"/>
        <v>02-2023</v>
      </c>
      <c r="D792" s="2">
        <f t="shared" si="25"/>
        <v>5</v>
      </c>
      <c r="E792" t="s">
        <v>25</v>
      </c>
      <c r="F792" t="s">
        <v>14</v>
      </c>
      <c r="G792" t="s">
        <v>21</v>
      </c>
      <c r="H792" s="2">
        <v>45939</v>
      </c>
      <c r="I792" s="2">
        <v>7</v>
      </c>
      <c r="J792" s="2">
        <v>48814</v>
      </c>
      <c r="K792" s="2">
        <v>78627</v>
      </c>
      <c r="L792" s="2">
        <v>6</v>
      </c>
      <c r="M792" t="str">
        <f>IF(Revv_bike_sales_data[[#This Row],[delivery_days]]&lt;=7, "Yes", "No")</f>
        <v>Yes</v>
      </c>
      <c r="N792" t="s">
        <v>16</v>
      </c>
      <c r="O792" s="2">
        <v>-29813</v>
      </c>
    </row>
    <row r="793" spans="1:15" x14ac:dyDescent="0.3">
      <c r="A793" s="2">
        <v>783</v>
      </c>
      <c r="B793" s="1">
        <v>44959.583333333336</v>
      </c>
      <c r="C793" s="1" t="str">
        <f t="shared" si="24"/>
        <v>02-2023</v>
      </c>
      <c r="D793" s="2">
        <f t="shared" si="25"/>
        <v>5</v>
      </c>
      <c r="E793" t="s">
        <v>25</v>
      </c>
      <c r="F793" t="s">
        <v>23</v>
      </c>
      <c r="G793" t="s">
        <v>19</v>
      </c>
      <c r="H793" s="2">
        <v>97651</v>
      </c>
      <c r="I793" s="2">
        <v>4</v>
      </c>
      <c r="J793" s="2">
        <v>106673</v>
      </c>
      <c r="K793" s="2">
        <v>35221</v>
      </c>
      <c r="L793" s="2">
        <v>6</v>
      </c>
      <c r="M793" t="str">
        <f>IF(Revv_bike_sales_data[[#This Row],[delivery_days]]&lt;=7, "Yes", "No")</f>
        <v>Yes</v>
      </c>
      <c r="N793" t="s">
        <v>16</v>
      </c>
      <c r="O793" s="2">
        <v>71452</v>
      </c>
    </row>
    <row r="794" spans="1:15" x14ac:dyDescent="0.3">
      <c r="A794" s="2">
        <v>784</v>
      </c>
      <c r="B794" s="1">
        <v>44959.625</v>
      </c>
      <c r="C794" s="1" t="str">
        <f t="shared" si="24"/>
        <v>02-2023</v>
      </c>
      <c r="D794" s="2">
        <f t="shared" si="25"/>
        <v>5</v>
      </c>
      <c r="E794" t="s">
        <v>18</v>
      </c>
      <c r="F794" t="s">
        <v>14</v>
      </c>
      <c r="G794" t="s">
        <v>19</v>
      </c>
      <c r="H794" s="2">
        <v>49426</v>
      </c>
      <c r="I794" s="2">
        <v>1</v>
      </c>
      <c r="J794" s="2">
        <v>76940</v>
      </c>
      <c r="K794" s="2">
        <v>129965</v>
      </c>
      <c r="L794" s="2">
        <v>14</v>
      </c>
      <c r="M794" t="str">
        <f>IF(Revv_bike_sales_data[[#This Row],[delivery_days]]&lt;=7, "Yes", "No")</f>
        <v>No</v>
      </c>
      <c r="N794" t="s">
        <v>16</v>
      </c>
      <c r="O794" s="2">
        <v>-53025</v>
      </c>
    </row>
    <row r="795" spans="1:15" x14ac:dyDescent="0.3">
      <c r="A795" s="2">
        <v>785</v>
      </c>
      <c r="B795" s="1">
        <v>44959.666666666664</v>
      </c>
      <c r="C795" s="1" t="str">
        <f t="shared" si="24"/>
        <v>02-2023</v>
      </c>
      <c r="D795" s="2">
        <f t="shared" si="25"/>
        <v>5</v>
      </c>
      <c r="E795" t="s">
        <v>17</v>
      </c>
      <c r="F795" t="s">
        <v>14</v>
      </c>
      <c r="G795" t="s">
        <v>19</v>
      </c>
      <c r="H795" s="2">
        <v>37360</v>
      </c>
      <c r="I795" s="2">
        <v>5</v>
      </c>
      <c r="J795" s="2">
        <v>111796</v>
      </c>
      <c r="K795" s="2">
        <v>109870</v>
      </c>
      <c r="L795" s="2">
        <v>11</v>
      </c>
      <c r="M795" t="str">
        <f>IF(Revv_bike_sales_data[[#This Row],[delivery_days]]&lt;=7, "Yes", "No")</f>
        <v>No</v>
      </c>
      <c r="N795" t="s">
        <v>16</v>
      </c>
      <c r="O795" s="2">
        <v>1926</v>
      </c>
    </row>
    <row r="796" spans="1:15" x14ac:dyDescent="0.3">
      <c r="A796" s="2">
        <v>786</v>
      </c>
      <c r="B796" s="1">
        <v>44959.708333333336</v>
      </c>
      <c r="C796" s="1" t="str">
        <f t="shared" si="24"/>
        <v>02-2023</v>
      </c>
      <c r="D796" s="2">
        <f t="shared" si="25"/>
        <v>5</v>
      </c>
      <c r="E796" t="s">
        <v>25</v>
      </c>
      <c r="F796" t="s">
        <v>14</v>
      </c>
      <c r="G796" t="s">
        <v>15</v>
      </c>
      <c r="H796" s="2">
        <v>13475</v>
      </c>
      <c r="I796" s="2">
        <v>0</v>
      </c>
      <c r="J796" s="2">
        <v>61476</v>
      </c>
      <c r="K796" s="2">
        <v>124054</v>
      </c>
      <c r="L796" s="2">
        <v>2</v>
      </c>
      <c r="M796" t="str">
        <f>IF(Revv_bike_sales_data[[#This Row],[delivery_days]]&lt;=7, "Yes", "No")</f>
        <v>Yes</v>
      </c>
      <c r="N796" t="s">
        <v>16</v>
      </c>
      <c r="O796" s="2">
        <v>-62578</v>
      </c>
    </row>
    <row r="797" spans="1:15" x14ac:dyDescent="0.3">
      <c r="A797" s="2">
        <v>787</v>
      </c>
      <c r="B797" s="1">
        <v>44959.75</v>
      </c>
      <c r="C797" s="1" t="str">
        <f t="shared" si="24"/>
        <v>02-2023</v>
      </c>
      <c r="D797" s="2">
        <f t="shared" si="25"/>
        <v>5</v>
      </c>
      <c r="E797" t="s">
        <v>22</v>
      </c>
      <c r="F797" t="s">
        <v>14</v>
      </c>
      <c r="G797" t="s">
        <v>15</v>
      </c>
      <c r="H797" s="2">
        <v>75377</v>
      </c>
      <c r="I797" s="2">
        <v>4</v>
      </c>
      <c r="J797" s="2">
        <v>157841</v>
      </c>
      <c r="K797" s="2">
        <v>100837</v>
      </c>
      <c r="L797" s="2">
        <v>14</v>
      </c>
      <c r="M797" t="str">
        <f>IF(Revv_bike_sales_data[[#This Row],[delivery_days]]&lt;=7, "Yes", "No")</f>
        <v>No</v>
      </c>
      <c r="N797" t="s">
        <v>24</v>
      </c>
      <c r="O797" s="2">
        <v>57004</v>
      </c>
    </row>
    <row r="798" spans="1:15" x14ac:dyDescent="0.3">
      <c r="A798" s="2">
        <v>788</v>
      </c>
      <c r="B798" s="1">
        <v>44959.791666666664</v>
      </c>
      <c r="C798" s="1" t="str">
        <f t="shared" si="24"/>
        <v>02-2023</v>
      </c>
      <c r="D798" s="2">
        <f t="shared" si="25"/>
        <v>5</v>
      </c>
      <c r="E798" t="s">
        <v>13</v>
      </c>
      <c r="F798" t="s">
        <v>14</v>
      </c>
      <c r="G798" t="s">
        <v>21</v>
      </c>
      <c r="H798" s="2">
        <v>94177</v>
      </c>
      <c r="I798" s="2">
        <v>5</v>
      </c>
      <c r="J798" s="2">
        <v>67278</v>
      </c>
      <c r="K798" s="2">
        <v>87843</v>
      </c>
      <c r="L798" s="2">
        <v>7</v>
      </c>
      <c r="M798" t="str">
        <f>IF(Revv_bike_sales_data[[#This Row],[delivery_days]]&lt;=7, "Yes", "No")</f>
        <v>Yes</v>
      </c>
      <c r="N798" t="s">
        <v>16</v>
      </c>
      <c r="O798" s="2">
        <v>-20565</v>
      </c>
    </row>
    <row r="799" spans="1:15" x14ac:dyDescent="0.3">
      <c r="A799" s="2">
        <v>789</v>
      </c>
      <c r="B799" s="1">
        <v>44959.833333333336</v>
      </c>
      <c r="C799" s="1" t="str">
        <f t="shared" si="24"/>
        <v>02-2023</v>
      </c>
      <c r="D799" s="2">
        <f t="shared" si="25"/>
        <v>5</v>
      </c>
      <c r="E799" t="s">
        <v>25</v>
      </c>
      <c r="F799" t="s">
        <v>14</v>
      </c>
      <c r="G799" t="s">
        <v>19</v>
      </c>
      <c r="H799" s="2">
        <v>78370</v>
      </c>
      <c r="I799" s="2">
        <v>6</v>
      </c>
      <c r="J799" s="2">
        <v>40634</v>
      </c>
      <c r="K799" s="2">
        <v>66313</v>
      </c>
      <c r="L799" s="2">
        <v>12</v>
      </c>
      <c r="M799" t="str">
        <f>IF(Revv_bike_sales_data[[#This Row],[delivery_days]]&lt;=7, "Yes", "No")</f>
        <v>No</v>
      </c>
      <c r="N799" t="s">
        <v>16</v>
      </c>
      <c r="O799" s="2">
        <v>-25679</v>
      </c>
    </row>
    <row r="800" spans="1:15" x14ac:dyDescent="0.3">
      <c r="A800" s="2">
        <v>790</v>
      </c>
      <c r="B800" s="1">
        <v>44959.875</v>
      </c>
      <c r="C800" s="1" t="str">
        <f t="shared" si="24"/>
        <v>02-2023</v>
      </c>
      <c r="D800" s="2">
        <f t="shared" si="25"/>
        <v>5</v>
      </c>
      <c r="E800" t="s">
        <v>25</v>
      </c>
      <c r="F800" t="s">
        <v>14</v>
      </c>
      <c r="G800" t="s">
        <v>21</v>
      </c>
      <c r="H800" s="2">
        <v>81871</v>
      </c>
      <c r="I800" s="2">
        <v>1</v>
      </c>
      <c r="J800" s="2">
        <v>151259</v>
      </c>
      <c r="K800" s="2">
        <v>44251</v>
      </c>
      <c r="L800" s="2">
        <v>12</v>
      </c>
      <c r="M800" t="str">
        <f>IF(Revv_bike_sales_data[[#This Row],[delivery_days]]&lt;=7, "Yes", "No")</f>
        <v>No</v>
      </c>
      <c r="N800" t="s">
        <v>24</v>
      </c>
      <c r="O800" s="2">
        <v>107008</v>
      </c>
    </row>
    <row r="801" spans="1:15" x14ac:dyDescent="0.3">
      <c r="A801" s="2">
        <v>791</v>
      </c>
      <c r="B801" s="1">
        <v>44959.916666666664</v>
      </c>
      <c r="C801" s="1" t="str">
        <f t="shared" si="24"/>
        <v>02-2023</v>
      </c>
      <c r="D801" s="2">
        <f t="shared" si="25"/>
        <v>5</v>
      </c>
      <c r="E801" t="s">
        <v>18</v>
      </c>
      <c r="F801" t="s">
        <v>14</v>
      </c>
      <c r="G801" t="s">
        <v>19</v>
      </c>
      <c r="H801" s="2">
        <v>27048</v>
      </c>
      <c r="I801" s="2">
        <v>0</v>
      </c>
      <c r="J801" s="2">
        <v>167037</v>
      </c>
      <c r="K801" s="2">
        <v>61586</v>
      </c>
      <c r="L801" s="2">
        <v>9</v>
      </c>
      <c r="M801" t="str">
        <f>IF(Revv_bike_sales_data[[#This Row],[delivery_days]]&lt;=7, "Yes", "No")</f>
        <v>No</v>
      </c>
      <c r="N801" t="s">
        <v>16</v>
      </c>
      <c r="O801" s="2">
        <v>105451</v>
      </c>
    </row>
    <row r="802" spans="1:15" x14ac:dyDescent="0.3">
      <c r="A802" s="2">
        <v>792</v>
      </c>
      <c r="B802" s="1">
        <v>44959.958333333336</v>
      </c>
      <c r="C802" s="1" t="str">
        <f t="shared" si="24"/>
        <v>02-2023</v>
      </c>
      <c r="D802" s="2">
        <f t="shared" si="25"/>
        <v>5</v>
      </c>
      <c r="E802" t="s">
        <v>17</v>
      </c>
      <c r="F802" t="s">
        <v>14</v>
      </c>
      <c r="G802" t="s">
        <v>19</v>
      </c>
      <c r="H802" s="2">
        <v>91075</v>
      </c>
      <c r="I802" s="2">
        <v>5</v>
      </c>
      <c r="J802" s="2">
        <v>77196</v>
      </c>
      <c r="K802" s="2">
        <v>114693</v>
      </c>
      <c r="L802" s="2">
        <v>6</v>
      </c>
      <c r="M802" t="str">
        <f>IF(Revv_bike_sales_data[[#This Row],[delivery_days]]&lt;=7, "Yes", "No")</f>
        <v>Yes</v>
      </c>
      <c r="N802" t="s">
        <v>16</v>
      </c>
      <c r="O802" s="2">
        <v>-37497</v>
      </c>
    </row>
    <row r="803" spans="1:15" x14ac:dyDescent="0.3">
      <c r="A803" s="2">
        <v>793</v>
      </c>
      <c r="B803" s="1">
        <v>44960</v>
      </c>
      <c r="C803" s="1" t="str">
        <f t="shared" si="24"/>
        <v>02-2023</v>
      </c>
      <c r="D803" s="2">
        <f t="shared" si="25"/>
        <v>5</v>
      </c>
      <c r="E803" t="s">
        <v>13</v>
      </c>
      <c r="F803" t="s">
        <v>23</v>
      </c>
      <c r="G803" t="s">
        <v>19</v>
      </c>
      <c r="H803" s="2">
        <v>98566</v>
      </c>
      <c r="I803" s="2">
        <v>2</v>
      </c>
      <c r="J803" s="2">
        <v>123679</v>
      </c>
      <c r="K803" s="2">
        <v>89418</v>
      </c>
      <c r="L803" s="2">
        <v>11</v>
      </c>
      <c r="M803" t="str">
        <f>IF(Revv_bike_sales_data[[#This Row],[delivery_days]]&lt;=7, "Yes", "No")</f>
        <v>No</v>
      </c>
      <c r="N803" t="s">
        <v>16</v>
      </c>
      <c r="O803" s="2">
        <v>34261</v>
      </c>
    </row>
    <row r="804" spans="1:15" x14ac:dyDescent="0.3">
      <c r="A804" s="2">
        <v>794</v>
      </c>
      <c r="B804" s="1">
        <v>44960.041666666664</v>
      </c>
      <c r="C804" s="1" t="str">
        <f t="shared" si="24"/>
        <v>02-2023</v>
      </c>
      <c r="D804" s="2">
        <f t="shared" si="25"/>
        <v>5</v>
      </c>
      <c r="E804" t="s">
        <v>22</v>
      </c>
      <c r="F804" t="s">
        <v>14</v>
      </c>
      <c r="G804" t="s">
        <v>21</v>
      </c>
      <c r="H804" s="2">
        <v>39236</v>
      </c>
      <c r="I804" s="2">
        <v>4</v>
      </c>
      <c r="J804" s="2">
        <v>155861</v>
      </c>
      <c r="K804" s="2">
        <v>68884</v>
      </c>
      <c r="L804" s="2">
        <v>8</v>
      </c>
      <c r="M804" t="str">
        <f>IF(Revv_bike_sales_data[[#This Row],[delivery_days]]&lt;=7, "Yes", "No")</f>
        <v>No</v>
      </c>
      <c r="N804" t="s">
        <v>16</v>
      </c>
      <c r="O804" s="2">
        <v>86977</v>
      </c>
    </row>
    <row r="805" spans="1:15" x14ac:dyDescent="0.3">
      <c r="A805" s="2">
        <v>795</v>
      </c>
      <c r="B805" s="1">
        <v>44960.083333333336</v>
      </c>
      <c r="C805" s="1" t="str">
        <f t="shared" si="24"/>
        <v>02-2023</v>
      </c>
      <c r="D805" s="2">
        <f t="shared" si="25"/>
        <v>5</v>
      </c>
      <c r="E805" t="s">
        <v>13</v>
      </c>
      <c r="F805" t="s">
        <v>14</v>
      </c>
      <c r="G805" t="s">
        <v>21</v>
      </c>
      <c r="H805" s="2">
        <v>62062</v>
      </c>
      <c r="I805" s="2">
        <v>1</v>
      </c>
      <c r="J805" s="2">
        <v>44420</v>
      </c>
      <c r="K805" s="2">
        <v>67620</v>
      </c>
      <c r="L805" s="2">
        <v>12</v>
      </c>
      <c r="M805" t="str">
        <f>IF(Revv_bike_sales_data[[#This Row],[delivery_days]]&lt;=7, "Yes", "No")</f>
        <v>No</v>
      </c>
      <c r="N805" t="s">
        <v>16</v>
      </c>
      <c r="O805" s="2">
        <v>-23200</v>
      </c>
    </row>
    <row r="806" spans="1:15" x14ac:dyDescent="0.3">
      <c r="A806" s="2">
        <v>796</v>
      </c>
      <c r="B806" s="1">
        <v>44960.125</v>
      </c>
      <c r="C806" s="1" t="str">
        <f t="shared" si="24"/>
        <v>02-2023</v>
      </c>
      <c r="D806" s="2">
        <f t="shared" si="25"/>
        <v>5</v>
      </c>
      <c r="E806" t="s">
        <v>22</v>
      </c>
      <c r="F806" t="s">
        <v>14</v>
      </c>
      <c r="G806" t="s">
        <v>19</v>
      </c>
      <c r="H806" s="2">
        <v>40909</v>
      </c>
      <c r="I806" s="2">
        <v>0</v>
      </c>
      <c r="J806" s="2">
        <v>31218</v>
      </c>
      <c r="K806" s="2">
        <v>25040</v>
      </c>
      <c r="L806" s="2">
        <v>5</v>
      </c>
      <c r="M806" t="str">
        <f>IF(Revv_bike_sales_data[[#This Row],[delivery_days]]&lt;=7, "Yes", "No")</f>
        <v>Yes</v>
      </c>
      <c r="N806" t="s">
        <v>16</v>
      </c>
      <c r="O806" s="2">
        <v>6178</v>
      </c>
    </row>
    <row r="807" spans="1:15" x14ac:dyDescent="0.3">
      <c r="A807" s="2">
        <v>797</v>
      </c>
      <c r="B807" s="1">
        <v>44960.166666666664</v>
      </c>
      <c r="C807" s="1" t="str">
        <f t="shared" si="24"/>
        <v>02-2023</v>
      </c>
      <c r="D807" s="2">
        <f t="shared" si="25"/>
        <v>5</v>
      </c>
      <c r="E807" t="s">
        <v>17</v>
      </c>
      <c r="F807" t="s">
        <v>14</v>
      </c>
      <c r="G807" t="s">
        <v>20</v>
      </c>
      <c r="H807" s="2">
        <v>84601</v>
      </c>
      <c r="I807" s="2">
        <v>0</v>
      </c>
      <c r="J807" s="2">
        <v>149283</v>
      </c>
      <c r="K807" s="2">
        <v>86677</v>
      </c>
      <c r="L807" s="2">
        <v>2</v>
      </c>
      <c r="M807" t="str">
        <f>IF(Revv_bike_sales_data[[#This Row],[delivery_days]]&lt;=7, "Yes", "No")</f>
        <v>Yes</v>
      </c>
      <c r="N807" t="s">
        <v>16</v>
      </c>
      <c r="O807" s="2">
        <v>62606</v>
      </c>
    </row>
    <row r="808" spans="1:15" x14ac:dyDescent="0.3">
      <c r="A808" s="2">
        <v>798</v>
      </c>
      <c r="B808" s="1">
        <v>44960.208333333336</v>
      </c>
      <c r="C808" s="1" t="str">
        <f t="shared" si="24"/>
        <v>02-2023</v>
      </c>
      <c r="D808" s="2">
        <f t="shared" si="25"/>
        <v>5</v>
      </c>
      <c r="E808" t="s">
        <v>22</v>
      </c>
      <c r="F808" t="s">
        <v>14</v>
      </c>
      <c r="G808" t="s">
        <v>21</v>
      </c>
      <c r="H808" s="2">
        <v>10334</v>
      </c>
      <c r="I808" s="2">
        <v>3</v>
      </c>
      <c r="J808" s="2">
        <v>89057</v>
      </c>
      <c r="K808" s="2">
        <v>60878</v>
      </c>
      <c r="L808" s="2">
        <v>13</v>
      </c>
      <c r="M808" t="str">
        <f>IF(Revv_bike_sales_data[[#This Row],[delivery_days]]&lt;=7, "Yes", "No")</f>
        <v>No</v>
      </c>
      <c r="N808" t="s">
        <v>16</v>
      </c>
      <c r="O808" s="2">
        <v>28179</v>
      </c>
    </row>
    <row r="809" spans="1:15" x14ac:dyDescent="0.3">
      <c r="A809" s="2">
        <v>799</v>
      </c>
      <c r="B809" s="1">
        <v>44960.25</v>
      </c>
      <c r="C809" s="1" t="str">
        <f t="shared" si="24"/>
        <v>02-2023</v>
      </c>
      <c r="D809" s="2">
        <f t="shared" si="25"/>
        <v>5</v>
      </c>
      <c r="E809" t="s">
        <v>18</v>
      </c>
      <c r="F809" t="s">
        <v>14</v>
      </c>
      <c r="G809" t="s">
        <v>15</v>
      </c>
      <c r="H809" s="2">
        <v>1340</v>
      </c>
      <c r="I809" s="2">
        <v>9</v>
      </c>
      <c r="J809" s="2">
        <v>103609</v>
      </c>
      <c r="K809" s="2">
        <v>20969</v>
      </c>
      <c r="L809" s="2">
        <v>4</v>
      </c>
      <c r="M809" t="str">
        <f>IF(Revv_bike_sales_data[[#This Row],[delivery_days]]&lt;=7, "Yes", "No")</f>
        <v>Yes</v>
      </c>
      <c r="N809" t="s">
        <v>16</v>
      </c>
      <c r="O809" s="2">
        <v>82640</v>
      </c>
    </row>
    <row r="810" spans="1:15" x14ac:dyDescent="0.3">
      <c r="A810" s="2">
        <v>800</v>
      </c>
      <c r="B810" s="1">
        <v>44960.291666666664</v>
      </c>
      <c r="C810" s="1" t="str">
        <f t="shared" si="24"/>
        <v>02-2023</v>
      </c>
      <c r="D810" s="2">
        <f t="shared" si="25"/>
        <v>5</v>
      </c>
      <c r="E810" t="s">
        <v>18</v>
      </c>
      <c r="F810" t="s">
        <v>14</v>
      </c>
      <c r="G810" t="s">
        <v>21</v>
      </c>
      <c r="H810" s="2">
        <v>79909</v>
      </c>
      <c r="I810" s="2">
        <v>1</v>
      </c>
      <c r="J810" s="2">
        <v>167298</v>
      </c>
      <c r="K810" s="2">
        <v>28162</v>
      </c>
      <c r="L810" s="2">
        <v>12</v>
      </c>
      <c r="M810" t="str">
        <f>IF(Revv_bike_sales_data[[#This Row],[delivery_days]]&lt;=7, "Yes", "No")</f>
        <v>No</v>
      </c>
      <c r="N810" t="s">
        <v>16</v>
      </c>
      <c r="O810" s="2">
        <v>139136</v>
      </c>
    </row>
    <row r="811" spans="1:15" x14ac:dyDescent="0.3">
      <c r="A811" s="2">
        <v>801</v>
      </c>
      <c r="B811" s="1">
        <v>44960.333333333336</v>
      </c>
      <c r="C811" s="1" t="str">
        <f t="shared" si="24"/>
        <v>02-2023</v>
      </c>
      <c r="D811" s="2">
        <f t="shared" si="25"/>
        <v>5</v>
      </c>
      <c r="E811" t="s">
        <v>18</v>
      </c>
      <c r="F811" t="s">
        <v>14</v>
      </c>
      <c r="G811" t="s">
        <v>19</v>
      </c>
      <c r="H811" s="2">
        <v>32068</v>
      </c>
      <c r="I811" s="2">
        <v>0</v>
      </c>
      <c r="J811" s="2">
        <v>148108</v>
      </c>
      <c r="K811" s="2">
        <v>80435</v>
      </c>
      <c r="L811" s="2">
        <v>1</v>
      </c>
      <c r="M811" t="str">
        <f>IF(Revv_bike_sales_data[[#This Row],[delivery_days]]&lt;=7, "Yes", "No")</f>
        <v>Yes</v>
      </c>
      <c r="N811" t="s">
        <v>16</v>
      </c>
      <c r="O811" s="2">
        <v>67673</v>
      </c>
    </row>
    <row r="812" spans="1:15" x14ac:dyDescent="0.3">
      <c r="A812" s="2">
        <v>802</v>
      </c>
      <c r="B812" s="1">
        <v>44960.375</v>
      </c>
      <c r="C812" s="1" t="str">
        <f t="shared" si="24"/>
        <v>02-2023</v>
      </c>
      <c r="D812" s="2">
        <f t="shared" si="25"/>
        <v>5</v>
      </c>
      <c r="E812" t="s">
        <v>18</v>
      </c>
      <c r="F812" t="s">
        <v>14</v>
      </c>
      <c r="G812" t="s">
        <v>20</v>
      </c>
      <c r="H812" s="2">
        <v>11346</v>
      </c>
      <c r="I812" s="2">
        <v>5</v>
      </c>
      <c r="J812" s="2">
        <v>35046</v>
      </c>
      <c r="K812" s="2">
        <v>133504</v>
      </c>
      <c r="L812" s="2">
        <v>1</v>
      </c>
      <c r="M812" t="str">
        <f>IF(Revv_bike_sales_data[[#This Row],[delivery_days]]&lt;=7, "Yes", "No")</f>
        <v>Yes</v>
      </c>
      <c r="N812" t="s">
        <v>16</v>
      </c>
      <c r="O812" s="2">
        <v>-98458</v>
      </c>
    </row>
    <row r="813" spans="1:15" x14ac:dyDescent="0.3">
      <c r="A813" s="2">
        <v>803</v>
      </c>
      <c r="B813" s="1">
        <v>44960.416666666664</v>
      </c>
      <c r="C813" s="1" t="str">
        <f t="shared" si="24"/>
        <v>02-2023</v>
      </c>
      <c r="D813" s="2">
        <f t="shared" si="25"/>
        <v>5</v>
      </c>
      <c r="E813" t="s">
        <v>13</v>
      </c>
      <c r="F813" t="s">
        <v>14</v>
      </c>
      <c r="G813" t="s">
        <v>19</v>
      </c>
      <c r="H813" s="2">
        <v>6399</v>
      </c>
      <c r="I813" s="2">
        <v>3</v>
      </c>
      <c r="J813" s="2">
        <v>142462</v>
      </c>
      <c r="K813" s="2">
        <v>89667</v>
      </c>
      <c r="L813" s="2">
        <v>6</v>
      </c>
      <c r="M813" t="str">
        <f>IF(Revv_bike_sales_data[[#This Row],[delivery_days]]&lt;=7, "Yes", "No")</f>
        <v>Yes</v>
      </c>
      <c r="N813" t="s">
        <v>16</v>
      </c>
      <c r="O813" s="2">
        <v>52795</v>
      </c>
    </row>
    <row r="814" spans="1:15" x14ac:dyDescent="0.3">
      <c r="A814" s="2">
        <v>804</v>
      </c>
      <c r="B814" s="1">
        <v>44960.458333333336</v>
      </c>
      <c r="C814" s="1" t="str">
        <f t="shared" si="24"/>
        <v>02-2023</v>
      </c>
      <c r="D814" s="2">
        <f t="shared" si="25"/>
        <v>5</v>
      </c>
      <c r="E814" t="s">
        <v>17</v>
      </c>
      <c r="F814" t="s">
        <v>23</v>
      </c>
      <c r="G814" t="s">
        <v>15</v>
      </c>
      <c r="H814" s="2">
        <v>86538</v>
      </c>
      <c r="I814" s="2">
        <v>9</v>
      </c>
      <c r="J814" s="2">
        <v>134345</v>
      </c>
      <c r="K814" s="2">
        <v>20037</v>
      </c>
      <c r="L814" s="2">
        <v>2</v>
      </c>
      <c r="M814" t="str">
        <f>IF(Revv_bike_sales_data[[#This Row],[delivery_days]]&lt;=7, "Yes", "No")</f>
        <v>Yes</v>
      </c>
      <c r="N814" t="s">
        <v>16</v>
      </c>
      <c r="O814" s="2">
        <v>114308</v>
      </c>
    </row>
    <row r="815" spans="1:15" x14ac:dyDescent="0.3">
      <c r="A815" s="2">
        <v>805</v>
      </c>
      <c r="B815" s="1">
        <v>44960.5</v>
      </c>
      <c r="C815" s="1" t="str">
        <f t="shared" si="24"/>
        <v>02-2023</v>
      </c>
      <c r="D815" s="2">
        <f t="shared" si="25"/>
        <v>5</v>
      </c>
      <c r="E815" t="s">
        <v>22</v>
      </c>
      <c r="F815" t="s">
        <v>14</v>
      </c>
      <c r="G815" t="s">
        <v>21</v>
      </c>
      <c r="H815" s="2">
        <v>66601</v>
      </c>
      <c r="I815" s="2">
        <v>6</v>
      </c>
      <c r="J815" s="2">
        <v>62117</v>
      </c>
      <c r="K815" s="2">
        <v>75526</v>
      </c>
      <c r="L815" s="2">
        <v>6</v>
      </c>
      <c r="M815" t="str">
        <f>IF(Revv_bike_sales_data[[#This Row],[delivery_days]]&lt;=7, "Yes", "No")</f>
        <v>Yes</v>
      </c>
      <c r="N815" t="s">
        <v>16</v>
      </c>
      <c r="O815" s="2">
        <v>-13409</v>
      </c>
    </row>
    <row r="816" spans="1:15" x14ac:dyDescent="0.3">
      <c r="A816" s="2">
        <v>806</v>
      </c>
      <c r="B816" s="1">
        <v>44960.541666666664</v>
      </c>
      <c r="C816" s="1" t="str">
        <f t="shared" si="24"/>
        <v>02-2023</v>
      </c>
      <c r="D816" s="2">
        <f t="shared" si="25"/>
        <v>5</v>
      </c>
      <c r="E816" t="s">
        <v>22</v>
      </c>
      <c r="F816" t="s">
        <v>14</v>
      </c>
      <c r="G816" t="s">
        <v>21</v>
      </c>
      <c r="H816" s="2">
        <v>39273</v>
      </c>
      <c r="I816" s="2">
        <v>5</v>
      </c>
      <c r="J816" s="2">
        <v>154980</v>
      </c>
      <c r="K816" s="2">
        <v>102914</v>
      </c>
      <c r="L816" s="2">
        <v>1</v>
      </c>
      <c r="M816" t="str">
        <f>IF(Revv_bike_sales_data[[#This Row],[delivery_days]]&lt;=7, "Yes", "No")</f>
        <v>Yes</v>
      </c>
      <c r="N816" t="s">
        <v>16</v>
      </c>
      <c r="O816" s="2">
        <v>52066</v>
      </c>
    </row>
    <row r="817" spans="1:15" x14ac:dyDescent="0.3">
      <c r="A817" s="2">
        <v>807</v>
      </c>
      <c r="B817" s="1">
        <v>44960.583333333336</v>
      </c>
      <c r="C817" s="1" t="str">
        <f t="shared" si="24"/>
        <v>02-2023</v>
      </c>
      <c r="D817" s="2">
        <f t="shared" si="25"/>
        <v>5</v>
      </c>
      <c r="E817" t="s">
        <v>18</v>
      </c>
      <c r="F817" t="s">
        <v>14</v>
      </c>
      <c r="G817" t="s">
        <v>19</v>
      </c>
      <c r="H817" s="2">
        <v>75223</v>
      </c>
      <c r="I817" s="2">
        <v>4</v>
      </c>
      <c r="J817" s="2">
        <v>161037</v>
      </c>
      <c r="K817" s="2">
        <v>29693</v>
      </c>
      <c r="L817" s="2">
        <v>11</v>
      </c>
      <c r="M817" t="str">
        <f>IF(Revv_bike_sales_data[[#This Row],[delivery_days]]&lt;=7, "Yes", "No")</f>
        <v>No</v>
      </c>
      <c r="N817" t="s">
        <v>16</v>
      </c>
      <c r="O817" s="2">
        <v>131344</v>
      </c>
    </row>
    <row r="818" spans="1:15" x14ac:dyDescent="0.3">
      <c r="A818" s="2">
        <v>808</v>
      </c>
      <c r="B818" s="1">
        <v>44960.625</v>
      </c>
      <c r="C818" s="1" t="str">
        <f t="shared" si="24"/>
        <v>02-2023</v>
      </c>
      <c r="D818" s="2">
        <f t="shared" si="25"/>
        <v>5</v>
      </c>
      <c r="E818" t="s">
        <v>18</v>
      </c>
      <c r="F818" t="s">
        <v>14</v>
      </c>
      <c r="G818" t="s">
        <v>19</v>
      </c>
      <c r="H818" s="2">
        <v>73262</v>
      </c>
      <c r="I818" s="2">
        <v>9</v>
      </c>
      <c r="J818" s="2">
        <v>42373</v>
      </c>
      <c r="K818" s="2">
        <v>107162</v>
      </c>
      <c r="L818" s="2">
        <v>10</v>
      </c>
      <c r="M818" t="str">
        <f>IF(Revv_bike_sales_data[[#This Row],[delivery_days]]&lt;=7, "Yes", "No")</f>
        <v>No</v>
      </c>
      <c r="N818" t="s">
        <v>16</v>
      </c>
      <c r="O818" s="2">
        <v>-64789</v>
      </c>
    </row>
    <row r="819" spans="1:15" x14ac:dyDescent="0.3">
      <c r="A819" s="2">
        <v>809</v>
      </c>
      <c r="B819" s="1">
        <v>44960.666666666664</v>
      </c>
      <c r="C819" s="1" t="str">
        <f t="shared" si="24"/>
        <v>02-2023</v>
      </c>
      <c r="D819" s="2">
        <f t="shared" si="25"/>
        <v>5</v>
      </c>
      <c r="E819" t="s">
        <v>25</v>
      </c>
      <c r="F819" t="s">
        <v>14</v>
      </c>
      <c r="G819" t="s">
        <v>15</v>
      </c>
      <c r="H819" s="2">
        <v>4811</v>
      </c>
      <c r="I819" s="2">
        <v>1</v>
      </c>
      <c r="J819" s="2">
        <v>70452</v>
      </c>
      <c r="K819" s="2">
        <v>74090</v>
      </c>
      <c r="L819" s="2">
        <v>3</v>
      </c>
      <c r="M819" t="str">
        <f>IF(Revv_bike_sales_data[[#This Row],[delivery_days]]&lt;=7, "Yes", "No")</f>
        <v>Yes</v>
      </c>
      <c r="N819" t="s">
        <v>16</v>
      </c>
      <c r="O819" s="2">
        <v>-3638</v>
      </c>
    </row>
    <row r="820" spans="1:15" x14ac:dyDescent="0.3">
      <c r="A820" s="2">
        <v>810</v>
      </c>
      <c r="B820" s="1">
        <v>44960.708333333336</v>
      </c>
      <c r="C820" s="1" t="str">
        <f t="shared" si="24"/>
        <v>02-2023</v>
      </c>
      <c r="D820" s="2">
        <f t="shared" si="25"/>
        <v>5</v>
      </c>
      <c r="E820" t="s">
        <v>17</v>
      </c>
      <c r="F820" t="s">
        <v>14</v>
      </c>
      <c r="G820" t="s">
        <v>20</v>
      </c>
      <c r="H820" s="2">
        <v>57388</v>
      </c>
      <c r="I820" s="2">
        <v>4</v>
      </c>
      <c r="J820" s="2">
        <v>31654</v>
      </c>
      <c r="K820" s="2">
        <v>17451</v>
      </c>
      <c r="L820" s="2">
        <v>14</v>
      </c>
      <c r="M820" t="str">
        <f>IF(Revv_bike_sales_data[[#This Row],[delivery_days]]&lt;=7, "Yes", "No")</f>
        <v>No</v>
      </c>
      <c r="N820" t="s">
        <v>24</v>
      </c>
      <c r="O820" s="2">
        <v>14203</v>
      </c>
    </row>
    <row r="821" spans="1:15" x14ac:dyDescent="0.3">
      <c r="A821" s="2">
        <v>811</v>
      </c>
      <c r="B821" s="1">
        <v>44960.75</v>
      </c>
      <c r="C821" s="1" t="str">
        <f t="shared" si="24"/>
        <v>02-2023</v>
      </c>
      <c r="D821" s="2">
        <f t="shared" si="25"/>
        <v>5</v>
      </c>
      <c r="E821" t="s">
        <v>13</v>
      </c>
      <c r="F821" t="s">
        <v>14</v>
      </c>
      <c r="G821" t="s">
        <v>15</v>
      </c>
      <c r="H821" s="2">
        <v>42116</v>
      </c>
      <c r="I821" s="2">
        <v>8</v>
      </c>
      <c r="J821" s="2">
        <v>148319</v>
      </c>
      <c r="K821" s="2">
        <v>80560</v>
      </c>
      <c r="L821" s="2">
        <v>9</v>
      </c>
      <c r="M821" t="str">
        <f>IF(Revv_bike_sales_data[[#This Row],[delivery_days]]&lt;=7, "Yes", "No")</f>
        <v>No</v>
      </c>
      <c r="N821" t="s">
        <v>16</v>
      </c>
      <c r="O821" s="2">
        <v>67759</v>
      </c>
    </row>
    <row r="822" spans="1:15" x14ac:dyDescent="0.3">
      <c r="A822" s="2">
        <v>812</v>
      </c>
      <c r="B822" s="1">
        <v>44960.791666666664</v>
      </c>
      <c r="C822" s="1" t="str">
        <f t="shared" si="24"/>
        <v>02-2023</v>
      </c>
      <c r="D822" s="2">
        <f t="shared" si="25"/>
        <v>5</v>
      </c>
      <c r="E822" t="s">
        <v>22</v>
      </c>
      <c r="F822" t="s">
        <v>14</v>
      </c>
      <c r="G822" t="s">
        <v>20</v>
      </c>
      <c r="H822" s="2">
        <v>52634</v>
      </c>
      <c r="I822" s="2">
        <v>8</v>
      </c>
      <c r="J822" s="2">
        <v>130646</v>
      </c>
      <c r="K822" s="2">
        <v>20962</v>
      </c>
      <c r="L822" s="2">
        <v>2</v>
      </c>
      <c r="M822" t="str">
        <f>IF(Revv_bike_sales_data[[#This Row],[delivery_days]]&lt;=7, "Yes", "No")</f>
        <v>Yes</v>
      </c>
      <c r="N822" t="s">
        <v>16</v>
      </c>
      <c r="O822" s="2">
        <v>109684</v>
      </c>
    </row>
    <row r="823" spans="1:15" x14ac:dyDescent="0.3">
      <c r="A823" s="2">
        <v>813</v>
      </c>
      <c r="B823" s="1">
        <v>44960.833333333336</v>
      </c>
      <c r="C823" s="1" t="str">
        <f t="shared" si="24"/>
        <v>02-2023</v>
      </c>
      <c r="D823" s="2">
        <f t="shared" si="25"/>
        <v>5</v>
      </c>
      <c r="E823" t="s">
        <v>25</v>
      </c>
      <c r="F823" t="s">
        <v>14</v>
      </c>
      <c r="G823" t="s">
        <v>21</v>
      </c>
      <c r="H823" s="2">
        <v>91725</v>
      </c>
      <c r="I823" s="2">
        <v>1</v>
      </c>
      <c r="J823" s="2">
        <v>51583</v>
      </c>
      <c r="K823" s="2">
        <v>115860</v>
      </c>
      <c r="L823" s="2">
        <v>8</v>
      </c>
      <c r="M823" t="str">
        <f>IF(Revv_bike_sales_data[[#This Row],[delivery_days]]&lt;=7, "Yes", "No")</f>
        <v>No</v>
      </c>
      <c r="N823" t="s">
        <v>16</v>
      </c>
      <c r="O823" s="2">
        <v>-64277</v>
      </c>
    </row>
    <row r="824" spans="1:15" x14ac:dyDescent="0.3">
      <c r="A824" s="2">
        <v>814</v>
      </c>
      <c r="B824" s="1">
        <v>44960.875</v>
      </c>
      <c r="C824" s="1" t="str">
        <f t="shared" si="24"/>
        <v>02-2023</v>
      </c>
      <c r="D824" s="2">
        <f t="shared" si="25"/>
        <v>5</v>
      </c>
      <c r="E824" t="s">
        <v>25</v>
      </c>
      <c r="F824" t="s">
        <v>14</v>
      </c>
      <c r="G824" t="s">
        <v>20</v>
      </c>
      <c r="H824" s="2">
        <v>6583</v>
      </c>
      <c r="I824" s="2">
        <v>6</v>
      </c>
      <c r="J824" s="2">
        <v>119242</v>
      </c>
      <c r="K824" s="2">
        <v>111951</v>
      </c>
      <c r="L824" s="2">
        <v>6</v>
      </c>
      <c r="M824" t="str">
        <f>IF(Revv_bike_sales_data[[#This Row],[delivery_days]]&lt;=7, "Yes", "No")</f>
        <v>Yes</v>
      </c>
      <c r="N824" t="s">
        <v>24</v>
      </c>
      <c r="O824" s="2">
        <v>7291</v>
      </c>
    </row>
    <row r="825" spans="1:15" x14ac:dyDescent="0.3">
      <c r="A825" s="2">
        <v>815</v>
      </c>
      <c r="B825" s="1">
        <v>44960.916666666664</v>
      </c>
      <c r="C825" s="1" t="str">
        <f t="shared" si="24"/>
        <v>02-2023</v>
      </c>
      <c r="D825" s="2">
        <f t="shared" si="25"/>
        <v>5</v>
      </c>
      <c r="E825" t="s">
        <v>22</v>
      </c>
      <c r="F825" t="s">
        <v>14</v>
      </c>
      <c r="G825" t="s">
        <v>20</v>
      </c>
      <c r="H825" s="2">
        <v>13098</v>
      </c>
      <c r="I825" s="2">
        <v>9</v>
      </c>
      <c r="J825" s="2">
        <v>162432</v>
      </c>
      <c r="K825" s="2">
        <v>104552</v>
      </c>
      <c r="L825" s="2">
        <v>12</v>
      </c>
      <c r="M825" t="str">
        <f>IF(Revv_bike_sales_data[[#This Row],[delivery_days]]&lt;=7, "Yes", "No")</f>
        <v>No</v>
      </c>
      <c r="N825" t="s">
        <v>16</v>
      </c>
      <c r="O825" s="2">
        <v>57880</v>
      </c>
    </row>
    <row r="826" spans="1:15" x14ac:dyDescent="0.3">
      <c r="A826" s="2">
        <v>816</v>
      </c>
      <c r="B826" s="1">
        <v>44960.958333333336</v>
      </c>
      <c r="C826" s="1" t="str">
        <f t="shared" si="24"/>
        <v>02-2023</v>
      </c>
      <c r="D826" s="2">
        <f t="shared" si="25"/>
        <v>5</v>
      </c>
      <c r="E826" t="s">
        <v>13</v>
      </c>
      <c r="F826" t="s">
        <v>14</v>
      </c>
      <c r="G826" t="s">
        <v>21</v>
      </c>
      <c r="H826" s="2">
        <v>82976</v>
      </c>
      <c r="I826" s="2">
        <v>3</v>
      </c>
      <c r="J826" s="2">
        <v>78968</v>
      </c>
      <c r="K826" s="2">
        <v>31444</v>
      </c>
      <c r="L826" s="2">
        <v>6</v>
      </c>
      <c r="M826" t="str">
        <f>IF(Revv_bike_sales_data[[#This Row],[delivery_days]]&lt;=7, "Yes", "No")</f>
        <v>Yes</v>
      </c>
      <c r="N826" t="s">
        <v>16</v>
      </c>
      <c r="O826" s="2">
        <v>47524</v>
      </c>
    </row>
    <row r="827" spans="1:15" x14ac:dyDescent="0.3">
      <c r="A827" s="2">
        <v>817</v>
      </c>
      <c r="B827" s="1">
        <v>44961</v>
      </c>
      <c r="C827" s="1" t="str">
        <f t="shared" si="24"/>
        <v>02-2023</v>
      </c>
      <c r="D827" s="2">
        <f t="shared" si="25"/>
        <v>5</v>
      </c>
      <c r="E827" t="s">
        <v>25</v>
      </c>
      <c r="F827" t="s">
        <v>14</v>
      </c>
      <c r="G827" t="s">
        <v>21</v>
      </c>
      <c r="H827" s="2">
        <v>92916</v>
      </c>
      <c r="I827" s="2">
        <v>2</v>
      </c>
      <c r="J827" s="2">
        <v>159815</v>
      </c>
      <c r="K827" s="2">
        <v>55443</v>
      </c>
      <c r="L827" s="2">
        <v>7</v>
      </c>
      <c r="M827" t="str">
        <f>IF(Revv_bike_sales_data[[#This Row],[delivery_days]]&lt;=7, "Yes", "No")</f>
        <v>Yes</v>
      </c>
      <c r="N827" t="s">
        <v>16</v>
      </c>
      <c r="O827" s="2">
        <v>104372</v>
      </c>
    </row>
    <row r="828" spans="1:15" x14ac:dyDescent="0.3">
      <c r="A828" s="2">
        <v>818</v>
      </c>
      <c r="B828" s="1">
        <v>44961.041666666664</v>
      </c>
      <c r="C828" s="1" t="str">
        <f t="shared" si="24"/>
        <v>02-2023</v>
      </c>
      <c r="D828" s="2">
        <f t="shared" si="25"/>
        <v>5</v>
      </c>
      <c r="E828" t="s">
        <v>25</v>
      </c>
      <c r="F828" t="s">
        <v>23</v>
      </c>
      <c r="G828" t="s">
        <v>21</v>
      </c>
      <c r="H828" s="2">
        <v>3080</v>
      </c>
      <c r="I828" s="2">
        <v>0</v>
      </c>
      <c r="J828" s="2">
        <v>163231</v>
      </c>
      <c r="K828" s="2">
        <v>31506</v>
      </c>
      <c r="L828" s="2">
        <v>5</v>
      </c>
      <c r="M828" t="str">
        <f>IF(Revv_bike_sales_data[[#This Row],[delivery_days]]&lt;=7, "Yes", "No")</f>
        <v>Yes</v>
      </c>
      <c r="N828" t="s">
        <v>16</v>
      </c>
      <c r="O828" s="2">
        <v>131725</v>
      </c>
    </row>
    <row r="829" spans="1:15" x14ac:dyDescent="0.3">
      <c r="A829" s="2">
        <v>819</v>
      </c>
      <c r="B829" s="1">
        <v>44961.083333333336</v>
      </c>
      <c r="C829" s="1" t="str">
        <f t="shared" si="24"/>
        <v>02-2023</v>
      </c>
      <c r="D829" s="2">
        <f t="shared" si="25"/>
        <v>5</v>
      </c>
      <c r="E829" t="s">
        <v>17</v>
      </c>
      <c r="F829" t="s">
        <v>23</v>
      </c>
      <c r="G829" t="s">
        <v>15</v>
      </c>
      <c r="H829" s="2">
        <v>57895</v>
      </c>
      <c r="I829" s="2">
        <v>2</v>
      </c>
      <c r="J829" s="2">
        <v>156590</v>
      </c>
      <c r="K829" s="2">
        <v>53384</v>
      </c>
      <c r="L829" s="2">
        <v>12</v>
      </c>
      <c r="M829" t="str">
        <f>IF(Revv_bike_sales_data[[#This Row],[delivery_days]]&lt;=7, "Yes", "No")</f>
        <v>No</v>
      </c>
      <c r="N829" t="s">
        <v>16</v>
      </c>
      <c r="O829" s="2">
        <v>103206</v>
      </c>
    </row>
    <row r="830" spans="1:15" x14ac:dyDescent="0.3">
      <c r="A830" s="2">
        <v>820</v>
      </c>
      <c r="B830" s="1">
        <v>44961.125</v>
      </c>
      <c r="C830" s="1" t="str">
        <f t="shared" si="24"/>
        <v>02-2023</v>
      </c>
      <c r="D830" s="2">
        <f t="shared" si="25"/>
        <v>5</v>
      </c>
      <c r="E830" t="s">
        <v>13</v>
      </c>
      <c r="F830" t="s">
        <v>14</v>
      </c>
      <c r="G830" t="s">
        <v>21</v>
      </c>
      <c r="H830" s="2">
        <v>42821</v>
      </c>
      <c r="I830" s="2">
        <v>8</v>
      </c>
      <c r="J830" s="2">
        <v>41652</v>
      </c>
      <c r="K830" s="2">
        <v>123598</v>
      </c>
      <c r="L830" s="2">
        <v>11</v>
      </c>
      <c r="M830" t="str">
        <f>IF(Revv_bike_sales_data[[#This Row],[delivery_days]]&lt;=7, "Yes", "No")</f>
        <v>No</v>
      </c>
      <c r="N830" t="s">
        <v>16</v>
      </c>
      <c r="O830" s="2">
        <v>-81946</v>
      </c>
    </row>
    <row r="831" spans="1:15" x14ac:dyDescent="0.3">
      <c r="A831" s="2">
        <v>821</v>
      </c>
      <c r="B831" s="1">
        <v>44961.166666666664</v>
      </c>
      <c r="C831" s="1" t="str">
        <f t="shared" si="24"/>
        <v>02-2023</v>
      </c>
      <c r="D831" s="2">
        <f t="shared" si="25"/>
        <v>5</v>
      </c>
      <c r="E831" t="s">
        <v>25</v>
      </c>
      <c r="F831" t="s">
        <v>14</v>
      </c>
      <c r="G831" t="s">
        <v>19</v>
      </c>
      <c r="H831" s="2">
        <v>9886</v>
      </c>
      <c r="I831" s="2">
        <v>8</v>
      </c>
      <c r="J831" s="2">
        <v>138114</v>
      </c>
      <c r="K831" s="2">
        <v>130874</v>
      </c>
      <c r="L831" s="2">
        <v>4</v>
      </c>
      <c r="M831" t="str">
        <f>IF(Revv_bike_sales_data[[#This Row],[delivery_days]]&lt;=7, "Yes", "No")</f>
        <v>Yes</v>
      </c>
      <c r="N831" t="s">
        <v>24</v>
      </c>
      <c r="O831" s="2">
        <v>7240</v>
      </c>
    </row>
    <row r="832" spans="1:15" x14ac:dyDescent="0.3">
      <c r="A832" s="2">
        <v>822</v>
      </c>
      <c r="B832" s="1">
        <v>44961.208333333336</v>
      </c>
      <c r="C832" s="1" t="str">
        <f t="shared" si="24"/>
        <v>02-2023</v>
      </c>
      <c r="D832" s="2">
        <f t="shared" si="25"/>
        <v>5</v>
      </c>
      <c r="E832" t="s">
        <v>13</v>
      </c>
      <c r="F832" t="s">
        <v>14</v>
      </c>
      <c r="G832" t="s">
        <v>21</v>
      </c>
      <c r="H832" s="2">
        <v>53671</v>
      </c>
      <c r="I832" s="2">
        <v>6</v>
      </c>
      <c r="J832" s="2">
        <v>127489</v>
      </c>
      <c r="K832" s="2">
        <v>112229</v>
      </c>
      <c r="L832" s="2">
        <v>6</v>
      </c>
      <c r="M832" t="str">
        <f>IF(Revv_bike_sales_data[[#This Row],[delivery_days]]&lt;=7, "Yes", "No")</f>
        <v>Yes</v>
      </c>
      <c r="N832" t="s">
        <v>16</v>
      </c>
      <c r="O832" s="2">
        <v>15260</v>
      </c>
    </row>
    <row r="833" spans="1:15" x14ac:dyDescent="0.3">
      <c r="A833" s="2">
        <v>823</v>
      </c>
      <c r="B833" s="1">
        <v>44961.25</v>
      </c>
      <c r="C833" s="1" t="str">
        <f t="shared" si="24"/>
        <v>02-2023</v>
      </c>
      <c r="D833" s="2">
        <f t="shared" si="25"/>
        <v>5</v>
      </c>
      <c r="E833" t="s">
        <v>22</v>
      </c>
      <c r="F833" t="s">
        <v>23</v>
      </c>
      <c r="G833" t="s">
        <v>21</v>
      </c>
      <c r="H833" s="2">
        <v>20022</v>
      </c>
      <c r="I833" s="2">
        <v>2</v>
      </c>
      <c r="J833" s="2">
        <v>102001</v>
      </c>
      <c r="K833" s="2">
        <v>127314</v>
      </c>
      <c r="L833" s="2">
        <v>8</v>
      </c>
      <c r="M833" t="str">
        <f>IF(Revv_bike_sales_data[[#This Row],[delivery_days]]&lt;=7, "Yes", "No")</f>
        <v>No</v>
      </c>
      <c r="N833" t="s">
        <v>24</v>
      </c>
      <c r="O833" s="2">
        <v>-25313</v>
      </c>
    </row>
    <row r="834" spans="1:15" x14ac:dyDescent="0.3">
      <c r="A834" s="2">
        <v>824</v>
      </c>
      <c r="B834" s="1">
        <v>44961.291666666664</v>
      </c>
      <c r="C834" s="1" t="str">
        <f t="shared" si="24"/>
        <v>02-2023</v>
      </c>
      <c r="D834" s="2">
        <f t="shared" si="25"/>
        <v>5</v>
      </c>
      <c r="E834" t="s">
        <v>18</v>
      </c>
      <c r="F834" t="s">
        <v>23</v>
      </c>
      <c r="G834" t="s">
        <v>21</v>
      </c>
      <c r="H834" s="2">
        <v>66032</v>
      </c>
      <c r="I834" s="2">
        <v>2</v>
      </c>
      <c r="J834" s="2">
        <v>149269</v>
      </c>
      <c r="K834" s="2">
        <v>134846</v>
      </c>
      <c r="L834" s="2">
        <v>4</v>
      </c>
      <c r="M834" t="str">
        <f>IF(Revv_bike_sales_data[[#This Row],[delivery_days]]&lt;=7, "Yes", "No")</f>
        <v>Yes</v>
      </c>
      <c r="N834" t="s">
        <v>16</v>
      </c>
      <c r="O834" s="2">
        <v>14423</v>
      </c>
    </row>
    <row r="835" spans="1:15" x14ac:dyDescent="0.3">
      <c r="A835" s="2">
        <v>825</v>
      </c>
      <c r="B835" s="1">
        <v>44961.333333333336</v>
      </c>
      <c r="C835" s="1" t="str">
        <f t="shared" si="24"/>
        <v>02-2023</v>
      </c>
      <c r="D835" s="2">
        <f t="shared" si="25"/>
        <v>5</v>
      </c>
      <c r="E835" t="s">
        <v>25</v>
      </c>
      <c r="F835" t="s">
        <v>14</v>
      </c>
      <c r="G835" t="s">
        <v>20</v>
      </c>
      <c r="H835" s="2">
        <v>92260</v>
      </c>
      <c r="I835" s="2">
        <v>3</v>
      </c>
      <c r="J835" s="2">
        <v>101757</v>
      </c>
      <c r="K835" s="2">
        <v>39248</v>
      </c>
      <c r="L835" s="2">
        <v>5</v>
      </c>
      <c r="M835" t="str">
        <f>IF(Revv_bike_sales_data[[#This Row],[delivery_days]]&lt;=7, "Yes", "No")</f>
        <v>Yes</v>
      </c>
      <c r="N835" t="s">
        <v>16</v>
      </c>
      <c r="O835" s="2">
        <v>62509</v>
      </c>
    </row>
    <row r="836" spans="1:15" x14ac:dyDescent="0.3">
      <c r="A836" s="2">
        <v>826</v>
      </c>
      <c r="B836" s="1">
        <v>44961.375</v>
      </c>
      <c r="C836" s="1" t="str">
        <f t="shared" si="24"/>
        <v>02-2023</v>
      </c>
      <c r="D836" s="2">
        <f t="shared" si="25"/>
        <v>5</v>
      </c>
      <c r="E836" t="s">
        <v>17</v>
      </c>
      <c r="F836" t="s">
        <v>14</v>
      </c>
      <c r="G836" t="s">
        <v>15</v>
      </c>
      <c r="H836" s="2">
        <v>15135</v>
      </c>
      <c r="I836" s="2">
        <v>6</v>
      </c>
      <c r="J836" s="2">
        <v>49395</v>
      </c>
      <c r="K836" s="2">
        <v>61162</v>
      </c>
      <c r="L836" s="2">
        <v>7</v>
      </c>
      <c r="M836" t="str">
        <f>IF(Revv_bike_sales_data[[#This Row],[delivery_days]]&lt;=7, "Yes", "No")</f>
        <v>Yes</v>
      </c>
      <c r="N836" t="s">
        <v>16</v>
      </c>
      <c r="O836" s="2">
        <v>-11767</v>
      </c>
    </row>
    <row r="837" spans="1:15" x14ac:dyDescent="0.3">
      <c r="A837" s="2">
        <v>827</v>
      </c>
      <c r="B837" s="1">
        <v>44961.416666666664</v>
      </c>
      <c r="C837" s="1" t="str">
        <f t="shared" si="24"/>
        <v>02-2023</v>
      </c>
      <c r="D837" s="2">
        <f t="shared" si="25"/>
        <v>5</v>
      </c>
      <c r="E837" t="s">
        <v>22</v>
      </c>
      <c r="F837" t="s">
        <v>14</v>
      </c>
      <c r="G837" t="s">
        <v>21</v>
      </c>
      <c r="H837" s="2">
        <v>1171</v>
      </c>
      <c r="I837" s="2">
        <v>6</v>
      </c>
      <c r="J837" s="2">
        <v>158407</v>
      </c>
      <c r="K837" s="2">
        <v>57690</v>
      </c>
      <c r="L837" s="2">
        <v>6</v>
      </c>
      <c r="M837" t="str">
        <f>IF(Revv_bike_sales_data[[#This Row],[delivery_days]]&lt;=7, "Yes", "No")</f>
        <v>Yes</v>
      </c>
      <c r="N837" t="s">
        <v>16</v>
      </c>
      <c r="O837" s="2">
        <v>100717</v>
      </c>
    </row>
    <row r="838" spans="1:15" x14ac:dyDescent="0.3">
      <c r="A838" s="2">
        <v>828</v>
      </c>
      <c r="B838" s="1">
        <v>44961.458333333336</v>
      </c>
      <c r="C838" s="1" t="str">
        <f t="shared" si="24"/>
        <v>02-2023</v>
      </c>
      <c r="D838" s="2">
        <f t="shared" si="25"/>
        <v>5</v>
      </c>
      <c r="E838" t="s">
        <v>13</v>
      </c>
      <c r="F838" t="s">
        <v>14</v>
      </c>
      <c r="G838" t="s">
        <v>15</v>
      </c>
      <c r="H838" s="2">
        <v>34045</v>
      </c>
      <c r="I838" s="2">
        <v>1</v>
      </c>
      <c r="J838" s="2">
        <v>126978</v>
      </c>
      <c r="K838" s="2">
        <v>84625</v>
      </c>
      <c r="L838" s="2">
        <v>13</v>
      </c>
      <c r="M838" t="str">
        <f>IF(Revv_bike_sales_data[[#This Row],[delivery_days]]&lt;=7, "Yes", "No")</f>
        <v>No</v>
      </c>
      <c r="N838" t="s">
        <v>16</v>
      </c>
      <c r="O838" s="2">
        <v>42353</v>
      </c>
    </row>
    <row r="839" spans="1:15" x14ac:dyDescent="0.3">
      <c r="A839" s="2">
        <v>829</v>
      </c>
      <c r="B839" s="1">
        <v>44961.5</v>
      </c>
      <c r="C839" s="1" t="str">
        <f t="shared" si="24"/>
        <v>02-2023</v>
      </c>
      <c r="D839" s="2">
        <f t="shared" si="25"/>
        <v>5</v>
      </c>
      <c r="E839" t="s">
        <v>22</v>
      </c>
      <c r="F839" t="s">
        <v>14</v>
      </c>
      <c r="G839" t="s">
        <v>19</v>
      </c>
      <c r="H839" s="2">
        <v>54579</v>
      </c>
      <c r="I839" s="2">
        <v>4</v>
      </c>
      <c r="J839" s="2">
        <v>156572</v>
      </c>
      <c r="K839" s="2">
        <v>127752</v>
      </c>
      <c r="L839" s="2">
        <v>4</v>
      </c>
      <c r="M839" t="str">
        <f>IF(Revv_bike_sales_data[[#This Row],[delivery_days]]&lt;=7, "Yes", "No")</f>
        <v>Yes</v>
      </c>
      <c r="N839" t="s">
        <v>16</v>
      </c>
      <c r="O839" s="2">
        <v>28820</v>
      </c>
    </row>
    <row r="840" spans="1:15" x14ac:dyDescent="0.3">
      <c r="A840" s="2">
        <v>830</v>
      </c>
      <c r="B840" s="1">
        <v>44961.541666666664</v>
      </c>
      <c r="C840" s="1" t="str">
        <f t="shared" si="24"/>
        <v>02-2023</v>
      </c>
      <c r="D840" s="2">
        <f t="shared" si="25"/>
        <v>5</v>
      </c>
      <c r="E840" t="s">
        <v>25</v>
      </c>
      <c r="F840" t="s">
        <v>23</v>
      </c>
      <c r="G840" t="s">
        <v>19</v>
      </c>
      <c r="H840" s="2">
        <v>27355</v>
      </c>
      <c r="I840" s="2">
        <v>6</v>
      </c>
      <c r="J840" s="2">
        <v>149541</v>
      </c>
      <c r="K840" s="2">
        <v>83008</v>
      </c>
      <c r="L840" s="2">
        <v>13</v>
      </c>
      <c r="M840" t="str">
        <f>IF(Revv_bike_sales_data[[#This Row],[delivery_days]]&lt;=7, "Yes", "No")</f>
        <v>No</v>
      </c>
      <c r="N840" t="s">
        <v>16</v>
      </c>
      <c r="O840" s="2">
        <v>66533</v>
      </c>
    </row>
    <row r="841" spans="1:15" x14ac:dyDescent="0.3">
      <c r="A841" s="2">
        <v>831</v>
      </c>
      <c r="B841" s="1">
        <v>44961.583333333336</v>
      </c>
      <c r="C841" s="1" t="str">
        <f t="shared" si="24"/>
        <v>02-2023</v>
      </c>
      <c r="D841" s="2">
        <f t="shared" si="25"/>
        <v>5</v>
      </c>
      <c r="E841" t="s">
        <v>13</v>
      </c>
      <c r="F841" t="s">
        <v>14</v>
      </c>
      <c r="G841" t="s">
        <v>21</v>
      </c>
      <c r="H841" s="2">
        <v>36290</v>
      </c>
      <c r="I841" s="2">
        <v>6</v>
      </c>
      <c r="J841" s="2">
        <v>33083</v>
      </c>
      <c r="K841" s="2">
        <v>75309</v>
      </c>
      <c r="L841" s="2">
        <v>4</v>
      </c>
      <c r="M841" t="str">
        <f>IF(Revv_bike_sales_data[[#This Row],[delivery_days]]&lt;=7, "Yes", "No")</f>
        <v>Yes</v>
      </c>
      <c r="N841" t="s">
        <v>16</v>
      </c>
      <c r="O841" s="2">
        <v>-42226</v>
      </c>
    </row>
    <row r="842" spans="1:15" x14ac:dyDescent="0.3">
      <c r="A842" s="2">
        <v>832</v>
      </c>
      <c r="B842" s="1">
        <v>44961.625</v>
      </c>
      <c r="C842" s="1" t="str">
        <f t="shared" si="24"/>
        <v>02-2023</v>
      </c>
      <c r="D842" s="2">
        <f t="shared" si="25"/>
        <v>5</v>
      </c>
      <c r="E842" t="s">
        <v>18</v>
      </c>
      <c r="F842" t="s">
        <v>14</v>
      </c>
      <c r="G842" t="s">
        <v>19</v>
      </c>
      <c r="H842" s="2">
        <v>51512</v>
      </c>
      <c r="I842" s="2">
        <v>5</v>
      </c>
      <c r="J842" s="2">
        <v>131598</v>
      </c>
      <c r="K842" s="2">
        <v>58237</v>
      </c>
      <c r="L842" s="2">
        <v>10</v>
      </c>
      <c r="M842" t="str">
        <f>IF(Revv_bike_sales_data[[#This Row],[delivery_days]]&lt;=7, "Yes", "No")</f>
        <v>No</v>
      </c>
      <c r="N842" t="s">
        <v>16</v>
      </c>
      <c r="O842" s="2">
        <v>73361</v>
      </c>
    </row>
    <row r="843" spans="1:15" x14ac:dyDescent="0.3">
      <c r="A843" s="2">
        <v>833</v>
      </c>
      <c r="B843" s="1">
        <v>44961.666666666664</v>
      </c>
      <c r="C843" s="1" t="str">
        <f t="shared" ref="C843:C906" si="26">TEXT(B843,"mm-yyyy")</f>
        <v>02-2023</v>
      </c>
      <c r="D843" s="2">
        <f t="shared" ref="D843:D906" si="27">WEEKNUM(B843)</f>
        <v>5</v>
      </c>
      <c r="E843" t="s">
        <v>22</v>
      </c>
      <c r="F843" t="s">
        <v>23</v>
      </c>
      <c r="G843" t="s">
        <v>15</v>
      </c>
      <c r="H843" s="2">
        <v>14760</v>
      </c>
      <c r="I843" s="2">
        <v>9</v>
      </c>
      <c r="J843" s="2">
        <v>161615</v>
      </c>
      <c r="K843" s="2">
        <v>120754</v>
      </c>
      <c r="L843" s="2">
        <v>4</v>
      </c>
      <c r="M843" t="str">
        <f>IF(Revv_bike_sales_data[[#This Row],[delivery_days]]&lt;=7, "Yes", "No")</f>
        <v>Yes</v>
      </c>
      <c r="N843" t="s">
        <v>16</v>
      </c>
      <c r="O843" s="2">
        <v>40861</v>
      </c>
    </row>
    <row r="844" spans="1:15" x14ac:dyDescent="0.3">
      <c r="A844" s="2">
        <v>834</v>
      </c>
      <c r="B844" s="1">
        <v>44961.708333333336</v>
      </c>
      <c r="C844" s="1" t="str">
        <f t="shared" si="26"/>
        <v>02-2023</v>
      </c>
      <c r="D844" s="2">
        <f t="shared" si="27"/>
        <v>5</v>
      </c>
      <c r="E844" t="s">
        <v>25</v>
      </c>
      <c r="F844" t="s">
        <v>14</v>
      </c>
      <c r="G844" t="s">
        <v>20</v>
      </c>
      <c r="H844" s="2">
        <v>65639</v>
      </c>
      <c r="I844" s="2">
        <v>9</v>
      </c>
      <c r="J844" s="2">
        <v>121171</v>
      </c>
      <c r="K844" s="2">
        <v>50732</v>
      </c>
      <c r="L844" s="2">
        <v>1</v>
      </c>
      <c r="M844" t="str">
        <f>IF(Revv_bike_sales_data[[#This Row],[delivery_days]]&lt;=7, "Yes", "No")</f>
        <v>Yes</v>
      </c>
      <c r="N844" t="s">
        <v>24</v>
      </c>
      <c r="O844" s="2">
        <v>70439</v>
      </c>
    </row>
    <row r="845" spans="1:15" x14ac:dyDescent="0.3">
      <c r="A845" s="2">
        <v>835</v>
      </c>
      <c r="B845" s="1">
        <v>44961.75</v>
      </c>
      <c r="C845" s="1" t="str">
        <f t="shared" si="26"/>
        <v>02-2023</v>
      </c>
      <c r="D845" s="2">
        <f t="shared" si="27"/>
        <v>5</v>
      </c>
      <c r="E845" t="s">
        <v>17</v>
      </c>
      <c r="F845" t="s">
        <v>14</v>
      </c>
      <c r="G845" t="s">
        <v>21</v>
      </c>
      <c r="H845" s="2">
        <v>1574</v>
      </c>
      <c r="I845" s="2">
        <v>7</v>
      </c>
      <c r="J845" s="2">
        <v>145423</v>
      </c>
      <c r="K845" s="2">
        <v>23104</v>
      </c>
      <c r="L845" s="2">
        <v>5</v>
      </c>
      <c r="M845" t="str">
        <f>IF(Revv_bike_sales_data[[#This Row],[delivery_days]]&lt;=7, "Yes", "No")</f>
        <v>Yes</v>
      </c>
      <c r="N845" t="s">
        <v>24</v>
      </c>
      <c r="O845" s="2">
        <v>122319</v>
      </c>
    </row>
    <row r="846" spans="1:15" x14ac:dyDescent="0.3">
      <c r="A846" s="2">
        <v>836</v>
      </c>
      <c r="B846" s="1">
        <v>44961.791666666664</v>
      </c>
      <c r="C846" s="1" t="str">
        <f t="shared" si="26"/>
        <v>02-2023</v>
      </c>
      <c r="D846" s="2">
        <f t="shared" si="27"/>
        <v>5</v>
      </c>
      <c r="E846" t="s">
        <v>13</v>
      </c>
      <c r="F846" t="s">
        <v>14</v>
      </c>
      <c r="G846" t="s">
        <v>19</v>
      </c>
      <c r="H846" s="2">
        <v>43176</v>
      </c>
      <c r="I846" s="2">
        <v>2</v>
      </c>
      <c r="J846" s="2">
        <v>31613</v>
      </c>
      <c r="K846" s="2">
        <v>98230</v>
      </c>
      <c r="L846" s="2">
        <v>8</v>
      </c>
      <c r="M846" t="str">
        <f>IF(Revv_bike_sales_data[[#This Row],[delivery_days]]&lt;=7, "Yes", "No")</f>
        <v>No</v>
      </c>
      <c r="N846" t="s">
        <v>16</v>
      </c>
      <c r="O846" s="2">
        <v>-66617</v>
      </c>
    </row>
    <row r="847" spans="1:15" x14ac:dyDescent="0.3">
      <c r="A847" s="2">
        <v>837</v>
      </c>
      <c r="B847" s="1">
        <v>44961.833333333336</v>
      </c>
      <c r="C847" s="1" t="str">
        <f t="shared" si="26"/>
        <v>02-2023</v>
      </c>
      <c r="D847" s="2">
        <f t="shared" si="27"/>
        <v>5</v>
      </c>
      <c r="E847" t="s">
        <v>22</v>
      </c>
      <c r="F847" t="s">
        <v>14</v>
      </c>
      <c r="G847" t="s">
        <v>15</v>
      </c>
      <c r="H847" s="2">
        <v>9975</v>
      </c>
      <c r="I847" s="2">
        <v>0</v>
      </c>
      <c r="J847" s="2">
        <v>135033</v>
      </c>
      <c r="K847" s="2">
        <v>105266</v>
      </c>
      <c r="L847" s="2">
        <v>7</v>
      </c>
      <c r="M847" t="str">
        <f>IF(Revv_bike_sales_data[[#This Row],[delivery_days]]&lt;=7, "Yes", "No")</f>
        <v>Yes</v>
      </c>
      <c r="N847" t="s">
        <v>16</v>
      </c>
      <c r="O847" s="2">
        <v>29767</v>
      </c>
    </row>
    <row r="848" spans="1:15" x14ac:dyDescent="0.3">
      <c r="A848" s="2">
        <v>838</v>
      </c>
      <c r="B848" s="1">
        <v>44961.875</v>
      </c>
      <c r="C848" s="1" t="str">
        <f t="shared" si="26"/>
        <v>02-2023</v>
      </c>
      <c r="D848" s="2">
        <f t="shared" si="27"/>
        <v>5</v>
      </c>
      <c r="E848" t="s">
        <v>22</v>
      </c>
      <c r="F848" t="s">
        <v>14</v>
      </c>
      <c r="G848" t="s">
        <v>15</v>
      </c>
      <c r="H848" s="2">
        <v>78914</v>
      </c>
      <c r="I848" s="2">
        <v>2</v>
      </c>
      <c r="J848" s="2">
        <v>101202</v>
      </c>
      <c r="K848" s="2">
        <v>49980</v>
      </c>
      <c r="L848" s="2">
        <v>5</v>
      </c>
      <c r="M848" t="str">
        <f>IF(Revv_bike_sales_data[[#This Row],[delivery_days]]&lt;=7, "Yes", "No")</f>
        <v>Yes</v>
      </c>
      <c r="N848" t="s">
        <v>24</v>
      </c>
      <c r="O848" s="2">
        <v>51222</v>
      </c>
    </row>
    <row r="849" spans="1:15" x14ac:dyDescent="0.3">
      <c r="A849" s="2">
        <v>839</v>
      </c>
      <c r="B849" s="1">
        <v>44961.916666666664</v>
      </c>
      <c r="C849" s="1" t="str">
        <f t="shared" si="26"/>
        <v>02-2023</v>
      </c>
      <c r="D849" s="2">
        <f t="shared" si="27"/>
        <v>5</v>
      </c>
      <c r="E849" t="s">
        <v>18</v>
      </c>
      <c r="F849" t="s">
        <v>14</v>
      </c>
      <c r="G849" t="s">
        <v>19</v>
      </c>
      <c r="H849" s="2">
        <v>15620</v>
      </c>
      <c r="I849" s="2">
        <v>1</v>
      </c>
      <c r="J849" s="2">
        <v>110666</v>
      </c>
      <c r="K849" s="2">
        <v>89990</v>
      </c>
      <c r="L849" s="2">
        <v>3</v>
      </c>
      <c r="M849" t="str">
        <f>IF(Revv_bike_sales_data[[#This Row],[delivery_days]]&lt;=7, "Yes", "No")</f>
        <v>Yes</v>
      </c>
      <c r="N849" t="s">
        <v>16</v>
      </c>
      <c r="O849" s="2">
        <v>20676</v>
      </c>
    </row>
    <row r="850" spans="1:15" x14ac:dyDescent="0.3">
      <c r="A850" s="2">
        <v>840</v>
      </c>
      <c r="B850" s="1">
        <v>44961.958333333336</v>
      </c>
      <c r="C850" s="1" t="str">
        <f t="shared" si="26"/>
        <v>02-2023</v>
      </c>
      <c r="D850" s="2">
        <f t="shared" si="27"/>
        <v>5</v>
      </c>
      <c r="E850" t="s">
        <v>18</v>
      </c>
      <c r="F850" t="s">
        <v>14</v>
      </c>
      <c r="G850" t="s">
        <v>15</v>
      </c>
      <c r="H850" s="2">
        <v>23647</v>
      </c>
      <c r="I850" s="2">
        <v>1</v>
      </c>
      <c r="J850" s="2">
        <v>47068</v>
      </c>
      <c r="K850" s="2">
        <v>54560</v>
      </c>
      <c r="L850" s="2">
        <v>11</v>
      </c>
      <c r="M850" t="str">
        <f>IF(Revv_bike_sales_data[[#This Row],[delivery_days]]&lt;=7, "Yes", "No")</f>
        <v>No</v>
      </c>
      <c r="N850" t="s">
        <v>16</v>
      </c>
      <c r="O850" s="2">
        <v>-7492</v>
      </c>
    </row>
    <row r="851" spans="1:15" x14ac:dyDescent="0.3">
      <c r="A851" s="2">
        <v>841</v>
      </c>
      <c r="B851" s="1">
        <v>44962</v>
      </c>
      <c r="C851" s="1" t="str">
        <f t="shared" si="26"/>
        <v>02-2023</v>
      </c>
      <c r="D851" s="2">
        <f t="shared" si="27"/>
        <v>6</v>
      </c>
      <c r="E851" t="s">
        <v>17</v>
      </c>
      <c r="F851" t="s">
        <v>14</v>
      </c>
      <c r="G851" t="s">
        <v>15</v>
      </c>
      <c r="H851" s="2">
        <v>2486</v>
      </c>
      <c r="I851" s="2">
        <v>1</v>
      </c>
      <c r="J851" s="2">
        <v>74057</v>
      </c>
      <c r="K851" s="2">
        <v>24554</v>
      </c>
      <c r="L851" s="2">
        <v>1</v>
      </c>
      <c r="M851" t="str">
        <f>IF(Revv_bike_sales_data[[#This Row],[delivery_days]]&lt;=7, "Yes", "No")</f>
        <v>Yes</v>
      </c>
      <c r="N851" t="s">
        <v>16</v>
      </c>
      <c r="O851" s="2">
        <v>49503</v>
      </c>
    </row>
    <row r="852" spans="1:15" x14ac:dyDescent="0.3">
      <c r="A852" s="2">
        <v>842</v>
      </c>
      <c r="B852" s="1">
        <v>44962.041666666664</v>
      </c>
      <c r="C852" s="1" t="str">
        <f t="shared" si="26"/>
        <v>02-2023</v>
      </c>
      <c r="D852" s="2">
        <f t="shared" si="27"/>
        <v>6</v>
      </c>
      <c r="E852" t="s">
        <v>17</v>
      </c>
      <c r="F852" t="s">
        <v>14</v>
      </c>
      <c r="G852" t="s">
        <v>21</v>
      </c>
      <c r="H852" s="2">
        <v>32930</v>
      </c>
      <c r="I852" s="2">
        <v>4</v>
      </c>
      <c r="J852" s="2">
        <v>43946</v>
      </c>
      <c r="K852" s="2">
        <v>106049</v>
      </c>
      <c r="L852" s="2">
        <v>13</v>
      </c>
      <c r="M852" t="str">
        <f>IF(Revv_bike_sales_data[[#This Row],[delivery_days]]&lt;=7, "Yes", "No")</f>
        <v>No</v>
      </c>
      <c r="N852" t="s">
        <v>16</v>
      </c>
      <c r="O852" s="2">
        <v>-62103</v>
      </c>
    </row>
    <row r="853" spans="1:15" x14ac:dyDescent="0.3">
      <c r="A853" s="2">
        <v>843</v>
      </c>
      <c r="B853" s="1">
        <v>44962.083333333336</v>
      </c>
      <c r="C853" s="1" t="str">
        <f t="shared" si="26"/>
        <v>02-2023</v>
      </c>
      <c r="D853" s="2">
        <f t="shared" si="27"/>
        <v>6</v>
      </c>
      <c r="E853" t="s">
        <v>25</v>
      </c>
      <c r="F853" t="s">
        <v>14</v>
      </c>
      <c r="G853" t="s">
        <v>15</v>
      </c>
      <c r="H853" s="2">
        <v>55979</v>
      </c>
      <c r="I853" s="2">
        <v>0</v>
      </c>
      <c r="J853" s="2">
        <v>176619</v>
      </c>
      <c r="K853" s="2">
        <v>122007</v>
      </c>
      <c r="L853" s="2">
        <v>7</v>
      </c>
      <c r="M853" t="str">
        <f>IF(Revv_bike_sales_data[[#This Row],[delivery_days]]&lt;=7, "Yes", "No")</f>
        <v>Yes</v>
      </c>
      <c r="N853" t="s">
        <v>16</v>
      </c>
      <c r="O853" s="2">
        <v>54612</v>
      </c>
    </row>
    <row r="854" spans="1:15" x14ac:dyDescent="0.3">
      <c r="A854" s="2">
        <v>844</v>
      </c>
      <c r="B854" s="1">
        <v>44962.125</v>
      </c>
      <c r="C854" s="1" t="str">
        <f t="shared" si="26"/>
        <v>02-2023</v>
      </c>
      <c r="D854" s="2">
        <f t="shared" si="27"/>
        <v>6</v>
      </c>
      <c r="E854" t="s">
        <v>25</v>
      </c>
      <c r="F854" t="s">
        <v>14</v>
      </c>
      <c r="G854" t="s">
        <v>19</v>
      </c>
      <c r="H854" s="2">
        <v>83466</v>
      </c>
      <c r="I854" s="2">
        <v>9</v>
      </c>
      <c r="J854" s="2">
        <v>110237</v>
      </c>
      <c r="K854" s="2">
        <v>60987</v>
      </c>
      <c r="L854" s="2">
        <v>13</v>
      </c>
      <c r="M854" t="str">
        <f>IF(Revv_bike_sales_data[[#This Row],[delivery_days]]&lt;=7, "Yes", "No")</f>
        <v>No</v>
      </c>
      <c r="N854" t="s">
        <v>16</v>
      </c>
      <c r="O854" s="2">
        <v>49250</v>
      </c>
    </row>
    <row r="855" spans="1:15" x14ac:dyDescent="0.3">
      <c r="A855" s="2">
        <v>845</v>
      </c>
      <c r="B855" s="1">
        <v>44962.166666666664</v>
      </c>
      <c r="C855" s="1" t="str">
        <f t="shared" si="26"/>
        <v>02-2023</v>
      </c>
      <c r="D855" s="2">
        <f t="shared" si="27"/>
        <v>6</v>
      </c>
      <c r="E855" t="s">
        <v>17</v>
      </c>
      <c r="F855" t="s">
        <v>14</v>
      </c>
      <c r="G855" t="s">
        <v>21</v>
      </c>
      <c r="H855" s="2">
        <v>2676</v>
      </c>
      <c r="I855" s="2">
        <v>3</v>
      </c>
      <c r="J855" s="2">
        <v>30769</v>
      </c>
      <c r="K855" s="2">
        <v>45985</v>
      </c>
      <c r="L855" s="2">
        <v>11</v>
      </c>
      <c r="M855" t="str">
        <f>IF(Revv_bike_sales_data[[#This Row],[delivery_days]]&lt;=7, "Yes", "No")</f>
        <v>No</v>
      </c>
      <c r="N855" t="s">
        <v>16</v>
      </c>
      <c r="O855" s="2">
        <v>-15216</v>
      </c>
    </row>
    <row r="856" spans="1:15" x14ac:dyDescent="0.3">
      <c r="A856" s="2">
        <v>846</v>
      </c>
      <c r="B856" s="1">
        <v>44962.208333333336</v>
      </c>
      <c r="C856" s="1" t="str">
        <f t="shared" si="26"/>
        <v>02-2023</v>
      </c>
      <c r="D856" s="2">
        <f t="shared" si="27"/>
        <v>6</v>
      </c>
      <c r="E856" t="s">
        <v>17</v>
      </c>
      <c r="F856" t="s">
        <v>14</v>
      </c>
      <c r="G856" t="s">
        <v>19</v>
      </c>
      <c r="H856" s="2">
        <v>84758</v>
      </c>
      <c r="I856" s="2">
        <v>9</v>
      </c>
      <c r="J856" s="2">
        <v>86340</v>
      </c>
      <c r="K856" s="2">
        <v>105298</v>
      </c>
      <c r="L856" s="2">
        <v>3</v>
      </c>
      <c r="M856" t="str">
        <f>IF(Revv_bike_sales_data[[#This Row],[delivery_days]]&lt;=7, "Yes", "No")</f>
        <v>Yes</v>
      </c>
      <c r="N856" t="s">
        <v>24</v>
      </c>
      <c r="O856" s="2">
        <v>-18958</v>
      </c>
    </row>
    <row r="857" spans="1:15" x14ac:dyDescent="0.3">
      <c r="A857" s="2">
        <v>847</v>
      </c>
      <c r="B857" s="1">
        <v>44962.25</v>
      </c>
      <c r="C857" s="1" t="str">
        <f t="shared" si="26"/>
        <v>02-2023</v>
      </c>
      <c r="D857" s="2">
        <f t="shared" si="27"/>
        <v>6</v>
      </c>
      <c r="E857" t="s">
        <v>13</v>
      </c>
      <c r="F857" t="s">
        <v>14</v>
      </c>
      <c r="G857" t="s">
        <v>20</v>
      </c>
      <c r="H857" s="2">
        <v>84653</v>
      </c>
      <c r="I857" s="2">
        <v>4</v>
      </c>
      <c r="J857" s="2">
        <v>104199</v>
      </c>
      <c r="K857" s="2">
        <v>63167</v>
      </c>
      <c r="L857" s="2">
        <v>4</v>
      </c>
      <c r="M857" t="str">
        <f>IF(Revv_bike_sales_data[[#This Row],[delivery_days]]&lt;=7, "Yes", "No")</f>
        <v>Yes</v>
      </c>
      <c r="N857" t="s">
        <v>16</v>
      </c>
      <c r="O857" s="2">
        <v>41032</v>
      </c>
    </row>
    <row r="858" spans="1:15" x14ac:dyDescent="0.3">
      <c r="A858" s="2">
        <v>848</v>
      </c>
      <c r="B858" s="1">
        <v>44962.291666666664</v>
      </c>
      <c r="C858" s="1" t="str">
        <f t="shared" si="26"/>
        <v>02-2023</v>
      </c>
      <c r="D858" s="2">
        <f t="shared" si="27"/>
        <v>6</v>
      </c>
      <c r="E858" t="s">
        <v>18</v>
      </c>
      <c r="F858" t="s">
        <v>14</v>
      </c>
      <c r="G858" t="s">
        <v>19</v>
      </c>
      <c r="H858" s="2">
        <v>62418</v>
      </c>
      <c r="I858" s="2">
        <v>1</v>
      </c>
      <c r="J858" s="2">
        <v>129222</v>
      </c>
      <c r="K858" s="2">
        <v>131533</v>
      </c>
      <c r="L858" s="2">
        <v>14</v>
      </c>
      <c r="M858" t="str">
        <f>IF(Revv_bike_sales_data[[#This Row],[delivery_days]]&lt;=7, "Yes", "No")</f>
        <v>No</v>
      </c>
      <c r="N858" t="s">
        <v>16</v>
      </c>
      <c r="O858" s="2">
        <v>-2311</v>
      </c>
    </row>
    <row r="859" spans="1:15" x14ac:dyDescent="0.3">
      <c r="A859" s="2">
        <v>849</v>
      </c>
      <c r="B859" s="1">
        <v>44962.333333333336</v>
      </c>
      <c r="C859" s="1" t="str">
        <f t="shared" si="26"/>
        <v>02-2023</v>
      </c>
      <c r="D859" s="2">
        <f t="shared" si="27"/>
        <v>6</v>
      </c>
      <c r="E859" t="s">
        <v>25</v>
      </c>
      <c r="F859" t="s">
        <v>14</v>
      </c>
      <c r="G859" t="s">
        <v>19</v>
      </c>
      <c r="H859" s="2">
        <v>27615</v>
      </c>
      <c r="I859" s="2">
        <v>4</v>
      </c>
      <c r="J859" s="2">
        <v>58434</v>
      </c>
      <c r="K859" s="2">
        <v>55428</v>
      </c>
      <c r="L859" s="2">
        <v>5</v>
      </c>
      <c r="M859" t="str">
        <f>IF(Revv_bike_sales_data[[#This Row],[delivery_days]]&lt;=7, "Yes", "No")</f>
        <v>Yes</v>
      </c>
      <c r="N859" t="s">
        <v>16</v>
      </c>
      <c r="O859" s="2">
        <v>3006</v>
      </c>
    </row>
    <row r="860" spans="1:15" x14ac:dyDescent="0.3">
      <c r="A860" s="2">
        <v>850</v>
      </c>
      <c r="B860" s="1">
        <v>44962.375</v>
      </c>
      <c r="C860" s="1" t="str">
        <f t="shared" si="26"/>
        <v>02-2023</v>
      </c>
      <c r="D860" s="2">
        <f t="shared" si="27"/>
        <v>6</v>
      </c>
      <c r="E860" t="s">
        <v>18</v>
      </c>
      <c r="F860" t="s">
        <v>14</v>
      </c>
      <c r="G860" t="s">
        <v>21</v>
      </c>
      <c r="H860" s="2">
        <v>77942</v>
      </c>
      <c r="I860" s="2">
        <v>9</v>
      </c>
      <c r="J860" s="2">
        <v>47102</v>
      </c>
      <c r="K860" s="2">
        <v>82238</v>
      </c>
      <c r="L860" s="2">
        <v>13</v>
      </c>
      <c r="M860" t="str">
        <f>IF(Revv_bike_sales_data[[#This Row],[delivery_days]]&lt;=7, "Yes", "No")</f>
        <v>No</v>
      </c>
      <c r="N860" t="s">
        <v>16</v>
      </c>
      <c r="O860" s="2">
        <v>-35136</v>
      </c>
    </row>
    <row r="861" spans="1:15" x14ac:dyDescent="0.3">
      <c r="A861" s="2">
        <v>851</v>
      </c>
      <c r="B861" s="1">
        <v>44962.416666666664</v>
      </c>
      <c r="C861" s="1" t="str">
        <f t="shared" si="26"/>
        <v>02-2023</v>
      </c>
      <c r="D861" s="2">
        <f t="shared" si="27"/>
        <v>6</v>
      </c>
      <c r="E861" t="s">
        <v>18</v>
      </c>
      <c r="F861" t="s">
        <v>14</v>
      </c>
      <c r="G861" t="s">
        <v>15</v>
      </c>
      <c r="H861" s="2">
        <v>40502</v>
      </c>
      <c r="I861" s="2">
        <v>3</v>
      </c>
      <c r="J861" s="2">
        <v>46536</v>
      </c>
      <c r="K861" s="2">
        <v>130078</v>
      </c>
      <c r="L861" s="2">
        <v>12</v>
      </c>
      <c r="M861" t="str">
        <f>IF(Revv_bike_sales_data[[#This Row],[delivery_days]]&lt;=7, "Yes", "No")</f>
        <v>No</v>
      </c>
      <c r="N861" t="s">
        <v>16</v>
      </c>
      <c r="O861" s="2">
        <v>-83542</v>
      </c>
    </row>
    <row r="862" spans="1:15" x14ac:dyDescent="0.3">
      <c r="A862" s="2">
        <v>852</v>
      </c>
      <c r="B862" s="1">
        <v>44962.458333333336</v>
      </c>
      <c r="C862" s="1" t="str">
        <f t="shared" si="26"/>
        <v>02-2023</v>
      </c>
      <c r="D862" s="2">
        <f t="shared" si="27"/>
        <v>6</v>
      </c>
      <c r="E862" t="s">
        <v>17</v>
      </c>
      <c r="F862" t="s">
        <v>23</v>
      </c>
      <c r="G862" t="s">
        <v>19</v>
      </c>
      <c r="H862" s="2">
        <v>57624</v>
      </c>
      <c r="I862" s="2">
        <v>7</v>
      </c>
      <c r="J862" s="2">
        <v>129639</v>
      </c>
      <c r="K862" s="2">
        <v>77723</v>
      </c>
      <c r="L862" s="2">
        <v>8</v>
      </c>
      <c r="M862" t="str">
        <f>IF(Revv_bike_sales_data[[#This Row],[delivery_days]]&lt;=7, "Yes", "No")</f>
        <v>No</v>
      </c>
      <c r="N862" t="s">
        <v>16</v>
      </c>
      <c r="O862" s="2">
        <v>51916</v>
      </c>
    </row>
    <row r="863" spans="1:15" x14ac:dyDescent="0.3">
      <c r="A863" s="2">
        <v>853</v>
      </c>
      <c r="B863" s="1">
        <v>44962.5</v>
      </c>
      <c r="C863" s="1" t="str">
        <f t="shared" si="26"/>
        <v>02-2023</v>
      </c>
      <c r="D863" s="2">
        <f t="shared" si="27"/>
        <v>6</v>
      </c>
      <c r="E863" t="s">
        <v>13</v>
      </c>
      <c r="F863" t="s">
        <v>14</v>
      </c>
      <c r="G863" t="s">
        <v>21</v>
      </c>
      <c r="H863" s="2">
        <v>7110</v>
      </c>
      <c r="I863" s="2">
        <v>0</v>
      </c>
      <c r="J863" s="2">
        <v>75775</v>
      </c>
      <c r="K863" s="2">
        <v>32038</v>
      </c>
      <c r="L863" s="2">
        <v>13</v>
      </c>
      <c r="M863" t="str">
        <f>IF(Revv_bike_sales_data[[#This Row],[delivery_days]]&lt;=7, "Yes", "No")</f>
        <v>No</v>
      </c>
      <c r="N863" t="s">
        <v>16</v>
      </c>
      <c r="O863" s="2">
        <v>43737</v>
      </c>
    </row>
    <row r="864" spans="1:15" x14ac:dyDescent="0.3">
      <c r="A864" s="2">
        <v>854</v>
      </c>
      <c r="B864" s="1">
        <v>44962.541666666664</v>
      </c>
      <c r="C864" s="1" t="str">
        <f t="shared" si="26"/>
        <v>02-2023</v>
      </c>
      <c r="D864" s="2">
        <f t="shared" si="27"/>
        <v>6</v>
      </c>
      <c r="E864" t="s">
        <v>22</v>
      </c>
      <c r="F864" t="s">
        <v>14</v>
      </c>
      <c r="G864" t="s">
        <v>20</v>
      </c>
      <c r="H864" s="2">
        <v>50252</v>
      </c>
      <c r="I864" s="2">
        <v>4</v>
      </c>
      <c r="J864" s="2">
        <v>56147</v>
      </c>
      <c r="K864" s="2">
        <v>37219</v>
      </c>
      <c r="L864" s="2">
        <v>7</v>
      </c>
      <c r="M864" t="str">
        <f>IF(Revv_bike_sales_data[[#This Row],[delivery_days]]&lt;=7, "Yes", "No")</f>
        <v>Yes</v>
      </c>
      <c r="N864" t="s">
        <v>16</v>
      </c>
      <c r="O864" s="2">
        <v>18928</v>
      </c>
    </row>
    <row r="865" spans="1:15" x14ac:dyDescent="0.3">
      <c r="A865" s="2">
        <v>855</v>
      </c>
      <c r="B865" s="1">
        <v>44962.583333333336</v>
      </c>
      <c r="C865" s="1" t="str">
        <f t="shared" si="26"/>
        <v>02-2023</v>
      </c>
      <c r="D865" s="2">
        <f t="shared" si="27"/>
        <v>6</v>
      </c>
      <c r="E865" t="s">
        <v>13</v>
      </c>
      <c r="F865" t="s">
        <v>14</v>
      </c>
      <c r="G865" t="s">
        <v>21</v>
      </c>
      <c r="H865" s="2">
        <v>79447</v>
      </c>
      <c r="I865" s="2">
        <v>9</v>
      </c>
      <c r="J865" s="2">
        <v>75526</v>
      </c>
      <c r="K865" s="2">
        <v>19271</v>
      </c>
      <c r="L865" s="2">
        <v>9</v>
      </c>
      <c r="M865" t="str">
        <f>IF(Revv_bike_sales_data[[#This Row],[delivery_days]]&lt;=7, "Yes", "No")</f>
        <v>No</v>
      </c>
      <c r="N865" t="s">
        <v>16</v>
      </c>
      <c r="O865" s="2">
        <v>56255</v>
      </c>
    </row>
    <row r="866" spans="1:15" x14ac:dyDescent="0.3">
      <c r="A866" s="2">
        <v>856</v>
      </c>
      <c r="B866" s="1">
        <v>44962.625</v>
      </c>
      <c r="C866" s="1" t="str">
        <f t="shared" si="26"/>
        <v>02-2023</v>
      </c>
      <c r="D866" s="2">
        <f t="shared" si="27"/>
        <v>6</v>
      </c>
      <c r="E866" t="s">
        <v>13</v>
      </c>
      <c r="F866" t="s">
        <v>14</v>
      </c>
      <c r="G866" t="s">
        <v>21</v>
      </c>
      <c r="H866" s="2">
        <v>75216</v>
      </c>
      <c r="I866" s="2">
        <v>0</v>
      </c>
      <c r="J866" s="2">
        <v>179731</v>
      </c>
      <c r="K866" s="2">
        <v>42397</v>
      </c>
      <c r="L866" s="2">
        <v>11</v>
      </c>
      <c r="M866" t="str">
        <f>IF(Revv_bike_sales_data[[#This Row],[delivery_days]]&lt;=7, "Yes", "No")</f>
        <v>No</v>
      </c>
      <c r="N866" t="s">
        <v>16</v>
      </c>
      <c r="O866" s="2">
        <v>137334</v>
      </c>
    </row>
    <row r="867" spans="1:15" x14ac:dyDescent="0.3">
      <c r="A867" s="2">
        <v>857</v>
      </c>
      <c r="B867" s="1">
        <v>44962.666666666664</v>
      </c>
      <c r="C867" s="1" t="str">
        <f t="shared" si="26"/>
        <v>02-2023</v>
      </c>
      <c r="D867" s="2">
        <f t="shared" si="27"/>
        <v>6</v>
      </c>
      <c r="E867" t="s">
        <v>18</v>
      </c>
      <c r="F867" t="s">
        <v>14</v>
      </c>
      <c r="G867" t="s">
        <v>15</v>
      </c>
      <c r="H867" s="2">
        <v>48493</v>
      </c>
      <c r="I867" s="2">
        <v>9</v>
      </c>
      <c r="J867" s="2">
        <v>129663</v>
      </c>
      <c r="K867" s="2">
        <v>89491</v>
      </c>
      <c r="L867" s="2">
        <v>3</v>
      </c>
      <c r="M867" t="str">
        <f>IF(Revv_bike_sales_data[[#This Row],[delivery_days]]&lt;=7, "Yes", "No")</f>
        <v>Yes</v>
      </c>
      <c r="N867" t="s">
        <v>16</v>
      </c>
      <c r="O867" s="2">
        <v>40172</v>
      </c>
    </row>
    <row r="868" spans="1:15" x14ac:dyDescent="0.3">
      <c r="A868" s="2">
        <v>858</v>
      </c>
      <c r="B868" s="1">
        <v>44962.708333333336</v>
      </c>
      <c r="C868" s="1" t="str">
        <f t="shared" si="26"/>
        <v>02-2023</v>
      </c>
      <c r="D868" s="2">
        <f t="shared" si="27"/>
        <v>6</v>
      </c>
      <c r="E868" t="s">
        <v>13</v>
      </c>
      <c r="F868" t="s">
        <v>14</v>
      </c>
      <c r="G868" t="s">
        <v>19</v>
      </c>
      <c r="H868" s="2">
        <v>10573</v>
      </c>
      <c r="I868" s="2">
        <v>9</v>
      </c>
      <c r="J868" s="2">
        <v>137180</v>
      </c>
      <c r="K868" s="2">
        <v>133088</v>
      </c>
      <c r="L868" s="2">
        <v>14</v>
      </c>
      <c r="M868" t="str">
        <f>IF(Revv_bike_sales_data[[#This Row],[delivery_days]]&lt;=7, "Yes", "No")</f>
        <v>No</v>
      </c>
      <c r="N868" t="s">
        <v>16</v>
      </c>
      <c r="O868" s="2">
        <v>4092</v>
      </c>
    </row>
    <row r="869" spans="1:15" x14ac:dyDescent="0.3">
      <c r="A869" s="2">
        <v>859</v>
      </c>
      <c r="B869" s="1">
        <v>44962.75</v>
      </c>
      <c r="C869" s="1" t="str">
        <f t="shared" si="26"/>
        <v>02-2023</v>
      </c>
      <c r="D869" s="2">
        <f t="shared" si="27"/>
        <v>6</v>
      </c>
      <c r="E869" t="s">
        <v>25</v>
      </c>
      <c r="F869" t="s">
        <v>14</v>
      </c>
      <c r="G869" t="s">
        <v>20</v>
      </c>
      <c r="H869" s="2">
        <v>37751</v>
      </c>
      <c r="I869" s="2">
        <v>3</v>
      </c>
      <c r="J869" s="2">
        <v>149233</v>
      </c>
      <c r="K869" s="2">
        <v>44602</v>
      </c>
      <c r="L869" s="2">
        <v>11</v>
      </c>
      <c r="M869" t="str">
        <f>IF(Revv_bike_sales_data[[#This Row],[delivery_days]]&lt;=7, "Yes", "No")</f>
        <v>No</v>
      </c>
      <c r="N869" t="s">
        <v>16</v>
      </c>
      <c r="O869" s="2">
        <v>104631</v>
      </c>
    </row>
    <row r="870" spans="1:15" x14ac:dyDescent="0.3">
      <c r="A870" s="2">
        <v>860</v>
      </c>
      <c r="B870" s="1">
        <v>44962.791666666664</v>
      </c>
      <c r="C870" s="1" t="str">
        <f t="shared" si="26"/>
        <v>02-2023</v>
      </c>
      <c r="D870" s="2">
        <f t="shared" si="27"/>
        <v>6</v>
      </c>
      <c r="E870" t="s">
        <v>18</v>
      </c>
      <c r="F870" t="s">
        <v>14</v>
      </c>
      <c r="G870" t="s">
        <v>21</v>
      </c>
      <c r="H870" s="2">
        <v>96996</v>
      </c>
      <c r="I870" s="2">
        <v>7</v>
      </c>
      <c r="J870" s="2">
        <v>48088</v>
      </c>
      <c r="K870" s="2">
        <v>69471</v>
      </c>
      <c r="L870" s="2">
        <v>10</v>
      </c>
      <c r="M870" t="str">
        <f>IF(Revv_bike_sales_data[[#This Row],[delivery_days]]&lt;=7, "Yes", "No")</f>
        <v>No</v>
      </c>
      <c r="N870" t="s">
        <v>16</v>
      </c>
      <c r="O870" s="2">
        <v>-21383</v>
      </c>
    </row>
    <row r="871" spans="1:15" x14ac:dyDescent="0.3">
      <c r="A871" s="2">
        <v>861</v>
      </c>
      <c r="B871" s="1">
        <v>44962.833333333336</v>
      </c>
      <c r="C871" s="1" t="str">
        <f t="shared" si="26"/>
        <v>02-2023</v>
      </c>
      <c r="D871" s="2">
        <f t="shared" si="27"/>
        <v>6</v>
      </c>
      <c r="E871" t="s">
        <v>25</v>
      </c>
      <c r="F871" t="s">
        <v>14</v>
      </c>
      <c r="G871" t="s">
        <v>19</v>
      </c>
      <c r="H871" s="2">
        <v>71937</v>
      </c>
      <c r="I871" s="2">
        <v>0</v>
      </c>
      <c r="J871" s="2">
        <v>93464</v>
      </c>
      <c r="K871" s="2">
        <v>77150</v>
      </c>
      <c r="L871" s="2">
        <v>1</v>
      </c>
      <c r="M871" t="str">
        <f>IF(Revv_bike_sales_data[[#This Row],[delivery_days]]&lt;=7, "Yes", "No")</f>
        <v>Yes</v>
      </c>
      <c r="N871" t="s">
        <v>16</v>
      </c>
      <c r="O871" s="2">
        <v>16314</v>
      </c>
    </row>
    <row r="872" spans="1:15" x14ac:dyDescent="0.3">
      <c r="A872" s="2">
        <v>862</v>
      </c>
      <c r="B872" s="1">
        <v>44962.875</v>
      </c>
      <c r="C872" s="1" t="str">
        <f t="shared" si="26"/>
        <v>02-2023</v>
      </c>
      <c r="D872" s="2">
        <f t="shared" si="27"/>
        <v>6</v>
      </c>
      <c r="E872" t="s">
        <v>22</v>
      </c>
      <c r="F872" t="s">
        <v>14</v>
      </c>
      <c r="G872" t="s">
        <v>19</v>
      </c>
      <c r="H872" s="2">
        <v>39397</v>
      </c>
      <c r="I872" s="2">
        <v>1</v>
      </c>
      <c r="J872" s="2">
        <v>130921</v>
      </c>
      <c r="K872" s="2">
        <v>59227</v>
      </c>
      <c r="L872" s="2">
        <v>1</v>
      </c>
      <c r="M872" t="str">
        <f>IF(Revv_bike_sales_data[[#This Row],[delivery_days]]&lt;=7, "Yes", "No")</f>
        <v>Yes</v>
      </c>
      <c r="N872" t="s">
        <v>16</v>
      </c>
      <c r="O872" s="2">
        <v>71694</v>
      </c>
    </row>
    <row r="873" spans="1:15" x14ac:dyDescent="0.3">
      <c r="A873" s="2">
        <v>863</v>
      </c>
      <c r="B873" s="1">
        <v>44962.916666666664</v>
      </c>
      <c r="C873" s="1" t="str">
        <f t="shared" si="26"/>
        <v>02-2023</v>
      </c>
      <c r="D873" s="2">
        <f t="shared" si="27"/>
        <v>6</v>
      </c>
      <c r="E873" t="s">
        <v>18</v>
      </c>
      <c r="F873" t="s">
        <v>14</v>
      </c>
      <c r="G873" t="s">
        <v>21</v>
      </c>
      <c r="H873" s="2">
        <v>51406</v>
      </c>
      <c r="I873" s="2">
        <v>0</v>
      </c>
      <c r="J873" s="2">
        <v>84998</v>
      </c>
      <c r="K873" s="2">
        <v>112081</v>
      </c>
      <c r="L873" s="2">
        <v>12</v>
      </c>
      <c r="M873" t="str">
        <f>IF(Revv_bike_sales_data[[#This Row],[delivery_days]]&lt;=7, "Yes", "No")</f>
        <v>No</v>
      </c>
      <c r="N873" t="s">
        <v>16</v>
      </c>
      <c r="O873" s="2">
        <v>-27083</v>
      </c>
    </row>
    <row r="874" spans="1:15" x14ac:dyDescent="0.3">
      <c r="A874" s="2">
        <v>864</v>
      </c>
      <c r="B874" s="1">
        <v>44962.958333333336</v>
      </c>
      <c r="C874" s="1" t="str">
        <f t="shared" si="26"/>
        <v>02-2023</v>
      </c>
      <c r="D874" s="2">
        <f t="shared" si="27"/>
        <v>6</v>
      </c>
      <c r="E874" t="s">
        <v>22</v>
      </c>
      <c r="F874" t="s">
        <v>23</v>
      </c>
      <c r="G874" t="s">
        <v>19</v>
      </c>
      <c r="H874" s="2">
        <v>52116</v>
      </c>
      <c r="I874" s="2">
        <v>6</v>
      </c>
      <c r="J874" s="2">
        <v>65382</v>
      </c>
      <c r="K874" s="2">
        <v>38116</v>
      </c>
      <c r="L874" s="2">
        <v>10</v>
      </c>
      <c r="M874" t="str">
        <f>IF(Revv_bike_sales_data[[#This Row],[delivery_days]]&lt;=7, "Yes", "No")</f>
        <v>No</v>
      </c>
      <c r="N874" t="s">
        <v>16</v>
      </c>
      <c r="O874" s="2">
        <v>27266</v>
      </c>
    </row>
    <row r="875" spans="1:15" x14ac:dyDescent="0.3">
      <c r="A875" s="2">
        <v>865</v>
      </c>
      <c r="B875" s="1">
        <v>44963</v>
      </c>
      <c r="C875" s="1" t="str">
        <f t="shared" si="26"/>
        <v>02-2023</v>
      </c>
      <c r="D875" s="2">
        <f t="shared" si="27"/>
        <v>6</v>
      </c>
      <c r="E875" t="s">
        <v>18</v>
      </c>
      <c r="F875" t="s">
        <v>14</v>
      </c>
      <c r="G875" t="s">
        <v>21</v>
      </c>
      <c r="H875" s="2">
        <v>4982</v>
      </c>
      <c r="I875" s="2">
        <v>1</v>
      </c>
      <c r="J875" s="2">
        <v>53184</v>
      </c>
      <c r="K875" s="2">
        <v>21674</v>
      </c>
      <c r="L875" s="2">
        <v>13</v>
      </c>
      <c r="M875" t="str">
        <f>IF(Revv_bike_sales_data[[#This Row],[delivery_days]]&lt;=7, "Yes", "No")</f>
        <v>No</v>
      </c>
      <c r="N875" t="s">
        <v>16</v>
      </c>
      <c r="O875" s="2">
        <v>31510</v>
      </c>
    </row>
    <row r="876" spans="1:15" x14ac:dyDescent="0.3">
      <c r="A876" s="2">
        <v>866</v>
      </c>
      <c r="B876" s="1">
        <v>44963.041666666664</v>
      </c>
      <c r="C876" s="1" t="str">
        <f t="shared" si="26"/>
        <v>02-2023</v>
      </c>
      <c r="D876" s="2">
        <f t="shared" si="27"/>
        <v>6</v>
      </c>
      <c r="E876" t="s">
        <v>17</v>
      </c>
      <c r="F876" t="s">
        <v>14</v>
      </c>
      <c r="G876" t="s">
        <v>21</v>
      </c>
      <c r="H876" s="2">
        <v>91464</v>
      </c>
      <c r="I876" s="2">
        <v>0</v>
      </c>
      <c r="J876" s="2">
        <v>176171</v>
      </c>
      <c r="K876" s="2">
        <v>32469</v>
      </c>
      <c r="L876" s="2">
        <v>14</v>
      </c>
      <c r="M876" t="str">
        <f>IF(Revv_bike_sales_data[[#This Row],[delivery_days]]&lt;=7, "Yes", "No")</f>
        <v>No</v>
      </c>
      <c r="N876" t="s">
        <v>16</v>
      </c>
      <c r="O876" s="2">
        <v>143702</v>
      </c>
    </row>
    <row r="877" spans="1:15" x14ac:dyDescent="0.3">
      <c r="A877" s="2">
        <v>867</v>
      </c>
      <c r="B877" s="1">
        <v>44963.083333333336</v>
      </c>
      <c r="C877" s="1" t="str">
        <f t="shared" si="26"/>
        <v>02-2023</v>
      </c>
      <c r="D877" s="2">
        <f t="shared" si="27"/>
        <v>6</v>
      </c>
      <c r="E877" t="s">
        <v>13</v>
      </c>
      <c r="F877" t="s">
        <v>14</v>
      </c>
      <c r="G877" t="s">
        <v>21</v>
      </c>
      <c r="H877" s="2">
        <v>73436</v>
      </c>
      <c r="I877" s="2">
        <v>5</v>
      </c>
      <c r="J877" s="2">
        <v>62739</v>
      </c>
      <c r="K877" s="2">
        <v>20446</v>
      </c>
      <c r="L877" s="2">
        <v>1</v>
      </c>
      <c r="M877" t="str">
        <f>IF(Revv_bike_sales_data[[#This Row],[delivery_days]]&lt;=7, "Yes", "No")</f>
        <v>Yes</v>
      </c>
      <c r="N877" t="s">
        <v>16</v>
      </c>
      <c r="O877" s="2">
        <v>42293</v>
      </c>
    </row>
    <row r="878" spans="1:15" x14ac:dyDescent="0.3">
      <c r="A878" s="2">
        <v>868</v>
      </c>
      <c r="B878" s="1">
        <v>44963.125</v>
      </c>
      <c r="C878" s="1" t="str">
        <f t="shared" si="26"/>
        <v>02-2023</v>
      </c>
      <c r="D878" s="2">
        <f t="shared" si="27"/>
        <v>6</v>
      </c>
      <c r="E878" t="s">
        <v>17</v>
      </c>
      <c r="F878" t="s">
        <v>14</v>
      </c>
      <c r="G878" t="s">
        <v>20</v>
      </c>
      <c r="H878" s="2">
        <v>40074</v>
      </c>
      <c r="I878" s="2">
        <v>5</v>
      </c>
      <c r="J878" s="2">
        <v>152937</v>
      </c>
      <c r="K878" s="2">
        <v>139809</v>
      </c>
      <c r="L878" s="2">
        <v>2</v>
      </c>
      <c r="M878" t="str">
        <f>IF(Revv_bike_sales_data[[#This Row],[delivery_days]]&lt;=7, "Yes", "No")</f>
        <v>Yes</v>
      </c>
      <c r="N878" t="s">
        <v>16</v>
      </c>
      <c r="O878" s="2">
        <v>13128</v>
      </c>
    </row>
    <row r="879" spans="1:15" x14ac:dyDescent="0.3">
      <c r="A879" s="2">
        <v>869</v>
      </c>
      <c r="B879" s="1">
        <v>44963.166666666664</v>
      </c>
      <c r="C879" s="1" t="str">
        <f t="shared" si="26"/>
        <v>02-2023</v>
      </c>
      <c r="D879" s="2">
        <f t="shared" si="27"/>
        <v>6</v>
      </c>
      <c r="E879" t="s">
        <v>22</v>
      </c>
      <c r="F879" t="s">
        <v>14</v>
      </c>
      <c r="G879" t="s">
        <v>21</v>
      </c>
      <c r="H879" s="2">
        <v>43784</v>
      </c>
      <c r="I879" s="2">
        <v>9</v>
      </c>
      <c r="J879" s="2">
        <v>164461</v>
      </c>
      <c r="K879" s="2">
        <v>35760</v>
      </c>
      <c r="L879" s="2">
        <v>2</v>
      </c>
      <c r="M879" t="str">
        <f>IF(Revv_bike_sales_data[[#This Row],[delivery_days]]&lt;=7, "Yes", "No")</f>
        <v>Yes</v>
      </c>
      <c r="N879" t="s">
        <v>16</v>
      </c>
      <c r="O879" s="2">
        <v>128701</v>
      </c>
    </row>
    <row r="880" spans="1:15" x14ac:dyDescent="0.3">
      <c r="A880" s="2">
        <v>870</v>
      </c>
      <c r="B880" s="1">
        <v>44963.208333333336</v>
      </c>
      <c r="C880" s="1" t="str">
        <f t="shared" si="26"/>
        <v>02-2023</v>
      </c>
      <c r="D880" s="2">
        <f t="shared" si="27"/>
        <v>6</v>
      </c>
      <c r="E880" t="s">
        <v>13</v>
      </c>
      <c r="F880" t="s">
        <v>14</v>
      </c>
      <c r="G880" t="s">
        <v>15</v>
      </c>
      <c r="H880" s="2">
        <v>73432</v>
      </c>
      <c r="I880" s="2">
        <v>1</v>
      </c>
      <c r="J880" s="2">
        <v>42352</v>
      </c>
      <c r="K880" s="2">
        <v>16963</v>
      </c>
      <c r="L880" s="2">
        <v>7</v>
      </c>
      <c r="M880" t="str">
        <f>IF(Revv_bike_sales_data[[#This Row],[delivery_days]]&lt;=7, "Yes", "No")</f>
        <v>Yes</v>
      </c>
      <c r="N880" t="s">
        <v>16</v>
      </c>
      <c r="O880" s="2">
        <v>25389</v>
      </c>
    </row>
    <row r="881" spans="1:15" x14ac:dyDescent="0.3">
      <c r="A881" s="2">
        <v>871</v>
      </c>
      <c r="B881" s="1">
        <v>44963.25</v>
      </c>
      <c r="C881" s="1" t="str">
        <f t="shared" si="26"/>
        <v>02-2023</v>
      </c>
      <c r="D881" s="2">
        <f t="shared" si="27"/>
        <v>6</v>
      </c>
      <c r="E881" t="s">
        <v>18</v>
      </c>
      <c r="F881" t="s">
        <v>14</v>
      </c>
      <c r="G881" t="s">
        <v>19</v>
      </c>
      <c r="H881" s="2">
        <v>7838</v>
      </c>
      <c r="I881" s="2">
        <v>0</v>
      </c>
      <c r="J881" s="2">
        <v>151788</v>
      </c>
      <c r="K881" s="2">
        <v>123281</v>
      </c>
      <c r="L881" s="2">
        <v>9</v>
      </c>
      <c r="M881" t="str">
        <f>IF(Revv_bike_sales_data[[#This Row],[delivery_days]]&lt;=7, "Yes", "No")</f>
        <v>No</v>
      </c>
      <c r="N881" t="s">
        <v>16</v>
      </c>
      <c r="O881" s="2">
        <v>28507</v>
      </c>
    </row>
    <row r="882" spans="1:15" x14ac:dyDescent="0.3">
      <c r="A882" s="2">
        <v>872</v>
      </c>
      <c r="B882" s="1">
        <v>44963.291666666664</v>
      </c>
      <c r="C882" s="1" t="str">
        <f t="shared" si="26"/>
        <v>02-2023</v>
      </c>
      <c r="D882" s="2">
        <f t="shared" si="27"/>
        <v>6</v>
      </c>
      <c r="E882" t="s">
        <v>13</v>
      </c>
      <c r="F882" t="s">
        <v>14</v>
      </c>
      <c r="G882" t="s">
        <v>20</v>
      </c>
      <c r="H882" s="2">
        <v>43218</v>
      </c>
      <c r="I882" s="2">
        <v>9</v>
      </c>
      <c r="J882" s="2">
        <v>142843</v>
      </c>
      <c r="K882" s="2">
        <v>91002</v>
      </c>
      <c r="L882" s="2">
        <v>8</v>
      </c>
      <c r="M882" t="str">
        <f>IF(Revv_bike_sales_data[[#This Row],[delivery_days]]&lt;=7, "Yes", "No")</f>
        <v>No</v>
      </c>
      <c r="N882" t="s">
        <v>16</v>
      </c>
      <c r="O882" s="2">
        <v>51841</v>
      </c>
    </row>
    <row r="883" spans="1:15" x14ac:dyDescent="0.3">
      <c r="A883" s="2">
        <v>873</v>
      </c>
      <c r="B883" s="1">
        <v>44963.333333333336</v>
      </c>
      <c r="C883" s="1" t="str">
        <f t="shared" si="26"/>
        <v>02-2023</v>
      </c>
      <c r="D883" s="2">
        <f t="shared" si="27"/>
        <v>6</v>
      </c>
      <c r="E883" t="s">
        <v>25</v>
      </c>
      <c r="F883" t="s">
        <v>14</v>
      </c>
      <c r="G883" t="s">
        <v>19</v>
      </c>
      <c r="H883" s="2">
        <v>13000</v>
      </c>
      <c r="I883" s="2">
        <v>2</v>
      </c>
      <c r="J883" s="2">
        <v>177220</v>
      </c>
      <c r="K883" s="2">
        <v>42262</v>
      </c>
      <c r="L883" s="2">
        <v>4</v>
      </c>
      <c r="M883" t="str">
        <f>IF(Revv_bike_sales_data[[#This Row],[delivery_days]]&lt;=7, "Yes", "No")</f>
        <v>Yes</v>
      </c>
      <c r="N883" t="s">
        <v>16</v>
      </c>
      <c r="O883" s="2">
        <v>134958</v>
      </c>
    </row>
    <row r="884" spans="1:15" x14ac:dyDescent="0.3">
      <c r="A884" s="2">
        <v>874</v>
      </c>
      <c r="B884" s="1">
        <v>44963.375</v>
      </c>
      <c r="C884" s="1" t="str">
        <f t="shared" si="26"/>
        <v>02-2023</v>
      </c>
      <c r="D884" s="2">
        <f t="shared" si="27"/>
        <v>6</v>
      </c>
      <c r="E884" t="s">
        <v>13</v>
      </c>
      <c r="F884" t="s">
        <v>14</v>
      </c>
      <c r="G884" t="s">
        <v>20</v>
      </c>
      <c r="H884" s="2">
        <v>12045</v>
      </c>
      <c r="I884" s="2">
        <v>9</v>
      </c>
      <c r="J884" s="2">
        <v>56828</v>
      </c>
      <c r="K884" s="2">
        <v>20177</v>
      </c>
      <c r="L884" s="2">
        <v>2</v>
      </c>
      <c r="M884" t="str">
        <f>IF(Revv_bike_sales_data[[#This Row],[delivery_days]]&lt;=7, "Yes", "No")</f>
        <v>Yes</v>
      </c>
      <c r="N884" t="s">
        <v>16</v>
      </c>
      <c r="O884" s="2">
        <v>36651</v>
      </c>
    </row>
    <row r="885" spans="1:15" x14ac:dyDescent="0.3">
      <c r="A885" s="2">
        <v>875</v>
      </c>
      <c r="B885" s="1">
        <v>44963.416666666664</v>
      </c>
      <c r="C885" s="1" t="str">
        <f t="shared" si="26"/>
        <v>02-2023</v>
      </c>
      <c r="D885" s="2">
        <f t="shared" si="27"/>
        <v>6</v>
      </c>
      <c r="E885" t="s">
        <v>25</v>
      </c>
      <c r="F885" t="s">
        <v>23</v>
      </c>
      <c r="G885" t="s">
        <v>15</v>
      </c>
      <c r="H885" s="2">
        <v>61980</v>
      </c>
      <c r="I885" s="2">
        <v>4</v>
      </c>
      <c r="J885" s="2">
        <v>93040</v>
      </c>
      <c r="K885" s="2">
        <v>26160</v>
      </c>
      <c r="L885" s="2">
        <v>3</v>
      </c>
      <c r="M885" t="str">
        <f>IF(Revv_bike_sales_data[[#This Row],[delivery_days]]&lt;=7, "Yes", "No")</f>
        <v>Yes</v>
      </c>
      <c r="N885" t="s">
        <v>24</v>
      </c>
      <c r="O885" s="2">
        <v>66880</v>
      </c>
    </row>
    <row r="886" spans="1:15" x14ac:dyDescent="0.3">
      <c r="A886" s="2">
        <v>876</v>
      </c>
      <c r="B886" s="1">
        <v>44963.458333333336</v>
      </c>
      <c r="C886" s="1" t="str">
        <f t="shared" si="26"/>
        <v>02-2023</v>
      </c>
      <c r="D886" s="2">
        <f t="shared" si="27"/>
        <v>6</v>
      </c>
      <c r="E886" t="s">
        <v>13</v>
      </c>
      <c r="F886" t="s">
        <v>14</v>
      </c>
      <c r="G886" t="s">
        <v>20</v>
      </c>
      <c r="H886" s="2">
        <v>5741</v>
      </c>
      <c r="I886" s="2">
        <v>5</v>
      </c>
      <c r="J886" s="2">
        <v>119279</v>
      </c>
      <c r="K886" s="2">
        <v>117876</v>
      </c>
      <c r="L886" s="2">
        <v>10</v>
      </c>
      <c r="M886" t="str">
        <f>IF(Revv_bike_sales_data[[#This Row],[delivery_days]]&lt;=7, "Yes", "No")</f>
        <v>No</v>
      </c>
      <c r="N886" t="s">
        <v>16</v>
      </c>
      <c r="O886" s="2">
        <v>1403</v>
      </c>
    </row>
    <row r="887" spans="1:15" x14ac:dyDescent="0.3">
      <c r="A887" s="2">
        <v>877</v>
      </c>
      <c r="B887" s="1">
        <v>44963.5</v>
      </c>
      <c r="C887" s="1" t="str">
        <f t="shared" si="26"/>
        <v>02-2023</v>
      </c>
      <c r="D887" s="2">
        <f t="shared" si="27"/>
        <v>6</v>
      </c>
      <c r="E887" t="s">
        <v>25</v>
      </c>
      <c r="F887" t="s">
        <v>14</v>
      </c>
      <c r="G887" t="s">
        <v>20</v>
      </c>
      <c r="H887" s="2">
        <v>89814</v>
      </c>
      <c r="I887" s="2">
        <v>2</v>
      </c>
      <c r="J887" s="2">
        <v>119430</v>
      </c>
      <c r="K887" s="2">
        <v>22543</v>
      </c>
      <c r="L887" s="2">
        <v>5</v>
      </c>
      <c r="M887" t="str">
        <f>IF(Revv_bike_sales_data[[#This Row],[delivery_days]]&lt;=7, "Yes", "No")</f>
        <v>Yes</v>
      </c>
      <c r="N887" t="s">
        <v>24</v>
      </c>
      <c r="O887" s="2">
        <v>96887</v>
      </c>
    </row>
    <row r="888" spans="1:15" x14ac:dyDescent="0.3">
      <c r="A888" s="2">
        <v>878</v>
      </c>
      <c r="B888" s="1">
        <v>44963.541666666664</v>
      </c>
      <c r="C888" s="1" t="str">
        <f t="shared" si="26"/>
        <v>02-2023</v>
      </c>
      <c r="D888" s="2">
        <f t="shared" si="27"/>
        <v>6</v>
      </c>
      <c r="E888" t="s">
        <v>22</v>
      </c>
      <c r="F888" t="s">
        <v>14</v>
      </c>
      <c r="G888" t="s">
        <v>20</v>
      </c>
      <c r="H888" s="2">
        <v>23321</v>
      </c>
      <c r="I888" s="2">
        <v>8</v>
      </c>
      <c r="J888" s="2">
        <v>140957</v>
      </c>
      <c r="K888" s="2">
        <v>122211</v>
      </c>
      <c r="L888" s="2">
        <v>9</v>
      </c>
      <c r="M888" t="str">
        <f>IF(Revv_bike_sales_data[[#This Row],[delivery_days]]&lt;=7, "Yes", "No")</f>
        <v>No</v>
      </c>
      <c r="N888" t="s">
        <v>16</v>
      </c>
      <c r="O888" s="2">
        <v>18746</v>
      </c>
    </row>
    <row r="889" spans="1:15" x14ac:dyDescent="0.3">
      <c r="A889" s="2">
        <v>879</v>
      </c>
      <c r="B889" s="1">
        <v>44963.583333333336</v>
      </c>
      <c r="C889" s="1" t="str">
        <f t="shared" si="26"/>
        <v>02-2023</v>
      </c>
      <c r="D889" s="2">
        <f t="shared" si="27"/>
        <v>6</v>
      </c>
      <c r="E889" t="s">
        <v>17</v>
      </c>
      <c r="F889" t="s">
        <v>14</v>
      </c>
      <c r="G889" t="s">
        <v>19</v>
      </c>
      <c r="H889" s="2">
        <v>5195</v>
      </c>
      <c r="I889" s="2">
        <v>4</v>
      </c>
      <c r="J889" s="2">
        <v>42748</v>
      </c>
      <c r="K889" s="2">
        <v>97162</v>
      </c>
      <c r="L889" s="2">
        <v>8</v>
      </c>
      <c r="M889" t="str">
        <f>IF(Revv_bike_sales_data[[#This Row],[delivery_days]]&lt;=7, "Yes", "No")</f>
        <v>No</v>
      </c>
      <c r="N889" t="s">
        <v>16</v>
      </c>
      <c r="O889" s="2">
        <v>-54414</v>
      </c>
    </row>
    <row r="890" spans="1:15" x14ac:dyDescent="0.3">
      <c r="A890" s="2">
        <v>880</v>
      </c>
      <c r="B890" s="1">
        <v>44963.625</v>
      </c>
      <c r="C890" s="1" t="str">
        <f t="shared" si="26"/>
        <v>02-2023</v>
      </c>
      <c r="D890" s="2">
        <f t="shared" si="27"/>
        <v>6</v>
      </c>
      <c r="E890" t="s">
        <v>18</v>
      </c>
      <c r="F890" t="s">
        <v>14</v>
      </c>
      <c r="G890" t="s">
        <v>21</v>
      </c>
      <c r="H890" s="2">
        <v>77566</v>
      </c>
      <c r="I890" s="2">
        <v>1</v>
      </c>
      <c r="J890" s="2">
        <v>113636</v>
      </c>
      <c r="K890" s="2">
        <v>54278</v>
      </c>
      <c r="L890" s="2">
        <v>13</v>
      </c>
      <c r="M890" t="str">
        <f>IF(Revv_bike_sales_data[[#This Row],[delivery_days]]&lt;=7, "Yes", "No")</f>
        <v>No</v>
      </c>
      <c r="N890" t="s">
        <v>16</v>
      </c>
      <c r="O890" s="2">
        <v>59358</v>
      </c>
    </row>
    <row r="891" spans="1:15" x14ac:dyDescent="0.3">
      <c r="A891" s="2">
        <v>881</v>
      </c>
      <c r="B891" s="1">
        <v>44963.666666666664</v>
      </c>
      <c r="C891" s="1" t="str">
        <f t="shared" si="26"/>
        <v>02-2023</v>
      </c>
      <c r="D891" s="2">
        <f t="shared" si="27"/>
        <v>6</v>
      </c>
      <c r="E891" t="s">
        <v>13</v>
      </c>
      <c r="F891" t="s">
        <v>14</v>
      </c>
      <c r="G891" t="s">
        <v>19</v>
      </c>
      <c r="H891" s="2">
        <v>14818</v>
      </c>
      <c r="I891" s="2">
        <v>9</v>
      </c>
      <c r="J891" s="2">
        <v>140158</v>
      </c>
      <c r="K891" s="2">
        <v>44607</v>
      </c>
      <c r="L891" s="2">
        <v>12</v>
      </c>
      <c r="M891" t="str">
        <f>IF(Revv_bike_sales_data[[#This Row],[delivery_days]]&lt;=7, "Yes", "No")</f>
        <v>No</v>
      </c>
      <c r="N891" t="s">
        <v>16</v>
      </c>
      <c r="O891" s="2">
        <v>95551</v>
      </c>
    </row>
    <row r="892" spans="1:15" x14ac:dyDescent="0.3">
      <c r="A892" s="2">
        <v>882</v>
      </c>
      <c r="B892" s="1">
        <v>44963.708333333336</v>
      </c>
      <c r="C892" s="1" t="str">
        <f t="shared" si="26"/>
        <v>02-2023</v>
      </c>
      <c r="D892" s="2">
        <f t="shared" si="27"/>
        <v>6</v>
      </c>
      <c r="E892" t="s">
        <v>17</v>
      </c>
      <c r="F892" t="s">
        <v>14</v>
      </c>
      <c r="G892" t="s">
        <v>21</v>
      </c>
      <c r="H892" s="2">
        <v>51434</v>
      </c>
      <c r="I892" s="2">
        <v>5</v>
      </c>
      <c r="J892" s="2">
        <v>35246</v>
      </c>
      <c r="K892" s="2">
        <v>100835</v>
      </c>
      <c r="L892" s="2">
        <v>14</v>
      </c>
      <c r="M892" t="str">
        <f>IF(Revv_bike_sales_data[[#This Row],[delivery_days]]&lt;=7, "Yes", "No")</f>
        <v>No</v>
      </c>
      <c r="N892" t="s">
        <v>16</v>
      </c>
      <c r="O892" s="2">
        <v>-65589</v>
      </c>
    </row>
    <row r="893" spans="1:15" x14ac:dyDescent="0.3">
      <c r="A893" s="2">
        <v>883</v>
      </c>
      <c r="B893" s="1">
        <v>44963.75</v>
      </c>
      <c r="C893" s="1" t="str">
        <f t="shared" si="26"/>
        <v>02-2023</v>
      </c>
      <c r="D893" s="2">
        <f t="shared" si="27"/>
        <v>6</v>
      </c>
      <c r="E893" t="s">
        <v>18</v>
      </c>
      <c r="F893" t="s">
        <v>14</v>
      </c>
      <c r="G893" t="s">
        <v>19</v>
      </c>
      <c r="H893" s="2">
        <v>22831</v>
      </c>
      <c r="I893" s="2">
        <v>7</v>
      </c>
      <c r="J893" s="2">
        <v>84395</v>
      </c>
      <c r="K893" s="2">
        <v>139403</v>
      </c>
      <c r="L893" s="2">
        <v>3</v>
      </c>
      <c r="M893" t="str">
        <f>IF(Revv_bike_sales_data[[#This Row],[delivery_days]]&lt;=7, "Yes", "No")</f>
        <v>Yes</v>
      </c>
      <c r="N893" t="s">
        <v>16</v>
      </c>
      <c r="O893" s="2">
        <v>-55008</v>
      </c>
    </row>
    <row r="894" spans="1:15" x14ac:dyDescent="0.3">
      <c r="A894" s="2">
        <v>884</v>
      </c>
      <c r="B894" s="1">
        <v>44963.791666666664</v>
      </c>
      <c r="C894" s="1" t="str">
        <f t="shared" si="26"/>
        <v>02-2023</v>
      </c>
      <c r="D894" s="2">
        <f t="shared" si="27"/>
        <v>6</v>
      </c>
      <c r="E894" t="s">
        <v>18</v>
      </c>
      <c r="F894" t="s">
        <v>14</v>
      </c>
      <c r="G894" t="s">
        <v>15</v>
      </c>
      <c r="H894" s="2">
        <v>53172</v>
      </c>
      <c r="I894" s="2">
        <v>5</v>
      </c>
      <c r="J894" s="2">
        <v>75300</v>
      </c>
      <c r="K894" s="2">
        <v>32221</v>
      </c>
      <c r="L894" s="2">
        <v>9</v>
      </c>
      <c r="M894" t="str">
        <f>IF(Revv_bike_sales_data[[#This Row],[delivery_days]]&lt;=7, "Yes", "No")</f>
        <v>No</v>
      </c>
      <c r="N894" t="s">
        <v>24</v>
      </c>
      <c r="O894" s="2">
        <v>43079</v>
      </c>
    </row>
    <row r="895" spans="1:15" x14ac:dyDescent="0.3">
      <c r="A895" s="2">
        <v>885</v>
      </c>
      <c r="B895" s="1">
        <v>44963.833333333336</v>
      </c>
      <c r="C895" s="1" t="str">
        <f t="shared" si="26"/>
        <v>02-2023</v>
      </c>
      <c r="D895" s="2">
        <f t="shared" si="27"/>
        <v>6</v>
      </c>
      <c r="E895" t="s">
        <v>25</v>
      </c>
      <c r="F895" t="s">
        <v>14</v>
      </c>
      <c r="G895" t="s">
        <v>15</v>
      </c>
      <c r="H895" s="2">
        <v>92391</v>
      </c>
      <c r="I895" s="2">
        <v>3</v>
      </c>
      <c r="J895" s="2">
        <v>159158</v>
      </c>
      <c r="K895" s="2">
        <v>18323</v>
      </c>
      <c r="L895" s="2">
        <v>10</v>
      </c>
      <c r="M895" t="str">
        <f>IF(Revv_bike_sales_data[[#This Row],[delivery_days]]&lt;=7, "Yes", "No")</f>
        <v>No</v>
      </c>
      <c r="N895" t="s">
        <v>16</v>
      </c>
      <c r="O895" s="2">
        <v>140835</v>
      </c>
    </row>
    <row r="896" spans="1:15" x14ac:dyDescent="0.3">
      <c r="A896" s="2">
        <v>886</v>
      </c>
      <c r="B896" s="1">
        <v>44963.875</v>
      </c>
      <c r="C896" s="1" t="str">
        <f t="shared" si="26"/>
        <v>02-2023</v>
      </c>
      <c r="D896" s="2">
        <f t="shared" si="27"/>
        <v>6</v>
      </c>
      <c r="E896" t="s">
        <v>22</v>
      </c>
      <c r="F896" t="s">
        <v>23</v>
      </c>
      <c r="G896" t="s">
        <v>20</v>
      </c>
      <c r="H896" s="2">
        <v>77360</v>
      </c>
      <c r="I896" s="2">
        <v>5</v>
      </c>
      <c r="J896" s="2">
        <v>39860</v>
      </c>
      <c r="K896" s="2">
        <v>67105</v>
      </c>
      <c r="L896" s="2">
        <v>3</v>
      </c>
      <c r="M896" t="str">
        <f>IF(Revv_bike_sales_data[[#This Row],[delivery_days]]&lt;=7, "Yes", "No")</f>
        <v>Yes</v>
      </c>
      <c r="N896" t="s">
        <v>16</v>
      </c>
      <c r="O896" s="2">
        <v>-27245</v>
      </c>
    </row>
    <row r="897" spans="1:15" x14ac:dyDescent="0.3">
      <c r="A897" s="2">
        <v>887</v>
      </c>
      <c r="B897" s="1">
        <v>44963.916666666664</v>
      </c>
      <c r="C897" s="1" t="str">
        <f t="shared" si="26"/>
        <v>02-2023</v>
      </c>
      <c r="D897" s="2">
        <f t="shared" si="27"/>
        <v>6</v>
      </c>
      <c r="E897" t="s">
        <v>22</v>
      </c>
      <c r="F897" t="s">
        <v>14</v>
      </c>
      <c r="G897" t="s">
        <v>15</v>
      </c>
      <c r="H897" s="2">
        <v>94185</v>
      </c>
      <c r="I897" s="2">
        <v>7</v>
      </c>
      <c r="J897" s="2">
        <v>42013</v>
      </c>
      <c r="K897" s="2">
        <v>122841</v>
      </c>
      <c r="L897" s="2">
        <v>10</v>
      </c>
      <c r="M897" t="str">
        <f>IF(Revv_bike_sales_data[[#This Row],[delivery_days]]&lt;=7, "Yes", "No")</f>
        <v>No</v>
      </c>
      <c r="N897" t="s">
        <v>16</v>
      </c>
      <c r="O897" s="2">
        <v>-80828</v>
      </c>
    </row>
    <row r="898" spans="1:15" x14ac:dyDescent="0.3">
      <c r="A898" s="2">
        <v>888</v>
      </c>
      <c r="B898" s="1">
        <v>44963.958333333336</v>
      </c>
      <c r="C898" s="1" t="str">
        <f t="shared" si="26"/>
        <v>02-2023</v>
      </c>
      <c r="D898" s="2">
        <f t="shared" si="27"/>
        <v>6</v>
      </c>
      <c r="E898" t="s">
        <v>17</v>
      </c>
      <c r="F898" t="s">
        <v>14</v>
      </c>
      <c r="G898" t="s">
        <v>20</v>
      </c>
      <c r="H898" s="2">
        <v>69254</v>
      </c>
      <c r="I898" s="2">
        <v>7</v>
      </c>
      <c r="J898" s="2">
        <v>163479</v>
      </c>
      <c r="K898" s="2">
        <v>91151</v>
      </c>
      <c r="L898" s="2">
        <v>12</v>
      </c>
      <c r="M898" t="str">
        <f>IF(Revv_bike_sales_data[[#This Row],[delivery_days]]&lt;=7, "Yes", "No")</f>
        <v>No</v>
      </c>
      <c r="N898" t="s">
        <v>16</v>
      </c>
      <c r="O898" s="2">
        <v>72328</v>
      </c>
    </row>
    <row r="899" spans="1:15" x14ac:dyDescent="0.3">
      <c r="A899" s="2">
        <v>889</v>
      </c>
      <c r="B899" s="1">
        <v>44964</v>
      </c>
      <c r="C899" s="1" t="str">
        <f t="shared" si="26"/>
        <v>02-2023</v>
      </c>
      <c r="D899" s="2">
        <f t="shared" si="27"/>
        <v>6</v>
      </c>
      <c r="E899" t="s">
        <v>22</v>
      </c>
      <c r="F899" t="s">
        <v>14</v>
      </c>
      <c r="G899" t="s">
        <v>21</v>
      </c>
      <c r="H899" s="2">
        <v>86177</v>
      </c>
      <c r="I899" s="2">
        <v>9</v>
      </c>
      <c r="J899" s="2">
        <v>58542</v>
      </c>
      <c r="K899" s="2">
        <v>139908</v>
      </c>
      <c r="L899" s="2">
        <v>14</v>
      </c>
      <c r="M899" t="str">
        <f>IF(Revv_bike_sales_data[[#This Row],[delivery_days]]&lt;=7, "Yes", "No")</f>
        <v>No</v>
      </c>
      <c r="N899" t="s">
        <v>16</v>
      </c>
      <c r="O899" s="2">
        <v>-81366</v>
      </c>
    </row>
    <row r="900" spans="1:15" x14ac:dyDescent="0.3">
      <c r="A900" s="2">
        <v>890</v>
      </c>
      <c r="B900" s="1">
        <v>44964.041666666664</v>
      </c>
      <c r="C900" s="1" t="str">
        <f t="shared" si="26"/>
        <v>02-2023</v>
      </c>
      <c r="D900" s="2">
        <f t="shared" si="27"/>
        <v>6</v>
      </c>
      <c r="E900" t="s">
        <v>13</v>
      </c>
      <c r="F900" t="s">
        <v>14</v>
      </c>
      <c r="G900" t="s">
        <v>15</v>
      </c>
      <c r="H900" s="2">
        <v>3337</v>
      </c>
      <c r="I900" s="2">
        <v>1</v>
      </c>
      <c r="J900" s="2">
        <v>49935</v>
      </c>
      <c r="K900" s="2">
        <v>81968</v>
      </c>
      <c r="L900" s="2">
        <v>8</v>
      </c>
      <c r="M900" t="str">
        <f>IF(Revv_bike_sales_data[[#This Row],[delivery_days]]&lt;=7, "Yes", "No")</f>
        <v>No</v>
      </c>
      <c r="N900" t="s">
        <v>16</v>
      </c>
      <c r="O900" s="2">
        <v>-32033</v>
      </c>
    </row>
    <row r="901" spans="1:15" x14ac:dyDescent="0.3">
      <c r="A901" s="2">
        <v>891</v>
      </c>
      <c r="B901" s="1">
        <v>44964.083333333336</v>
      </c>
      <c r="C901" s="1" t="str">
        <f t="shared" si="26"/>
        <v>02-2023</v>
      </c>
      <c r="D901" s="2">
        <f t="shared" si="27"/>
        <v>6</v>
      </c>
      <c r="E901" t="s">
        <v>22</v>
      </c>
      <c r="F901" t="s">
        <v>14</v>
      </c>
      <c r="G901" t="s">
        <v>21</v>
      </c>
      <c r="H901" s="2">
        <v>40577</v>
      </c>
      <c r="I901" s="2">
        <v>7</v>
      </c>
      <c r="J901" s="2">
        <v>74079</v>
      </c>
      <c r="K901" s="2">
        <v>38238</v>
      </c>
      <c r="L901" s="2">
        <v>1</v>
      </c>
      <c r="M901" t="str">
        <f>IF(Revv_bike_sales_data[[#This Row],[delivery_days]]&lt;=7, "Yes", "No")</f>
        <v>Yes</v>
      </c>
      <c r="N901" t="s">
        <v>16</v>
      </c>
      <c r="O901" s="2">
        <v>35841</v>
      </c>
    </row>
    <row r="902" spans="1:15" x14ac:dyDescent="0.3">
      <c r="A902" s="2">
        <v>892</v>
      </c>
      <c r="B902" s="1">
        <v>44964.125</v>
      </c>
      <c r="C902" s="1" t="str">
        <f t="shared" si="26"/>
        <v>02-2023</v>
      </c>
      <c r="D902" s="2">
        <f t="shared" si="27"/>
        <v>6</v>
      </c>
      <c r="E902" t="s">
        <v>17</v>
      </c>
      <c r="F902" t="s">
        <v>14</v>
      </c>
      <c r="G902" t="s">
        <v>19</v>
      </c>
      <c r="H902" s="2">
        <v>80415</v>
      </c>
      <c r="I902" s="2">
        <v>5</v>
      </c>
      <c r="J902" s="2">
        <v>59111</v>
      </c>
      <c r="K902" s="2">
        <v>120959</v>
      </c>
      <c r="L902" s="2">
        <v>4</v>
      </c>
      <c r="M902" t="str">
        <f>IF(Revv_bike_sales_data[[#This Row],[delivery_days]]&lt;=7, "Yes", "No")</f>
        <v>Yes</v>
      </c>
      <c r="N902" t="s">
        <v>16</v>
      </c>
      <c r="O902" s="2">
        <v>-61848</v>
      </c>
    </row>
    <row r="903" spans="1:15" x14ac:dyDescent="0.3">
      <c r="A903" s="2">
        <v>893</v>
      </c>
      <c r="B903" s="1">
        <v>44964.166666666664</v>
      </c>
      <c r="C903" s="1" t="str">
        <f t="shared" si="26"/>
        <v>02-2023</v>
      </c>
      <c r="D903" s="2">
        <f t="shared" si="27"/>
        <v>6</v>
      </c>
      <c r="E903" t="s">
        <v>22</v>
      </c>
      <c r="F903" t="s">
        <v>14</v>
      </c>
      <c r="G903" t="s">
        <v>21</v>
      </c>
      <c r="H903" s="2">
        <v>4739</v>
      </c>
      <c r="I903" s="2">
        <v>1</v>
      </c>
      <c r="J903" s="2">
        <v>81550</v>
      </c>
      <c r="K903" s="2">
        <v>78830</v>
      </c>
      <c r="L903" s="2">
        <v>4</v>
      </c>
      <c r="M903" t="str">
        <f>IF(Revv_bike_sales_data[[#This Row],[delivery_days]]&lt;=7, "Yes", "No")</f>
        <v>Yes</v>
      </c>
      <c r="N903" t="s">
        <v>16</v>
      </c>
      <c r="O903" s="2">
        <v>2720</v>
      </c>
    </row>
    <row r="904" spans="1:15" x14ac:dyDescent="0.3">
      <c r="A904" s="2">
        <v>894</v>
      </c>
      <c r="B904" s="1">
        <v>44964.208333333336</v>
      </c>
      <c r="C904" s="1" t="str">
        <f t="shared" si="26"/>
        <v>02-2023</v>
      </c>
      <c r="D904" s="2">
        <f t="shared" si="27"/>
        <v>6</v>
      </c>
      <c r="E904" t="s">
        <v>13</v>
      </c>
      <c r="F904" t="s">
        <v>14</v>
      </c>
      <c r="G904" t="s">
        <v>19</v>
      </c>
      <c r="H904" s="2">
        <v>86848</v>
      </c>
      <c r="I904" s="2">
        <v>0</v>
      </c>
      <c r="J904" s="2">
        <v>101955</v>
      </c>
      <c r="K904" s="2">
        <v>88967</v>
      </c>
      <c r="L904" s="2">
        <v>6</v>
      </c>
      <c r="M904" t="str">
        <f>IF(Revv_bike_sales_data[[#This Row],[delivery_days]]&lt;=7, "Yes", "No")</f>
        <v>Yes</v>
      </c>
      <c r="N904" t="s">
        <v>16</v>
      </c>
      <c r="O904" s="2">
        <v>12988</v>
      </c>
    </row>
    <row r="905" spans="1:15" x14ac:dyDescent="0.3">
      <c r="A905" s="2">
        <v>895</v>
      </c>
      <c r="B905" s="1">
        <v>44964.25</v>
      </c>
      <c r="C905" s="1" t="str">
        <f t="shared" si="26"/>
        <v>02-2023</v>
      </c>
      <c r="D905" s="2">
        <f t="shared" si="27"/>
        <v>6</v>
      </c>
      <c r="E905" t="s">
        <v>25</v>
      </c>
      <c r="F905" t="s">
        <v>14</v>
      </c>
      <c r="G905" t="s">
        <v>21</v>
      </c>
      <c r="H905" s="2">
        <v>30169</v>
      </c>
      <c r="I905" s="2">
        <v>5</v>
      </c>
      <c r="J905" s="2">
        <v>65565</v>
      </c>
      <c r="K905" s="2">
        <v>23330</v>
      </c>
      <c r="L905" s="2">
        <v>12</v>
      </c>
      <c r="M905" t="str">
        <f>IF(Revv_bike_sales_data[[#This Row],[delivery_days]]&lt;=7, "Yes", "No")</f>
        <v>No</v>
      </c>
      <c r="N905" t="s">
        <v>24</v>
      </c>
      <c r="O905" s="2">
        <v>42235</v>
      </c>
    </row>
    <row r="906" spans="1:15" x14ac:dyDescent="0.3">
      <c r="A906" s="2">
        <v>896</v>
      </c>
      <c r="B906" s="1">
        <v>44964.291666666664</v>
      </c>
      <c r="C906" s="1" t="str">
        <f t="shared" si="26"/>
        <v>02-2023</v>
      </c>
      <c r="D906" s="2">
        <f t="shared" si="27"/>
        <v>6</v>
      </c>
      <c r="E906" t="s">
        <v>17</v>
      </c>
      <c r="F906" t="s">
        <v>14</v>
      </c>
      <c r="G906" t="s">
        <v>21</v>
      </c>
      <c r="H906" s="2">
        <v>49124</v>
      </c>
      <c r="I906" s="2">
        <v>6</v>
      </c>
      <c r="J906" s="2">
        <v>44283</v>
      </c>
      <c r="K906" s="2">
        <v>59153</v>
      </c>
      <c r="L906" s="2">
        <v>12</v>
      </c>
      <c r="M906" t="str">
        <f>IF(Revv_bike_sales_data[[#This Row],[delivery_days]]&lt;=7, "Yes", "No")</f>
        <v>No</v>
      </c>
      <c r="N906" t="s">
        <v>16</v>
      </c>
      <c r="O906" s="2">
        <v>-14870</v>
      </c>
    </row>
    <row r="907" spans="1:15" x14ac:dyDescent="0.3">
      <c r="A907" s="2">
        <v>897</v>
      </c>
      <c r="B907" s="1">
        <v>44964.333333333336</v>
      </c>
      <c r="C907" s="1" t="str">
        <f t="shared" ref="C907:C970" si="28">TEXT(B907,"mm-yyyy")</f>
        <v>02-2023</v>
      </c>
      <c r="D907" s="2">
        <f t="shared" ref="D907:D970" si="29">WEEKNUM(B907)</f>
        <v>6</v>
      </c>
      <c r="E907" t="s">
        <v>25</v>
      </c>
      <c r="F907" t="s">
        <v>14</v>
      </c>
      <c r="G907" t="s">
        <v>15</v>
      </c>
      <c r="H907" s="2">
        <v>75647</v>
      </c>
      <c r="I907" s="2">
        <v>9</v>
      </c>
      <c r="J907" s="2">
        <v>91470</v>
      </c>
      <c r="K907" s="2">
        <v>23611</v>
      </c>
      <c r="L907" s="2">
        <v>2</v>
      </c>
      <c r="M907" t="str">
        <f>IF(Revv_bike_sales_data[[#This Row],[delivery_days]]&lt;=7, "Yes", "No")</f>
        <v>Yes</v>
      </c>
      <c r="N907" t="s">
        <v>16</v>
      </c>
      <c r="O907" s="2">
        <v>67859</v>
      </c>
    </row>
    <row r="908" spans="1:15" x14ac:dyDescent="0.3">
      <c r="A908" s="2">
        <v>898</v>
      </c>
      <c r="B908" s="1">
        <v>44964.375</v>
      </c>
      <c r="C908" s="1" t="str">
        <f t="shared" si="28"/>
        <v>02-2023</v>
      </c>
      <c r="D908" s="2">
        <f t="shared" si="29"/>
        <v>6</v>
      </c>
      <c r="E908" t="s">
        <v>25</v>
      </c>
      <c r="F908" t="s">
        <v>14</v>
      </c>
      <c r="G908" t="s">
        <v>21</v>
      </c>
      <c r="H908" s="2">
        <v>4650</v>
      </c>
      <c r="I908" s="2">
        <v>4</v>
      </c>
      <c r="J908" s="2">
        <v>111916</v>
      </c>
      <c r="K908" s="2">
        <v>28872</v>
      </c>
      <c r="L908" s="2">
        <v>7</v>
      </c>
      <c r="M908" t="str">
        <f>IF(Revv_bike_sales_data[[#This Row],[delivery_days]]&lt;=7, "Yes", "No")</f>
        <v>Yes</v>
      </c>
      <c r="N908" t="s">
        <v>16</v>
      </c>
      <c r="O908" s="2">
        <v>83044</v>
      </c>
    </row>
    <row r="909" spans="1:15" x14ac:dyDescent="0.3">
      <c r="A909" s="2">
        <v>899</v>
      </c>
      <c r="B909" s="1">
        <v>44964.416666666664</v>
      </c>
      <c r="C909" s="1" t="str">
        <f t="shared" si="28"/>
        <v>02-2023</v>
      </c>
      <c r="D909" s="2">
        <f t="shared" si="29"/>
        <v>6</v>
      </c>
      <c r="E909" t="s">
        <v>25</v>
      </c>
      <c r="F909" t="s">
        <v>14</v>
      </c>
      <c r="G909" t="s">
        <v>15</v>
      </c>
      <c r="H909" s="2">
        <v>11609</v>
      </c>
      <c r="I909" s="2">
        <v>9</v>
      </c>
      <c r="J909" s="2">
        <v>104552</v>
      </c>
      <c r="K909" s="2">
        <v>64455</v>
      </c>
      <c r="L909" s="2">
        <v>5</v>
      </c>
      <c r="M909" t="str">
        <f>IF(Revv_bike_sales_data[[#This Row],[delivery_days]]&lt;=7, "Yes", "No")</f>
        <v>Yes</v>
      </c>
      <c r="N909" t="s">
        <v>16</v>
      </c>
      <c r="O909" s="2">
        <v>40097</v>
      </c>
    </row>
    <row r="910" spans="1:15" x14ac:dyDescent="0.3">
      <c r="A910" s="2">
        <v>900</v>
      </c>
      <c r="B910" s="1">
        <v>44964.458333333336</v>
      </c>
      <c r="C910" s="1" t="str">
        <f t="shared" si="28"/>
        <v>02-2023</v>
      </c>
      <c r="D910" s="2">
        <f t="shared" si="29"/>
        <v>6</v>
      </c>
      <c r="E910" t="s">
        <v>18</v>
      </c>
      <c r="F910" t="s">
        <v>14</v>
      </c>
      <c r="G910" t="s">
        <v>15</v>
      </c>
      <c r="H910" s="2">
        <v>26516</v>
      </c>
      <c r="I910" s="2">
        <v>7</v>
      </c>
      <c r="J910" s="2">
        <v>63233</v>
      </c>
      <c r="K910" s="2">
        <v>49930</v>
      </c>
      <c r="L910" s="2">
        <v>10</v>
      </c>
      <c r="M910" t="str">
        <f>IF(Revv_bike_sales_data[[#This Row],[delivery_days]]&lt;=7, "Yes", "No")</f>
        <v>No</v>
      </c>
      <c r="N910" t="s">
        <v>16</v>
      </c>
      <c r="O910" s="2">
        <v>13303</v>
      </c>
    </row>
    <row r="911" spans="1:15" x14ac:dyDescent="0.3">
      <c r="A911" s="2">
        <v>901</v>
      </c>
      <c r="B911" s="1">
        <v>44964.5</v>
      </c>
      <c r="C911" s="1" t="str">
        <f t="shared" si="28"/>
        <v>02-2023</v>
      </c>
      <c r="D911" s="2">
        <f t="shared" si="29"/>
        <v>6</v>
      </c>
      <c r="E911" t="s">
        <v>18</v>
      </c>
      <c r="F911" t="s">
        <v>14</v>
      </c>
      <c r="G911" t="s">
        <v>20</v>
      </c>
      <c r="H911" s="2">
        <v>12436</v>
      </c>
      <c r="I911" s="2">
        <v>8</v>
      </c>
      <c r="J911" s="2">
        <v>47695</v>
      </c>
      <c r="K911" s="2">
        <v>87022</v>
      </c>
      <c r="L911" s="2">
        <v>6</v>
      </c>
      <c r="M911" t="str">
        <f>IF(Revv_bike_sales_data[[#This Row],[delivery_days]]&lt;=7, "Yes", "No")</f>
        <v>Yes</v>
      </c>
      <c r="N911" t="s">
        <v>16</v>
      </c>
      <c r="O911" s="2">
        <v>-39327</v>
      </c>
    </row>
    <row r="912" spans="1:15" x14ac:dyDescent="0.3">
      <c r="A912" s="2">
        <v>902</v>
      </c>
      <c r="B912" s="1">
        <v>44964.541666666664</v>
      </c>
      <c r="C912" s="1" t="str">
        <f t="shared" si="28"/>
        <v>02-2023</v>
      </c>
      <c r="D912" s="2">
        <f t="shared" si="29"/>
        <v>6</v>
      </c>
      <c r="E912" t="s">
        <v>25</v>
      </c>
      <c r="F912" t="s">
        <v>14</v>
      </c>
      <c r="G912" t="s">
        <v>20</v>
      </c>
      <c r="H912" s="2">
        <v>11536</v>
      </c>
      <c r="I912" s="2">
        <v>3</v>
      </c>
      <c r="J912" s="2">
        <v>151440</v>
      </c>
      <c r="K912" s="2">
        <v>77714</v>
      </c>
      <c r="L912" s="2">
        <v>11</v>
      </c>
      <c r="M912" t="str">
        <f>IF(Revv_bike_sales_data[[#This Row],[delivery_days]]&lt;=7, "Yes", "No")</f>
        <v>No</v>
      </c>
      <c r="N912" t="s">
        <v>16</v>
      </c>
      <c r="O912" s="2">
        <v>73726</v>
      </c>
    </row>
    <row r="913" spans="1:15" x14ac:dyDescent="0.3">
      <c r="A913" s="2">
        <v>903</v>
      </c>
      <c r="B913" s="1">
        <v>44964.583333333336</v>
      </c>
      <c r="C913" s="1" t="str">
        <f t="shared" si="28"/>
        <v>02-2023</v>
      </c>
      <c r="D913" s="2">
        <f t="shared" si="29"/>
        <v>6</v>
      </c>
      <c r="E913" t="s">
        <v>17</v>
      </c>
      <c r="F913" t="s">
        <v>14</v>
      </c>
      <c r="G913" t="s">
        <v>19</v>
      </c>
      <c r="H913" s="2">
        <v>39736</v>
      </c>
      <c r="I913" s="2">
        <v>6</v>
      </c>
      <c r="J913" s="2">
        <v>106257</v>
      </c>
      <c r="K913" s="2">
        <v>139906</v>
      </c>
      <c r="L913" s="2">
        <v>14</v>
      </c>
      <c r="M913" t="str">
        <f>IF(Revv_bike_sales_data[[#This Row],[delivery_days]]&lt;=7, "Yes", "No")</f>
        <v>No</v>
      </c>
      <c r="N913" t="s">
        <v>16</v>
      </c>
      <c r="O913" s="2">
        <v>-33649</v>
      </c>
    </row>
    <row r="914" spans="1:15" x14ac:dyDescent="0.3">
      <c r="A914" s="2">
        <v>904</v>
      </c>
      <c r="B914" s="1">
        <v>44964.625</v>
      </c>
      <c r="C914" s="1" t="str">
        <f t="shared" si="28"/>
        <v>02-2023</v>
      </c>
      <c r="D914" s="2">
        <f t="shared" si="29"/>
        <v>6</v>
      </c>
      <c r="E914" t="s">
        <v>13</v>
      </c>
      <c r="F914" t="s">
        <v>14</v>
      </c>
      <c r="G914" t="s">
        <v>21</v>
      </c>
      <c r="H914" s="2">
        <v>14521</v>
      </c>
      <c r="I914" s="2">
        <v>7</v>
      </c>
      <c r="J914" s="2">
        <v>26505</v>
      </c>
      <c r="K914" s="2">
        <v>117406</v>
      </c>
      <c r="L914" s="2">
        <v>6</v>
      </c>
      <c r="M914" t="str">
        <f>IF(Revv_bike_sales_data[[#This Row],[delivery_days]]&lt;=7, "Yes", "No")</f>
        <v>Yes</v>
      </c>
      <c r="N914" t="s">
        <v>16</v>
      </c>
      <c r="O914" s="2">
        <v>-90901</v>
      </c>
    </row>
    <row r="915" spans="1:15" x14ac:dyDescent="0.3">
      <c r="A915" s="2">
        <v>905</v>
      </c>
      <c r="B915" s="1">
        <v>44964.666666666664</v>
      </c>
      <c r="C915" s="1" t="str">
        <f t="shared" si="28"/>
        <v>02-2023</v>
      </c>
      <c r="D915" s="2">
        <f t="shared" si="29"/>
        <v>6</v>
      </c>
      <c r="E915" t="s">
        <v>13</v>
      </c>
      <c r="F915" t="s">
        <v>14</v>
      </c>
      <c r="G915" t="s">
        <v>19</v>
      </c>
      <c r="H915" s="2">
        <v>37443</v>
      </c>
      <c r="I915" s="2">
        <v>5</v>
      </c>
      <c r="J915" s="2">
        <v>161435</v>
      </c>
      <c r="K915" s="2">
        <v>103794</v>
      </c>
      <c r="L915" s="2">
        <v>14</v>
      </c>
      <c r="M915" t="str">
        <f>IF(Revv_bike_sales_data[[#This Row],[delivery_days]]&lt;=7, "Yes", "No")</f>
        <v>No</v>
      </c>
      <c r="N915" t="s">
        <v>16</v>
      </c>
      <c r="O915" s="2">
        <v>57641</v>
      </c>
    </row>
    <row r="916" spans="1:15" x14ac:dyDescent="0.3">
      <c r="A916" s="2">
        <v>906</v>
      </c>
      <c r="B916" s="1">
        <v>44964.708333333336</v>
      </c>
      <c r="C916" s="1" t="str">
        <f t="shared" si="28"/>
        <v>02-2023</v>
      </c>
      <c r="D916" s="2">
        <f t="shared" si="29"/>
        <v>6</v>
      </c>
      <c r="E916" t="s">
        <v>22</v>
      </c>
      <c r="F916" t="s">
        <v>14</v>
      </c>
      <c r="G916" t="s">
        <v>21</v>
      </c>
      <c r="H916" s="2">
        <v>81507</v>
      </c>
      <c r="I916" s="2">
        <v>1</v>
      </c>
      <c r="J916" s="2">
        <v>68614</v>
      </c>
      <c r="K916" s="2">
        <v>63716</v>
      </c>
      <c r="L916" s="2">
        <v>14</v>
      </c>
      <c r="M916" t="str">
        <f>IF(Revv_bike_sales_data[[#This Row],[delivery_days]]&lt;=7, "Yes", "No")</f>
        <v>No</v>
      </c>
      <c r="N916" t="s">
        <v>16</v>
      </c>
      <c r="O916" s="2">
        <v>4898</v>
      </c>
    </row>
    <row r="917" spans="1:15" x14ac:dyDescent="0.3">
      <c r="A917" s="2">
        <v>907</v>
      </c>
      <c r="B917" s="1">
        <v>44964.75</v>
      </c>
      <c r="C917" s="1" t="str">
        <f t="shared" si="28"/>
        <v>02-2023</v>
      </c>
      <c r="D917" s="2">
        <f t="shared" si="29"/>
        <v>6</v>
      </c>
      <c r="E917" t="s">
        <v>17</v>
      </c>
      <c r="F917" t="s">
        <v>14</v>
      </c>
      <c r="G917" t="s">
        <v>20</v>
      </c>
      <c r="H917" s="2">
        <v>50516</v>
      </c>
      <c r="I917" s="2">
        <v>6</v>
      </c>
      <c r="J917" s="2">
        <v>26010</v>
      </c>
      <c r="K917" s="2">
        <v>123722</v>
      </c>
      <c r="L917" s="2">
        <v>12</v>
      </c>
      <c r="M917" t="str">
        <f>IF(Revv_bike_sales_data[[#This Row],[delivery_days]]&lt;=7, "Yes", "No")</f>
        <v>No</v>
      </c>
      <c r="N917" t="s">
        <v>16</v>
      </c>
      <c r="O917" s="2">
        <v>-97712</v>
      </c>
    </row>
    <row r="918" spans="1:15" x14ac:dyDescent="0.3">
      <c r="A918" s="2">
        <v>908</v>
      </c>
      <c r="B918" s="1">
        <v>44964.791666666664</v>
      </c>
      <c r="C918" s="1" t="str">
        <f t="shared" si="28"/>
        <v>02-2023</v>
      </c>
      <c r="D918" s="2">
        <f t="shared" si="29"/>
        <v>6</v>
      </c>
      <c r="E918" t="s">
        <v>18</v>
      </c>
      <c r="F918" t="s">
        <v>14</v>
      </c>
      <c r="G918" t="s">
        <v>20</v>
      </c>
      <c r="H918" s="2">
        <v>23744</v>
      </c>
      <c r="I918" s="2">
        <v>8</v>
      </c>
      <c r="J918" s="2">
        <v>155560</v>
      </c>
      <c r="K918" s="2">
        <v>81704</v>
      </c>
      <c r="L918" s="2">
        <v>14</v>
      </c>
      <c r="M918" t="str">
        <f>IF(Revv_bike_sales_data[[#This Row],[delivery_days]]&lt;=7, "Yes", "No")</f>
        <v>No</v>
      </c>
      <c r="N918" t="s">
        <v>16</v>
      </c>
      <c r="O918" s="2">
        <v>73856</v>
      </c>
    </row>
    <row r="919" spans="1:15" x14ac:dyDescent="0.3">
      <c r="A919" s="2">
        <v>909</v>
      </c>
      <c r="B919" s="1">
        <v>44964.833333333336</v>
      </c>
      <c r="C919" s="1" t="str">
        <f t="shared" si="28"/>
        <v>02-2023</v>
      </c>
      <c r="D919" s="2">
        <f t="shared" si="29"/>
        <v>6</v>
      </c>
      <c r="E919" t="s">
        <v>25</v>
      </c>
      <c r="F919" t="s">
        <v>23</v>
      </c>
      <c r="G919" t="s">
        <v>21</v>
      </c>
      <c r="H919" s="2">
        <v>63527</v>
      </c>
      <c r="I919" s="2">
        <v>4</v>
      </c>
      <c r="J919" s="2">
        <v>175933</v>
      </c>
      <c r="K919" s="2">
        <v>15415</v>
      </c>
      <c r="L919" s="2">
        <v>11</v>
      </c>
      <c r="M919" t="str">
        <f>IF(Revv_bike_sales_data[[#This Row],[delivery_days]]&lt;=7, "Yes", "No")</f>
        <v>No</v>
      </c>
      <c r="N919" t="s">
        <v>16</v>
      </c>
      <c r="O919" s="2">
        <v>160518</v>
      </c>
    </row>
    <row r="920" spans="1:15" x14ac:dyDescent="0.3">
      <c r="A920" s="2">
        <v>910</v>
      </c>
      <c r="B920" s="1">
        <v>44964.875</v>
      </c>
      <c r="C920" s="1" t="str">
        <f t="shared" si="28"/>
        <v>02-2023</v>
      </c>
      <c r="D920" s="2">
        <f t="shared" si="29"/>
        <v>6</v>
      </c>
      <c r="E920" t="s">
        <v>22</v>
      </c>
      <c r="F920" t="s">
        <v>23</v>
      </c>
      <c r="G920" t="s">
        <v>21</v>
      </c>
      <c r="H920" s="2">
        <v>39485</v>
      </c>
      <c r="I920" s="2">
        <v>1</v>
      </c>
      <c r="J920" s="2">
        <v>165441</v>
      </c>
      <c r="K920" s="2">
        <v>91441</v>
      </c>
      <c r="L920" s="2">
        <v>6</v>
      </c>
      <c r="M920" t="str">
        <f>IF(Revv_bike_sales_data[[#This Row],[delivery_days]]&lt;=7, "Yes", "No")</f>
        <v>Yes</v>
      </c>
      <c r="N920" t="s">
        <v>16</v>
      </c>
      <c r="O920" s="2">
        <v>74000</v>
      </c>
    </row>
    <row r="921" spans="1:15" x14ac:dyDescent="0.3">
      <c r="A921" s="2">
        <v>911</v>
      </c>
      <c r="B921" s="1">
        <v>44964.916666666664</v>
      </c>
      <c r="C921" s="1" t="str">
        <f t="shared" si="28"/>
        <v>02-2023</v>
      </c>
      <c r="D921" s="2">
        <f t="shared" si="29"/>
        <v>6</v>
      </c>
      <c r="E921" t="s">
        <v>13</v>
      </c>
      <c r="F921" t="s">
        <v>14</v>
      </c>
      <c r="G921" t="s">
        <v>20</v>
      </c>
      <c r="H921" s="2">
        <v>2002</v>
      </c>
      <c r="I921" s="2">
        <v>3</v>
      </c>
      <c r="J921" s="2">
        <v>94393</v>
      </c>
      <c r="K921" s="2">
        <v>126736</v>
      </c>
      <c r="L921" s="2">
        <v>10</v>
      </c>
      <c r="M921" t="str">
        <f>IF(Revv_bike_sales_data[[#This Row],[delivery_days]]&lt;=7, "Yes", "No")</f>
        <v>No</v>
      </c>
      <c r="N921" t="s">
        <v>16</v>
      </c>
      <c r="O921" s="2">
        <v>-32343</v>
      </c>
    </row>
    <row r="922" spans="1:15" x14ac:dyDescent="0.3">
      <c r="A922" s="2">
        <v>912</v>
      </c>
      <c r="B922" s="1">
        <v>44964.958333333336</v>
      </c>
      <c r="C922" s="1" t="str">
        <f t="shared" si="28"/>
        <v>02-2023</v>
      </c>
      <c r="D922" s="2">
        <f t="shared" si="29"/>
        <v>6</v>
      </c>
      <c r="E922" t="s">
        <v>18</v>
      </c>
      <c r="F922" t="s">
        <v>14</v>
      </c>
      <c r="G922" t="s">
        <v>20</v>
      </c>
      <c r="H922" s="2">
        <v>54336</v>
      </c>
      <c r="I922" s="2">
        <v>2</v>
      </c>
      <c r="J922" s="2">
        <v>89512</v>
      </c>
      <c r="K922" s="2">
        <v>85779</v>
      </c>
      <c r="L922" s="2">
        <v>12</v>
      </c>
      <c r="M922" t="str">
        <f>IF(Revv_bike_sales_data[[#This Row],[delivery_days]]&lt;=7, "Yes", "No")</f>
        <v>No</v>
      </c>
      <c r="N922" t="s">
        <v>16</v>
      </c>
      <c r="O922" s="2">
        <v>3733</v>
      </c>
    </row>
    <row r="923" spans="1:15" x14ac:dyDescent="0.3">
      <c r="A923" s="2">
        <v>913</v>
      </c>
      <c r="B923" s="1">
        <v>44965</v>
      </c>
      <c r="C923" s="1" t="str">
        <f t="shared" si="28"/>
        <v>02-2023</v>
      </c>
      <c r="D923" s="2">
        <f t="shared" si="29"/>
        <v>6</v>
      </c>
      <c r="E923" t="s">
        <v>18</v>
      </c>
      <c r="F923" t="s">
        <v>14</v>
      </c>
      <c r="G923" t="s">
        <v>19</v>
      </c>
      <c r="H923" s="2">
        <v>4270</v>
      </c>
      <c r="I923" s="2">
        <v>3</v>
      </c>
      <c r="J923" s="2">
        <v>123026</v>
      </c>
      <c r="K923" s="2">
        <v>97069</v>
      </c>
      <c r="L923" s="2">
        <v>8</v>
      </c>
      <c r="M923" t="str">
        <f>IF(Revv_bike_sales_data[[#This Row],[delivery_days]]&lt;=7, "Yes", "No")</f>
        <v>No</v>
      </c>
      <c r="N923" t="s">
        <v>16</v>
      </c>
      <c r="O923" s="2">
        <v>25957</v>
      </c>
    </row>
    <row r="924" spans="1:15" x14ac:dyDescent="0.3">
      <c r="A924" s="2">
        <v>914</v>
      </c>
      <c r="B924" s="1">
        <v>44965.041666666664</v>
      </c>
      <c r="C924" s="1" t="str">
        <f t="shared" si="28"/>
        <v>02-2023</v>
      </c>
      <c r="D924" s="2">
        <f t="shared" si="29"/>
        <v>6</v>
      </c>
      <c r="E924" t="s">
        <v>25</v>
      </c>
      <c r="F924" t="s">
        <v>14</v>
      </c>
      <c r="G924" t="s">
        <v>20</v>
      </c>
      <c r="H924" s="2">
        <v>43365</v>
      </c>
      <c r="I924" s="2">
        <v>9</v>
      </c>
      <c r="J924" s="2">
        <v>100656</v>
      </c>
      <c r="K924" s="2">
        <v>107556</v>
      </c>
      <c r="L924" s="2">
        <v>10</v>
      </c>
      <c r="M924" t="str">
        <f>IF(Revv_bike_sales_data[[#This Row],[delivery_days]]&lt;=7, "Yes", "No")</f>
        <v>No</v>
      </c>
      <c r="N924" t="s">
        <v>16</v>
      </c>
      <c r="O924" s="2">
        <v>-6900</v>
      </c>
    </row>
    <row r="925" spans="1:15" x14ac:dyDescent="0.3">
      <c r="A925" s="2">
        <v>915</v>
      </c>
      <c r="B925" s="1">
        <v>44965.083333333336</v>
      </c>
      <c r="C925" s="1" t="str">
        <f t="shared" si="28"/>
        <v>02-2023</v>
      </c>
      <c r="D925" s="2">
        <f t="shared" si="29"/>
        <v>6</v>
      </c>
      <c r="E925" t="s">
        <v>13</v>
      </c>
      <c r="F925" t="s">
        <v>23</v>
      </c>
      <c r="G925" t="s">
        <v>21</v>
      </c>
      <c r="H925" s="2">
        <v>54311</v>
      </c>
      <c r="I925" s="2">
        <v>6</v>
      </c>
      <c r="J925" s="2">
        <v>122686</v>
      </c>
      <c r="K925" s="2">
        <v>103444</v>
      </c>
      <c r="L925" s="2">
        <v>4</v>
      </c>
      <c r="M925" t="str">
        <f>IF(Revv_bike_sales_data[[#This Row],[delivery_days]]&lt;=7, "Yes", "No")</f>
        <v>Yes</v>
      </c>
      <c r="N925" t="s">
        <v>16</v>
      </c>
      <c r="O925" s="2">
        <v>19242</v>
      </c>
    </row>
    <row r="926" spans="1:15" x14ac:dyDescent="0.3">
      <c r="A926" s="2">
        <v>916</v>
      </c>
      <c r="B926" s="1">
        <v>44965.125</v>
      </c>
      <c r="C926" s="1" t="str">
        <f t="shared" si="28"/>
        <v>02-2023</v>
      </c>
      <c r="D926" s="2">
        <f t="shared" si="29"/>
        <v>6</v>
      </c>
      <c r="E926" t="s">
        <v>17</v>
      </c>
      <c r="F926" t="s">
        <v>14</v>
      </c>
      <c r="G926" t="s">
        <v>19</v>
      </c>
      <c r="H926" s="2">
        <v>4501</v>
      </c>
      <c r="I926" s="2">
        <v>9</v>
      </c>
      <c r="J926" s="2">
        <v>40489</v>
      </c>
      <c r="K926" s="2">
        <v>86435</v>
      </c>
      <c r="L926" s="2">
        <v>10</v>
      </c>
      <c r="M926" t="str">
        <f>IF(Revv_bike_sales_data[[#This Row],[delivery_days]]&lt;=7, "Yes", "No")</f>
        <v>No</v>
      </c>
      <c r="N926" t="s">
        <v>16</v>
      </c>
      <c r="O926" s="2">
        <v>-45946</v>
      </c>
    </row>
    <row r="927" spans="1:15" x14ac:dyDescent="0.3">
      <c r="A927" s="2">
        <v>917</v>
      </c>
      <c r="B927" s="1">
        <v>44965.166666666664</v>
      </c>
      <c r="C927" s="1" t="str">
        <f t="shared" si="28"/>
        <v>02-2023</v>
      </c>
      <c r="D927" s="2">
        <f t="shared" si="29"/>
        <v>6</v>
      </c>
      <c r="E927" t="s">
        <v>18</v>
      </c>
      <c r="F927" t="s">
        <v>14</v>
      </c>
      <c r="G927" t="s">
        <v>21</v>
      </c>
      <c r="H927" s="2">
        <v>61348</v>
      </c>
      <c r="I927" s="2">
        <v>7</v>
      </c>
      <c r="J927" s="2">
        <v>84789</v>
      </c>
      <c r="K927" s="2">
        <v>114142</v>
      </c>
      <c r="L927" s="2">
        <v>8</v>
      </c>
      <c r="M927" t="str">
        <f>IF(Revv_bike_sales_data[[#This Row],[delivery_days]]&lt;=7, "Yes", "No")</f>
        <v>No</v>
      </c>
      <c r="N927" t="s">
        <v>16</v>
      </c>
      <c r="O927" s="2">
        <v>-29353</v>
      </c>
    </row>
    <row r="928" spans="1:15" x14ac:dyDescent="0.3">
      <c r="A928" s="2">
        <v>918</v>
      </c>
      <c r="B928" s="1">
        <v>44965.208333333336</v>
      </c>
      <c r="C928" s="1" t="str">
        <f t="shared" si="28"/>
        <v>02-2023</v>
      </c>
      <c r="D928" s="2">
        <f t="shared" si="29"/>
        <v>6</v>
      </c>
      <c r="E928" t="s">
        <v>25</v>
      </c>
      <c r="F928" t="s">
        <v>23</v>
      </c>
      <c r="G928" t="s">
        <v>15</v>
      </c>
      <c r="H928" s="2">
        <v>53135</v>
      </c>
      <c r="I928" s="2">
        <v>0</v>
      </c>
      <c r="J928" s="2">
        <v>94925</v>
      </c>
      <c r="K928" s="2">
        <v>119448</v>
      </c>
      <c r="L928" s="2">
        <v>9</v>
      </c>
      <c r="M928" t="str">
        <f>IF(Revv_bike_sales_data[[#This Row],[delivery_days]]&lt;=7, "Yes", "No")</f>
        <v>No</v>
      </c>
      <c r="N928" t="s">
        <v>16</v>
      </c>
      <c r="O928" s="2">
        <v>-24523</v>
      </c>
    </row>
    <row r="929" spans="1:15" x14ac:dyDescent="0.3">
      <c r="A929" s="2">
        <v>919</v>
      </c>
      <c r="B929" s="1">
        <v>44965.25</v>
      </c>
      <c r="C929" s="1" t="str">
        <f t="shared" si="28"/>
        <v>02-2023</v>
      </c>
      <c r="D929" s="2">
        <f t="shared" si="29"/>
        <v>6</v>
      </c>
      <c r="E929" t="s">
        <v>17</v>
      </c>
      <c r="F929" t="s">
        <v>14</v>
      </c>
      <c r="G929" t="s">
        <v>19</v>
      </c>
      <c r="H929" s="2">
        <v>21446</v>
      </c>
      <c r="I929" s="2">
        <v>7</v>
      </c>
      <c r="J929" s="2">
        <v>74703</v>
      </c>
      <c r="K929" s="2">
        <v>24888</v>
      </c>
      <c r="L929" s="2">
        <v>13</v>
      </c>
      <c r="M929" t="str">
        <f>IF(Revv_bike_sales_data[[#This Row],[delivery_days]]&lt;=7, "Yes", "No")</f>
        <v>No</v>
      </c>
      <c r="N929" t="s">
        <v>16</v>
      </c>
      <c r="O929" s="2">
        <v>49815</v>
      </c>
    </row>
    <row r="930" spans="1:15" x14ac:dyDescent="0.3">
      <c r="A930" s="2">
        <v>920</v>
      </c>
      <c r="B930" s="1">
        <v>44965.291666666664</v>
      </c>
      <c r="C930" s="1" t="str">
        <f t="shared" si="28"/>
        <v>02-2023</v>
      </c>
      <c r="D930" s="2">
        <f t="shared" si="29"/>
        <v>6</v>
      </c>
      <c r="E930" t="s">
        <v>13</v>
      </c>
      <c r="F930" t="s">
        <v>14</v>
      </c>
      <c r="G930" t="s">
        <v>21</v>
      </c>
      <c r="H930" s="2">
        <v>66634</v>
      </c>
      <c r="I930" s="2">
        <v>4</v>
      </c>
      <c r="J930" s="2">
        <v>101625</v>
      </c>
      <c r="K930" s="2">
        <v>60299</v>
      </c>
      <c r="L930" s="2">
        <v>13</v>
      </c>
      <c r="M930" t="str">
        <f>IF(Revv_bike_sales_data[[#This Row],[delivery_days]]&lt;=7, "Yes", "No")</f>
        <v>No</v>
      </c>
      <c r="N930" t="s">
        <v>16</v>
      </c>
      <c r="O930" s="2">
        <v>41326</v>
      </c>
    </row>
    <row r="931" spans="1:15" x14ac:dyDescent="0.3">
      <c r="A931" s="2">
        <v>921</v>
      </c>
      <c r="B931" s="1">
        <v>44965.333333333336</v>
      </c>
      <c r="C931" s="1" t="str">
        <f t="shared" si="28"/>
        <v>02-2023</v>
      </c>
      <c r="D931" s="2">
        <f t="shared" si="29"/>
        <v>6</v>
      </c>
      <c r="E931" t="s">
        <v>18</v>
      </c>
      <c r="F931" t="s">
        <v>23</v>
      </c>
      <c r="G931" t="s">
        <v>20</v>
      </c>
      <c r="H931" s="2">
        <v>96352</v>
      </c>
      <c r="I931" s="2">
        <v>6</v>
      </c>
      <c r="J931" s="2">
        <v>132535</v>
      </c>
      <c r="K931" s="2">
        <v>139790</v>
      </c>
      <c r="L931" s="2">
        <v>4</v>
      </c>
      <c r="M931" t="str">
        <f>IF(Revv_bike_sales_data[[#This Row],[delivery_days]]&lt;=7, "Yes", "No")</f>
        <v>Yes</v>
      </c>
      <c r="N931" t="s">
        <v>16</v>
      </c>
      <c r="O931" s="2">
        <v>-7255</v>
      </c>
    </row>
    <row r="932" spans="1:15" x14ac:dyDescent="0.3">
      <c r="A932" s="2">
        <v>922</v>
      </c>
      <c r="B932" s="1">
        <v>44965.375</v>
      </c>
      <c r="C932" s="1" t="str">
        <f t="shared" si="28"/>
        <v>02-2023</v>
      </c>
      <c r="D932" s="2">
        <f t="shared" si="29"/>
        <v>6</v>
      </c>
      <c r="E932" t="s">
        <v>17</v>
      </c>
      <c r="F932" t="s">
        <v>14</v>
      </c>
      <c r="G932" t="s">
        <v>15</v>
      </c>
      <c r="H932" s="2">
        <v>91603</v>
      </c>
      <c r="I932" s="2">
        <v>0</v>
      </c>
      <c r="J932" s="2">
        <v>28051</v>
      </c>
      <c r="K932" s="2">
        <v>73765</v>
      </c>
      <c r="L932" s="2">
        <v>1</v>
      </c>
      <c r="M932" t="str">
        <f>IF(Revv_bike_sales_data[[#This Row],[delivery_days]]&lt;=7, "Yes", "No")</f>
        <v>Yes</v>
      </c>
      <c r="N932" t="s">
        <v>16</v>
      </c>
      <c r="O932" s="2">
        <v>-45714</v>
      </c>
    </row>
    <row r="933" spans="1:15" x14ac:dyDescent="0.3">
      <c r="A933" s="2">
        <v>923</v>
      </c>
      <c r="B933" s="1">
        <v>44965.416666666664</v>
      </c>
      <c r="C933" s="1" t="str">
        <f t="shared" si="28"/>
        <v>02-2023</v>
      </c>
      <c r="D933" s="2">
        <f t="shared" si="29"/>
        <v>6</v>
      </c>
      <c r="E933" t="s">
        <v>17</v>
      </c>
      <c r="F933" t="s">
        <v>14</v>
      </c>
      <c r="G933" t="s">
        <v>21</v>
      </c>
      <c r="H933" s="2">
        <v>92544</v>
      </c>
      <c r="I933" s="2">
        <v>1</v>
      </c>
      <c r="J933" s="2">
        <v>53805</v>
      </c>
      <c r="K933" s="2">
        <v>77714</v>
      </c>
      <c r="L933" s="2">
        <v>3</v>
      </c>
      <c r="M933" t="str">
        <f>IF(Revv_bike_sales_data[[#This Row],[delivery_days]]&lt;=7, "Yes", "No")</f>
        <v>Yes</v>
      </c>
      <c r="N933" t="s">
        <v>24</v>
      </c>
      <c r="O933" s="2">
        <v>-23909</v>
      </c>
    </row>
    <row r="934" spans="1:15" x14ac:dyDescent="0.3">
      <c r="A934" s="2">
        <v>924</v>
      </c>
      <c r="B934" s="1">
        <v>44965.458333333336</v>
      </c>
      <c r="C934" s="1" t="str">
        <f t="shared" si="28"/>
        <v>02-2023</v>
      </c>
      <c r="D934" s="2">
        <f t="shared" si="29"/>
        <v>6</v>
      </c>
      <c r="E934" t="s">
        <v>17</v>
      </c>
      <c r="F934" t="s">
        <v>14</v>
      </c>
      <c r="G934" t="s">
        <v>19</v>
      </c>
      <c r="H934" s="2">
        <v>44244</v>
      </c>
      <c r="I934" s="2">
        <v>0</v>
      </c>
      <c r="J934" s="2">
        <v>119978</v>
      </c>
      <c r="K934" s="2">
        <v>30935</v>
      </c>
      <c r="L934" s="2">
        <v>1</v>
      </c>
      <c r="M934" t="str">
        <f>IF(Revv_bike_sales_data[[#This Row],[delivery_days]]&lt;=7, "Yes", "No")</f>
        <v>Yes</v>
      </c>
      <c r="N934" t="s">
        <v>16</v>
      </c>
      <c r="O934" s="2">
        <v>89043</v>
      </c>
    </row>
    <row r="935" spans="1:15" x14ac:dyDescent="0.3">
      <c r="A935" s="2">
        <v>925</v>
      </c>
      <c r="B935" s="1">
        <v>44965.5</v>
      </c>
      <c r="C935" s="1" t="str">
        <f t="shared" si="28"/>
        <v>02-2023</v>
      </c>
      <c r="D935" s="2">
        <f t="shared" si="29"/>
        <v>6</v>
      </c>
      <c r="E935" t="s">
        <v>18</v>
      </c>
      <c r="F935" t="s">
        <v>14</v>
      </c>
      <c r="G935" t="s">
        <v>21</v>
      </c>
      <c r="H935" s="2">
        <v>39659</v>
      </c>
      <c r="I935" s="2">
        <v>4</v>
      </c>
      <c r="J935" s="2">
        <v>69557</v>
      </c>
      <c r="K935" s="2">
        <v>88002</v>
      </c>
      <c r="L935" s="2">
        <v>7</v>
      </c>
      <c r="M935" t="str">
        <f>IF(Revv_bike_sales_data[[#This Row],[delivery_days]]&lt;=7, "Yes", "No")</f>
        <v>Yes</v>
      </c>
      <c r="N935" t="s">
        <v>16</v>
      </c>
      <c r="O935" s="2">
        <v>-18445</v>
      </c>
    </row>
    <row r="936" spans="1:15" x14ac:dyDescent="0.3">
      <c r="A936" s="2">
        <v>926</v>
      </c>
      <c r="B936" s="1">
        <v>44965.541666666664</v>
      </c>
      <c r="C936" s="1" t="str">
        <f t="shared" si="28"/>
        <v>02-2023</v>
      </c>
      <c r="D936" s="2">
        <f t="shared" si="29"/>
        <v>6</v>
      </c>
      <c r="E936" t="s">
        <v>18</v>
      </c>
      <c r="F936" t="s">
        <v>14</v>
      </c>
      <c r="G936" t="s">
        <v>15</v>
      </c>
      <c r="H936" s="2">
        <v>96312</v>
      </c>
      <c r="I936" s="2">
        <v>5</v>
      </c>
      <c r="J936" s="2">
        <v>158627</v>
      </c>
      <c r="K936" s="2">
        <v>95631</v>
      </c>
      <c r="L936" s="2">
        <v>12</v>
      </c>
      <c r="M936" t="str">
        <f>IF(Revv_bike_sales_data[[#This Row],[delivery_days]]&lt;=7, "Yes", "No")</f>
        <v>No</v>
      </c>
      <c r="N936" t="s">
        <v>16</v>
      </c>
      <c r="O936" s="2">
        <v>62996</v>
      </c>
    </row>
    <row r="937" spans="1:15" x14ac:dyDescent="0.3">
      <c r="A937" s="2">
        <v>927</v>
      </c>
      <c r="B937" s="1">
        <v>44965.583333333336</v>
      </c>
      <c r="C937" s="1" t="str">
        <f t="shared" si="28"/>
        <v>02-2023</v>
      </c>
      <c r="D937" s="2">
        <f t="shared" si="29"/>
        <v>6</v>
      </c>
      <c r="E937" t="s">
        <v>22</v>
      </c>
      <c r="F937" t="s">
        <v>14</v>
      </c>
      <c r="G937" t="s">
        <v>19</v>
      </c>
      <c r="H937" s="2">
        <v>24171</v>
      </c>
      <c r="I937" s="2">
        <v>9</v>
      </c>
      <c r="J937" s="2">
        <v>75241</v>
      </c>
      <c r="K937" s="2">
        <v>91729</v>
      </c>
      <c r="L937" s="2">
        <v>1</v>
      </c>
      <c r="M937" t="str">
        <f>IF(Revv_bike_sales_data[[#This Row],[delivery_days]]&lt;=7, "Yes", "No")</f>
        <v>Yes</v>
      </c>
      <c r="N937" t="s">
        <v>16</v>
      </c>
      <c r="O937" s="2">
        <v>-16488</v>
      </c>
    </row>
    <row r="938" spans="1:15" x14ac:dyDescent="0.3">
      <c r="A938" s="2">
        <v>928</v>
      </c>
      <c r="B938" s="1">
        <v>44965.625</v>
      </c>
      <c r="C938" s="1" t="str">
        <f t="shared" si="28"/>
        <v>02-2023</v>
      </c>
      <c r="D938" s="2">
        <f t="shared" si="29"/>
        <v>6</v>
      </c>
      <c r="E938" t="s">
        <v>13</v>
      </c>
      <c r="F938" t="s">
        <v>23</v>
      </c>
      <c r="G938" t="s">
        <v>15</v>
      </c>
      <c r="H938" s="2">
        <v>16950</v>
      </c>
      <c r="I938" s="2">
        <v>8</v>
      </c>
      <c r="J938" s="2">
        <v>152838</v>
      </c>
      <c r="K938" s="2">
        <v>16320</v>
      </c>
      <c r="L938" s="2">
        <v>11</v>
      </c>
      <c r="M938" t="str">
        <f>IF(Revv_bike_sales_data[[#This Row],[delivery_days]]&lt;=7, "Yes", "No")</f>
        <v>No</v>
      </c>
      <c r="N938" t="s">
        <v>16</v>
      </c>
      <c r="O938" s="2">
        <v>136518</v>
      </c>
    </row>
    <row r="939" spans="1:15" x14ac:dyDescent="0.3">
      <c r="A939" s="2">
        <v>929</v>
      </c>
      <c r="B939" s="1">
        <v>44965.666666666664</v>
      </c>
      <c r="C939" s="1" t="str">
        <f t="shared" si="28"/>
        <v>02-2023</v>
      </c>
      <c r="D939" s="2">
        <f t="shared" si="29"/>
        <v>6</v>
      </c>
      <c r="E939" t="s">
        <v>25</v>
      </c>
      <c r="F939" t="s">
        <v>14</v>
      </c>
      <c r="G939" t="s">
        <v>21</v>
      </c>
      <c r="H939" s="2">
        <v>15408</v>
      </c>
      <c r="I939" s="2">
        <v>7</v>
      </c>
      <c r="J939" s="2">
        <v>90994</v>
      </c>
      <c r="K939" s="2">
        <v>61032</v>
      </c>
      <c r="L939" s="2">
        <v>4</v>
      </c>
      <c r="M939" t="str">
        <f>IF(Revv_bike_sales_data[[#This Row],[delivery_days]]&lt;=7, "Yes", "No")</f>
        <v>Yes</v>
      </c>
      <c r="N939" t="s">
        <v>16</v>
      </c>
      <c r="O939" s="2">
        <v>29962</v>
      </c>
    </row>
    <row r="940" spans="1:15" x14ac:dyDescent="0.3">
      <c r="A940" s="2">
        <v>930</v>
      </c>
      <c r="B940" s="1">
        <v>44965.708333333336</v>
      </c>
      <c r="C940" s="1" t="str">
        <f t="shared" si="28"/>
        <v>02-2023</v>
      </c>
      <c r="D940" s="2">
        <f t="shared" si="29"/>
        <v>6</v>
      </c>
      <c r="E940" t="s">
        <v>17</v>
      </c>
      <c r="F940" t="s">
        <v>14</v>
      </c>
      <c r="G940" t="s">
        <v>20</v>
      </c>
      <c r="H940" s="2">
        <v>57775</v>
      </c>
      <c r="I940" s="2">
        <v>6</v>
      </c>
      <c r="J940" s="2">
        <v>139005</v>
      </c>
      <c r="K940" s="2">
        <v>92763</v>
      </c>
      <c r="L940" s="2">
        <v>13</v>
      </c>
      <c r="M940" t="str">
        <f>IF(Revv_bike_sales_data[[#This Row],[delivery_days]]&lt;=7, "Yes", "No")</f>
        <v>No</v>
      </c>
      <c r="N940" t="s">
        <v>16</v>
      </c>
      <c r="O940" s="2">
        <v>46242</v>
      </c>
    </row>
    <row r="941" spans="1:15" x14ac:dyDescent="0.3">
      <c r="A941" s="2">
        <v>931</v>
      </c>
      <c r="B941" s="1">
        <v>44965.75</v>
      </c>
      <c r="C941" s="1" t="str">
        <f t="shared" si="28"/>
        <v>02-2023</v>
      </c>
      <c r="D941" s="2">
        <f t="shared" si="29"/>
        <v>6</v>
      </c>
      <c r="E941" t="s">
        <v>22</v>
      </c>
      <c r="F941" t="s">
        <v>14</v>
      </c>
      <c r="G941" t="s">
        <v>20</v>
      </c>
      <c r="H941" s="2">
        <v>44858</v>
      </c>
      <c r="I941" s="2">
        <v>4</v>
      </c>
      <c r="J941" s="2">
        <v>41066</v>
      </c>
      <c r="K941" s="2">
        <v>32907</v>
      </c>
      <c r="L941" s="2">
        <v>14</v>
      </c>
      <c r="M941" t="str">
        <f>IF(Revv_bike_sales_data[[#This Row],[delivery_days]]&lt;=7, "Yes", "No")</f>
        <v>No</v>
      </c>
      <c r="N941" t="s">
        <v>24</v>
      </c>
      <c r="O941" s="2">
        <v>8159</v>
      </c>
    </row>
    <row r="942" spans="1:15" x14ac:dyDescent="0.3">
      <c r="A942" s="2">
        <v>932</v>
      </c>
      <c r="B942" s="1">
        <v>44965.791666666664</v>
      </c>
      <c r="C942" s="1" t="str">
        <f t="shared" si="28"/>
        <v>02-2023</v>
      </c>
      <c r="D942" s="2">
        <f t="shared" si="29"/>
        <v>6</v>
      </c>
      <c r="E942" t="s">
        <v>25</v>
      </c>
      <c r="F942" t="s">
        <v>14</v>
      </c>
      <c r="G942" t="s">
        <v>21</v>
      </c>
      <c r="H942" s="2">
        <v>49547</v>
      </c>
      <c r="I942" s="2">
        <v>2</v>
      </c>
      <c r="J942" s="2">
        <v>160793</v>
      </c>
      <c r="K942" s="2">
        <v>53002</v>
      </c>
      <c r="L942" s="2">
        <v>1</v>
      </c>
      <c r="M942" t="str">
        <f>IF(Revv_bike_sales_data[[#This Row],[delivery_days]]&lt;=7, "Yes", "No")</f>
        <v>Yes</v>
      </c>
      <c r="N942" t="s">
        <v>16</v>
      </c>
      <c r="O942" s="2">
        <v>107791</v>
      </c>
    </row>
    <row r="943" spans="1:15" x14ac:dyDescent="0.3">
      <c r="A943" s="2">
        <v>933</v>
      </c>
      <c r="B943" s="1">
        <v>44965.833333333336</v>
      </c>
      <c r="C943" s="1" t="str">
        <f t="shared" si="28"/>
        <v>02-2023</v>
      </c>
      <c r="D943" s="2">
        <f t="shared" si="29"/>
        <v>6</v>
      </c>
      <c r="E943" t="s">
        <v>22</v>
      </c>
      <c r="F943" t="s">
        <v>14</v>
      </c>
      <c r="G943" t="s">
        <v>21</v>
      </c>
      <c r="H943" s="2">
        <v>36018</v>
      </c>
      <c r="I943" s="2">
        <v>8</v>
      </c>
      <c r="J943" s="2">
        <v>102982</v>
      </c>
      <c r="K943" s="2">
        <v>59838</v>
      </c>
      <c r="L943" s="2">
        <v>13</v>
      </c>
      <c r="M943" t="str">
        <f>IF(Revv_bike_sales_data[[#This Row],[delivery_days]]&lt;=7, "Yes", "No")</f>
        <v>No</v>
      </c>
      <c r="N943" t="s">
        <v>24</v>
      </c>
      <c r="O943" s="2">
        <v>43144</v>
      </c>
    </row>
    <row r="944" spans="1:15" x14ac:dyDescent="0.3">
      <c r="A944" s="2">
        <v>934</v>
      </c>
      <c r="B944" s="1">
        <v>44965.875</v>
      </c>
      <c r="C944" s="1" t="str">
        <f t="shared" si="28"/>
        <v>02-2023</v>
      </c>
      <c r="D944" s="2">
        <f t="shared" si="29"/>
        <v>6</v>
      </c>
      <c r="E944" t="s">
        <v>18</v>
      </c>
      <c r="F944" t="s">
        <v>14</v>
      </c>
      <c r="G944" t="s">
        <v>21</v>
      </c>
      <c r="H944" s="2">
        <v>58313</v>
      </c>
      <c r="I944" s="2">
        <v>4</v>
      </c>
      <c r="J944" s="2">
        <v>31304</v>
      </c>
      <c r="K944" s="2">
        <v>53912</v>
      </c>
      <c r="L944" s="2">
        <v>13</v>
      </c>
      <c r="M944" t="str">
        <f>IF(Revv_bike_sales_data[[#This Row],[delivery_days]]&lt;=7, "Yes", "No")</f>
        <v>No</v>
      </c>
      <c r="N944" t="s">
        <v>16</v>
      </c>
      <c r="O944" s="2">
        <v>-22608</v>
      </c>
    </row>
    <row r="945" spans="1:15" x14ac:dyDescent="0.3">
      <c r="A945" s="2">
        <v>935</v>
      </c>
      <c r="B945" s="1">
        <v>44965.916666666664</v>
      </c>
      <c r="C945" s="1" t="str">
        <f t="shared" si="28"/>
        <v>02-2023</v>
      </c>
      <c r="D945" s="2">
        <f t="shared" si="29"/>
        <v>6</v>
      </c>
      <c r="E945" t="s">
        <v>17</v>
      </c>
      <c r="F945" t="s">
        <v>14</v>
      </c>
      <c r="G945" t="s">
        <v>19</v>
      </c>
      <c r="H945" s="2">
        <v>97248</v>
      </c>
      <c r="I945" s="2">
        <v>2</v>
      </c>
      <c r="J945" s="2">
        <v>67967</v>
      </c>
      <c r="K945" s="2">
        <v>15552</v>
      </c>
      <c r="L945" s="2">
        <v>2</v>
      </c>
      <c r="M945" t="str">
        <f>IF(Revv_bike_sales_data[[#This Row],[delivery_days]]&lt;=7, "Yes", "No")</f>
        <v>Yes</v>
      </c>
      <c r="N945" t="s">
        <v>16</v>
      </c>
      <c r="O945" s="2">
        <v>52415</v>
      </c>
    </row>
    <row r="946" spans="1:15" x14ac:dyDescent="0.3">
      <c r="A946" s="2">
        <v>936</v>
      </c>
      <c r="B946" s="1">
        <v>44965.958333333336</v>
      </c>
      <c r="C946" s="1" t="str">
        <f t="shared" si="28"/>
        <v>02-2023</v>
      </c>
      <c r="D946" s="2">
        <f t="shared" si="29"/>
        <v>6</v>
      </c>
      <c r="E946" t="s">
        <v>25</v>
      </c>
      <c r="F946" t="s">
        <v>14</v>
      </c>
      <c r="G946" t="s">
        <v>15</v>
      </c>
      <c r="H946" s="2">
        <v>7306</v>
      </c>
      <c r="I946" s="2">
        <v>2</v>
      </c>
      <c r="J946" s="2">
        <v>103763</v>
      </c>
      <c r="K946" s="2">
        <v>35140</v>
      </c>
      <c r="L946" s="2">
        <v>11</v>
      </c>
      <c r="M946" t="str">
        <f>IF(Revv_bike_sales_data[[#This Row],[delivery_days]]&lt;=7, "Yes", "No")</f>
        <v>No</v>
      </c>
      <c r="N946" t="s">
        <v>16</v>
      </c>
      <c r="O946" s="2">
        <v>68623</v>
      </c>
    </row>
    <row r="947" spans="1:15" x14ac:dyDescent="0.3">
      <c r="A947" s="2">
        <v>937</v>
      </c>
      <c r="B947" s="1">
        <v>44966</v>
      </c>
      <c r="C947" s="1" t="str">
        <f t="shared" si="28"/>
        <v>02-2023</v>
      </c>
      <c r="D947" s="2">
        <f t="shared" si="29"/>
        <v>6</v>
      </c>
      <c r="E947" t="s">
        <v>25</v>
      </c>
      <c r="F947" t="s">
        <v>14</v>
      </c>
      <c r="G947" t="s">
        <v>15</v>
      </c>
      <c r="H947" s="2">
        <v>41391</v>
      </c>
      <c r="I947" s="2">
        <v>2</v>
      </c>
      <c r="J947" s="2">
        <v>65462</v>
      </c>
      <c r="K947" s="2">
        <v>100591</v>
      </c>
      <c r="L947" s="2">
        <v>14</v>
      </c>
      <c r="M947" t="str">
        <f>IF(Revv_bike_sales_data[[#This Row],[delivery_days]]&lt;=7, "Yes", "No")</f>
        <v>No</v>
      </c>
      <c r="N947" t="s">
        <v>16</v>
      </c>
      <c r="O947" s="2">
        <v>-35129</v>
      </c>
    </row>
    <row r="948" spans="1:15" x14ac:dyDescent="0.3">
      <c r="A948" s="2">
        <v>938</v>
      </c>
      <c r="B948" s="1">
        <v>44966.041666666664</v>
      </c>
      <c r="C948" s="1" t="str">
        <f t="shared" si="28"/>
        <v>02-2023</v>
      </c>
      <c r="D948" s="2">
        <f t="shared" si="29"/>
        <v>6</v>
      </c>
      <c r="E948" t="s">
        <v>25</v>
      </c>
      <c r="F948" t="s">
        <v>14</v>
      </c>
      <c r="G948" t="s">
        <v>15</v>
      </c>
      <c r="H948" s="2">
        <v>84051</v>
      </c>
      <c r="I948" s="2">
        <v>5</v>
      </c>
      <c r="J948" s="2">
        <v>145356</v>
      </c>
      <c r="K948" s="2">
        <v>130169</v>
      </c>
      <c r="L948" s="2">
        <v>1</v>
      </c>
      <c r="M948" t="str">
        <f>IF(Revv_bike_sales_data[[#This Row],[delivery_days]]&lt;=7, "Yes", "No")</f>
        <v>Yes</v>
      </c>
      <c r="N948" t="s">
        <v>16</v>
      </c>
      <c r="O948" s="2">
        <v>15187</v>
      </c>
    </row>
    <row r="949" spans="1:15" x14ac:dyDescent="0.3">
      <c r="A949" s="2">
        <v>939</v>
      </c>
      <c r="B949" s="1">
        <v>44966.083333333336</v>
      </c>
      <c r="C949" s="1" t="str">
        <f t="shared" si="28"/>
        <v>02-2023</v>
      </c>
      <c r="D949" s="2">
        <f t="shared" si="29"/>
        <v>6</v>
      </c>
      <c r="E949" t="s">
        <v>25</v>
      </c>
      <c r="F949" t="s">
        <v>14</v>
      </c>
      <c r="G949" t="s">
        <v>21</v>
      </c>
      <c r="H949" s="2">
        <v>39720</v>
      </c>
      <c r="I949" s="2">
        <v>0</v>
      </c>
      <c r="J949" s="2">
        <v>96834</v>
      </c>
      <c r="K949" s="2">
        <v>63737</v>
      </c>
      <c r="L949" s="2">
        <v>13</v>
      </c>
      <c r="M949" t="str">
        <f>IF(Revv_bike_sales_data[[#This Row],[delivery_days]]&lt;=7, "Yes", "No")</f>
        <v>No</v>
      </c>
      <c r="N949" t="s">
        <v>16</v>
      </c>
      <c r="O949" s="2">
        <v>33097</v>
      </c>
    </row>
    <row r="950" spans="1:15" x14ac:dyDescent="0.3">
      <c r="A950" s="2">
        <v>940</v>
      </c>
      <c r="B950" s="1">
        <v>44966.125</v>
      </c>
      <c r="C950" s="1" t="str">
        <f t="shared" si="28"/>
        <v>02-2023</v>
      </c>
      <c r="D950" s="2">
        <f t="shared" si="29"/>
        <v>6</v>
      </c>
      <c r="E950" t="s">
        <v>25</v>
      </c>
      <c r="F950" t="s">
        <v>14</v>
      </c>
      <c r="G950" t="s">
        <v>15</v>
      </c>
      <c r="H950" s="2">
        <v>17658</v>
      </c>
      <c r="I950" s="2">
        <v>3</v>
      </c>
      <c r="J950" s="2">
        <v>136023</v>
      </c>
      <c r="K950" s="2">
        <v>48367</v>
      </c>
      <c r="L950" s="2">
        <v>5</v>
      </c>
      <c r="M950" t="str">
        <f>IF(Revv_bike_sales_data[[#This Row],[delivery_days]]&lt;=7, "Yes", "No")</f>
        <v>Yes</v>
      </c>
      <c r="N950" t="s">
        <v>16</v>
      </c>
      <c r="O950" s="2">
        <v>87656</v>
      </c>
    </row>
    <row r="951" spans="1:15" x14ac:dyDescent="0.3">
      <c r="A951" s="2">
        <v>941</v>
      </c>
      <c r="B951" s="1">
        <v>44966.166666666664</v>
      </c>
      <c r="C951" s="1" t="str">
        <f t="shared" si="28"/>
        <v>02-2023</v>
      </c>
      <c r="D951" s="2">
        <f t="shared" si="29"/>
        <v>6</v>
      </c>
      <c r="E951" t="s">
        <v>22</v>
      </c>
      <c r="F951" t="s">
        <v>14</v>
      </c>
      <c r="G951" t="s">
        <v>21</v>
      </c>
      <c r="H951" s="2">
        <v>81492</v>
      </c>
      <c r="I951" s="2">
        <v>7</v>
      </c>
      <c r="J951" s="2">
        <v>142771</v>
      </c>
      <c r="K951" s="2">
        <v>95634</v>
      </c>
      <c r="L951" s="2">
        <v>7</v>
      </c>
      <c r="M951" t="str">
        <f>IF(Revv_bike_sales_data[[#This Row],[delivery_days]]&lt;=7, "Yes", "No")</f>
        <v>Yes</v>
      </c>
      <c r="N951" t="s">
        <v>16</v>
      </c>
      <c r="O951" s="2">
        <v>47137</v>
      </c>
    </row>
    <row r="952" spans="1:15" x14ac:dyDescent="0.3">
      <c r="A952" s="2">
        <v>942</v>
      </c>
      <c r="B952" s="1">
        <v>44966.208333333336</v>
      </c>
      <c r="C952" s="1" t="str">
        <f t="shared" si="28"/>
        <v>02-2023</v>
      </c>
      <c r="D952" s="2">
        <f t="shared" si="29"/>
        <v>6</v>
      </c>
      <c r="E952" t="s">
        <v>17</v>
      </c>
      <c r="F952" t="s">
        <v>14</v>
      </c>
      <c r="G952" t="s">
        <v>19</v>
      </c>
      <c r="H952" s="2">
        <v>28088</v>
      </c>
      <c r="I952" s="2">
        <v>2</v>
      </c>
      <c r="J952" s="2">
        <v>100842</v>
      </c>
      <c r="K952" s="2">
        <v>39061</v>
      </c>
      <c r="L952" s="2">
        <v>3</v>
      </c>
      <c r="M952" t="str">
        <f>IF(Revv_bike_sales_data[[#This Row],[delivery_days]]&lt;=7, "Yes", "No")</f>
        <v>Yes</v>
      </c>
      <c r="N952" t="s">
        <v>16</v>
      </c>
      <c r="O952" s="2">
        <v>61781</v>
      </c>
    </row>
    <row r="953" spans="1:15" x14ac:dyDescent="0.3">
      <c r="A953" s="2">
        <v>943</v>
      </c>
      <c r="B953" s="1">
        <v>44966.25</v>
      </c>
      <c r="C953" s="1" t="str">
        <f t="shared" si="28"/>
        <v>02-2023</v>
      </c>
      <c r="D953" s="2">
        <f t="shared" si="29"/>
        <v>6</v>
      </c>
      <c r="E953" t="s">
        <v>18</v>
      </c>
      <c r="F953" t="s">
        <v>14</v>
      </c>
      <c r="G953" t="s">
        <v>20</v>
      </c>
      <c r="H953" s="2">
        <v>63076</v>
      </c>
      <c r="I953" s="2">
        <v>4</v>
      </c>
      <c r="J953" s="2">
        <v>27589</v>
      </c>
      <c r="K953" s="2">
        <v>111590</v>
      </c>
      <c r="L953" s="2">
        <v>14</v>
      </c>
      <c r="M953" t="str">
        <f>IF(Revv_bike_sales_data[[#This Row],[delivery_days]]&lt;=7, "Yes", "No")</f>
        <v>No</v>
      </c>
      <c r="N953" t="s">
        <v>16</v>
      </c>
      <c r="O953" s="2">
        <v>-84001</v>
      </c>
    </row>
    <row r="954" spans="1:15" x14ac:dyDescent="0.3">
      <c r="A954" s="2">
        <v>944</v>
      </c>
      <c r="B954" s="1">
        <v>44966.291666666664</v>
      </c>
      <c r="C954" s="1" t="str">
        <f t="shared" si="28"/>
        <v>02-2023</v>
      </c>
      <c r="D954" s="2">
        <f t="shared" si="29"/>
        <v>6</v>
      </c>
      <c r="E954" t="s">
        <v>18</v>
      </c>
      <c r="F954" t="s">
        <v>14</v>
      </c>
      <c r="G954" t="s">
        <v>21</v>
      </c>
      <c r="H954" s="2">
        <v>88527</v>
      </c>
      <c r="I954" s="2">
        <v>1</v>
      </c>
      <c r="J954" s="2">
        <v>150023</v>
      </c>
      <c r="K954" s="2">
        <v>95336</v>
      </c>
      <c r="L954" s="2">
        <v>8</v>
      </c>
      <c r="M954" t="str">
        <f>IF(Revv_bike_sales_data[[#This Row],[delivery_days]]&lt;=7, "Yes", "No")</f>
        <v>No</v>
      </c>
      <c r="N954" t="s">
        <v>24</v>
      </c>
      <c r="O954" s="2">
        <v>54687</v>
      </c>
    </row>
    <row r="955" spans="1:15" x14ac:dyDescent="0.3">
      <c r="A955" s="2">
        <v>945</v>
      </c>
      <c r="B955" s="1">
        <v>44966.333333333336</v>
      </c>
      <c r="C955" s="1" t="str">
        <f t="shared" si="28"/>
        <v>02-2023</v>
      </c>
      <c r="D955" s="2">
        <f t="shared" si="29"/>
        <v>6</v>
      </c>
      <c r="E955" t="s">
        <v>18</v>
      </c>
      <c r="F955" t="s">
        <v>14</v>
      </c>
      <c r="G955" t="s">
        <v>21</v>
      </c>
      <c r="H955" s="2">
        <v>24688</v>
      </c>
      <c r="I955" s="2">
        <v>1</v>
      </c>
      <c r="J955" s="2">
        <v>79918</v>
      </c>
      <c r="K955" s="2">
        <v>57124</v>
      </c>
      <c r="L955" s="2">
        <v>14</v>
      </c>
      <c r="M955" t="str">
        <f>IF(Revv_bike_sales_data[[#This Row],[delivery_days]]&lt;=7, "Yes", "No")</f>
        <v>No</v>
      </c>
      <c r="N955" t="s">
        <v>16</v>
      </c>
      <c r="O955" s="2">
        <v>22794</v>
      </c>
    </row>
    <row r="956" spans="1:15" x14ac:dyDescent="0.3">
      <c r="A956" s="2">
        <v>946</v>
      </c>
      <c r="B956" s="1">
        <v>44966.375</v>
      </c>
      <c r="C956" s="1" t="str">
        <f t="shared" si="28"/>
        <v>02-2023</v>
      </c>
      <c r="D956" s="2">
        <f t="shared" si="29"/>
        <v>6</v>
      </c>
      <c r="E956" t="s">
        <v>18</v>
      </c>
      <c r="F956" t="s">
        <v>14</v>
      </c>
      <c r="G956" t="s">
        <v>20</v>
      </c>
      <c r="H956" s="2">
        <v>93115</v>
      </c>
      <c r="I956" s="2">
        <v>6</v>
      </c>
      <c r="J956" s="2">
        <v>169673</v>
      </c>
      <c r="K956" s="2">
        <v>60638</v>
      </c>
      <c r="L956" s="2">
        <v>5</v>
      </c>
      <c r="M956" t="str">
        <f>IF(Revv_bike_sales_data[[#This Row],[delivery_days]]&lt;=7, "Yes", "No")</f>
        <v>Yes</v>
      </c>
      <c r="N956" t="s">
        <v>16</v>
      </c>
      <c r="O956" s="2">
        <v>109035</v>
      </c>
    </row>
    <row r="957" spans="1:15" x14ac:dyDescent="0.3">
      <c r="A957" s="2">
        <v>947</v>
      </c>
      <c r="B957" s="1">
        <v>44966.416666666664</v>
      </c>
      <c r="C957" s="1" t="str">
        <f t="shared" si="28"/>
        <v>02-2023</v>
      </c>
      <c r="D957" s="2">
        <f t="shared" si="29"/>
        <v>6</v>
      </c>
      <c r="E957" t="s">
        <v>22</v>
      </c>
      <c r="F957" t="s">
        <v>14</v>
      </c>
      <c r="G957" t="s">
        <v>20</v>
      </c>
      <c r="H957" s="2">
        <v>59330</v>
      </c>
      <c r="I957" s="2">
        <v>9</v>
      </c>
      <c r="J957" s="2">
        <v>32711</v>
      </c>
      <c r="K957" s="2">
        <v>125728</v>
      </c>
      <c r="L957" s="2">
        <v>5</v>
      </c>
      <c r="M957" t="str">
        <f>IF(Revv_bike_sales_data[[#This Row],[delivery_days]]&lt;=7, "Yes", "No")</f>
        <v>Yes</v>
      </c>
      <c r="N957" t="s">
        <v>16</v>
      </c>
      <c r="O957" s="2">
        <v>-93017</v>
      </c>
    </row>
    <row r="958" spans="1:15" x14ac:dyDescent="0.3">
      <c r="A958" s="2">
        <v>948</v>
      </c>
      <c r="B958" s="1">
        <v>44966.458333333336</v>
      </c>
      <c r="C958" s="1" t="str">
        <f t="shared" si="28"/>
        <v>02-2023</v>
      </c>
      <c r="D958" s="2">
        <f t="shared" si="29"/>
        <v>6</v>
      </c>
      <c r="E958" t="s">
        <v>13</v>
      </c>
      <c r="F958" t="s">
        <v>14</v>
      </c>
      <c r="G958" t="s">
        <v>19</v>
      </c>
      <c r="H958" s="2">
        <v>4519</v>
      </c>
      <c r="I958" s="2">
        <v>2</v>
      </c>
      <c r="J958" s="2">
        <v>84430</v>
      </c>
      <c r="K958" s="2">
        <v>106115</v>
      </c>
      <c r="L958" s="2">
        <v>13</v>
      </c>
      <c r="M958" t="str">
        <f>IF(Revv_bike_sales_data[[#This Row],[delivery_days]]&lt;=7, "Yes", "No")</f>
        <v>No</v>
      </c>
      <c r="N958" t="s">
        <v>16</v>
      </c>
      <c r="O958" s="2">
        <v>-21685</v>
      </c>
    </row>
    <row r="959" spans="1:15" x14ac:dyDescent="0.3">
      <c r="A959" s="2">
        <v>949</v>
      </c>
      <c r="B959" s="1">
        <v>44966.5</v>
      </c>
      <c r="C959" s="1" t="str">
        <f t="shared" si="28"/>
        <v>02-2023</v>
      </c>
      <c r="D959" s="2">
        <f t="shared" si="29"/>
        <v>6</v>
      </c>
      <c r="E959" t="s">
        <v>17</v>
      </c>
      <c r="F959" t="s">
        <v>14</v>
      </c>
      <c r="G959" t="s">
        <v>15</v>
      </c>
      <c r="H959" s="2">
        <v>12919</v>
      </c>
      <c r="I959" s="2">
        <v>4</v>
      </c>
      <c r="J959" s="2">
        <v>127605</v>
      </c>
      <c r="K959" s="2">
        <v>16982</v>
      </c>
      <c r="L959" s="2">
        <v>5</v>
      </c>
      <c r="M959" t="str">
        <f>IF(Revv_bike_sales_data[[#This Row],[delivery_days]]&lt;=7, "Yes", "No")</f>
        <v>Yes</v>
      </c>
      <c r="N959" t="s">
        <v>16</v>
      </c>
      <c r="O959" s="2">
        <v>110623</v>
      </c>
    </row>
    <row r="960" spans="1:15" x14ac:dyDescent="0.3">
      <c r="A960" s="2">
        <v>950</v>
      </c>
      <c r="B960" s="1">
        <v>44966.541666666664</v>
      </c>
      <c r="C960" s="1" t="str">
        <f t="shared" si="28"/>
        <v>02-2023</v>
      </c>
      <c r="D960" s="2">
        <f t="shared" si="29"/>
        <v>6</v>
      </c>
      <c r="E960" t="s">
        <v>25</v>
      </c>
      <c r="F960" t="s">
        <v>14</v>
      </c>
      <c r="G960" t="s">
        <v>21</v>
      </c>
      <c r="H960" s="2">
        <v>34197</v>
      </c>
      <c r="I960" s="2">
        <v>2</v>
      </c>
      <c r="J960" s="2">
        <v>28970</v>
      </c>
      <c r="K960" s="2">
        <v>131322</v>
      </c>
      <c r="L960" s="2">
        <v>8</v>
      </c>
      <c r="M960" t="str">
        <f>IF(Revv_bike_sales_data[[#This Row],[delivery_days]]&lt;=7, "Yes", "No")</f>
        <v>No</v>
      </c>
      <c r="N960" t="s">
        <v>16</v>
      </c>
      <c r="O960" s="2">
        <v>-102352</v>
      </c>
    </row>
    <row r="961" spans="1:15" x14ac:dyDescent="0.3">
      <c r="A961" s="2">
        <v>951</v>
      </c>
      <c r="B961" s="1">
        <v>44966.583333333336</v>
      </c>
      <c r="C961" s="1" t="str">
        <f t="shared" si="28"/>
        <v>02-2023</v>
      </c>
      <c r="D961" s="2">
        <f t="shared" si="29"/>
        <v>6</v>
      </c>
      <c r="E961" t="s">
        <v>13</v>
      </c>
      <c r="F961" t="s">
        <v>14</v>
      </c>
      <c r="G961" t="s">
        <v>15</v>
      </c>
      <c r="H961" s="2">
        <v>85432</v>
      </c>
      <c r="I961" s="2">
        <v>5</v>
      </c>
      <c r="J961" s="2">
        <v>94535</v>
      </c>
      <c r="K961" s="2">
        <v>121134</v>
      </c>
      <c r="L961" s="2">
        <v>2</v>
      </c>
      <c r="M961" t="str">
        <f>IF(Revv_bike_sales_data[[#This Row],[delivery_days]]&lt;=7, "Yes", "No")</f>
        <v>Yes</v>
      </c>
      <c r="N961" t="s">
        <v>24</v>
      </c>
      <c r="O961" s="2">
        <v>-26599</v>
      </c>
    </row>
    <row r="962" spans="1:15" x14ac:dyDescent="0.3">
      <c r="A962" s="2">
        <v>952</v>
      </c>
      <c r="B962" s="1">
        <v>44966.625</v>
      </c>
      <c r="C962" s="1" t="str">
        <f t="shared" si="28"/>
        <v>02-2023</v>
      </c>
      <c r="D962" s="2">
        <f t="shared" si="29"/>
        <v>6</v>
      </c>
      <c r="E962" t="s">
        <v>18</v>
      </c>
      <c r="F962" t="s">
        <v>14</v>
      </c>
      <c r="G962" t="s">
        <v>21</v>
      </c>
      <c r="H962" s="2">
        <v>95928</v>
      </c>
      <c r="I962" s="2">
        <v>9</v>
      </c>
      <c r="J962" s="2">
        <v>111570</v>
      </c>
      <c r="K962" s="2">
        <v>50765</v>
      </c>
      <c r="L962" s="2">
        <v>2</v>
      </c>
      <c r="M962" t="str">
        <f>IF(Revv_bike_sales_data[[#This Row],[delivery_days]]&lt;=7, "Yes", "No")</f>
        <v>Yes</v>
      </c>
      <c r="N962" t="s">
        <v>16</v>
      </c>
      <c r="O962" s="2">
        <v>60805</v>
      </c>
    </row>
    <row r="963" spans="1:15" x14ac:dyDescent="0.3">
      <c r="A963" s="2">
        <v>953</v>
      </c>
      <c r="B963" s="1">
        <v>44966.666666666664</v>
      </c>
      <c r="C963" s="1" t="str">
        <f t="shared" si="28"/>
        <v>02-2023</v>
      </c>
      <c r="D963" s="2">
        <f t="shared" si="29"/>
        <v>6</v>
      </c>
      <c r="E963" t="s">
        <v>13</v>
      </c>
      <c r="F963" t="s">
        <v>14</v>
      </c>
      <c r="G963" t="s">
        <v>19</v>
      </c>
      <c r="H963" s="2">
        <v>8473</v>
      </c>
      <c r="I963" s="2">
        <v>2</v>
      </c>
      <c r="J963" s="2">
        <v>146315</v>
      </c>
      <c r="K963" s="2">
        <v>97606</v>
      </c>
      <c r="L963" s="2">
        <v>14</v>
      </c>
      <c r="M963" t="str">
        <f>IF(Revv_bike_sales_data[[#This Row],[delivery_days]]&lt;=7, "Yes", "No")</f>
        <v>No</v>
      </c>
      <c r="N963" t="s">
        <v>24</v>
      </c>
      <c r="O963" s="2">
        <v>48709</v>
      </c>
    </row>
    <row r="964" spans="1:15" x14ac:dyDescent="0.3">
      <c r="A964" s="2">
        <v>954</v>
      </c>
      <c r="B964" s="1">
        <v>44966.708333333336</v>
      </c>
      <c r="C964" s="1" t="str">
        <f t="shared" si="28"/>
        <v>02-2023</v>
      </c>
      <c r="D964" s="2">
        <f t="shared" si="29"/>
        <v>6</v>
      </c>
      <c r="E964" t="s">
        <v>17</v>
      </c>
      <c r="F964" t="s">
        <v>14</v>
      </c>
      <c r="G964" t="s">
        <v>20</v>
      </c>
      <c r="H964" s="2">
        <v>87149</v>
      </c>
      <c r="I964" s="2">
        <v>7</v>
      </c>
      <c r="J964" s="2">
        <v>137111</v>
      </c>
      <c r="K964" s="2">
        <v>111422</v>
      </c>
      <c r="L964" s="2">
        <v>12</v>
      </c>
      <c r="M964" t="str">
        <f>IF(Revv_bike_sales_data[[#This Row],[delivery_days]]&lt;=7, "Yes", "No")</f>
        <v>No</v>
      </c>
      <c r="N964" t="s">
        <v>16</v>
      </c>
      <c r="O964" s="2">
        <v>25689</v>
      </c>
    </row>
    <row r="965" spans="1:15" x14ac:dyDescent="0.3">
      <c r="A965" s="2">
        <v>955</v>
      </c>
      <c r="B965" s="1">
        <v>44966.75</v>
      </c>
      <c r="C965" s="1" t="str">
        <f t="shared" si="28"/>
        <v>02-2023</v>
      </c>
      <c r="D965" s="2">
        <f t="shared" si="29"/>
        <v>6</v>
      </c>
      <c r="E965" t="s">
        <v>25</v>
      </c>
      <c r="F965" t="s">
        <v>14</v>
      </c>
      <c r="G965" t="s">
        <v>19</v>
      </c>
      <c r="H965" s="2">
        <v>11636</v>
      </c>
      <c r="I965" s="2">
        <v>1</v>
      </c>
      <c r="J965" s="2">
        <v>66730</v>
      </c>
      <c r="K965" s="2">
        <v>124910</v>
      </c>
      <c r="L965" s="2">
        <v>8</v>
      </c>
      <c r="M965" t="str">
        <f>IF(Revv_bike_sales_data[[#This Row],[delivery_days]]&lt;=7, "Yes", "No")</f>
        <v>No</v>
      </c>
      <c r="N965" t="s">
        <v>16</v>
      </c>
      <c r="O965" s="2">
        <v>-58180</v>
      </c>
    </row>
    <row r="966" spans="1:15" x14ac:dyDescent="0.3">
      <c r="A966" s="2">
        <v>956</v>
      </c>
      <c r="B966" s="1">
        <v>44966.791666666664</v>
      </c>
      <c r="C966" s="1" t="str">
        <f t="shared" si="28"/>
        <v>02-2023</v>
      </c>
      <c r="D966" s="2">
        <f t="shared" si="29"/>
        <v>6</v>
      </c>
      <c r="E966" t="s">
        <v>25</v>
      </c>
      <c r="F966" t="s">
        <v>14</v>
      </c>
      <c r="G966" t="s">
        <v>20</v>
      </c>
      <c r="H966" s="2">
        <v>85239</v>
      </c>
      <c r="I966" s="2">
        <v>2</v>
      </c>
      <c r="J966" s="2">
        <v>169457</v>
      </c>
      <c r="K966" s="2">
        <v>69681</v>
      </c>
      <c r="L966" s="2">
        <v>9</v>
      </c>
      <c r="M966" t="str">
        <f>IF(Revv_bike_sales_data[[#This Row],[delivery_days]]&lt;=7, "Yes", "No")</f>
        <v>No</v>
      </c>
      <c r="N966" t="s">
        <v>16</v>
      </c>
      <c r="O966" s="2">
        <v>99776</v>
      </c>
    </row>
    <row r="967" spans="1:15" x14ac:dyDescent="0.3">
      <c r="A967" s="2">
        <v>957</v>
      </c>
      <c r="B967" s="1">
        <v>44966.833333333336</v>
      </c>
      <c r="C967" s="1" t="str">
        <f t="shared" si="28"/>
        <v>02-2023</v>
      </c>
      <c r="D967" s="2">
        <f t="shared" si="29"/>
        <v>6</v>
      </c>
      <c r="E967" t="s">
        <v>17</v>
      </c>
      <c r="F967" t="s">
        <v>14</v>
      </c>
      <c r="G967" t="s">
        <v>15</v>
      </c>
      <c r="H967" s="2">
        <v>63002</v>
      </c>
      <c r="I967" s="2">
        <v>7</v>
      </c>
      <c r="J967" s="2">
        <v>148252</v>
      </c>
      <c r="K967" s="2">
        <v>78232</v>
      </c>
      <c r="L967" s="2">
        <v>11</v>
      </c>
      <c r="M967" t="str">
        <f>IF(Revv_bike_sales_data[[#This Row],[delivery_days]]&lt;=7, "Yes", "No")</f>
        <v>No</v>
      </c>
      <c r="N967" t="s">
        <v>16</v>
      </c>
      <c r="O967" s="2">
        <v>70020</v>
      </c>
    </row>
    <row r="968" spans="1:15" x14ac:dyDescent="0.3">
      <c r="A968" s="2">
        <v>958</v>
      </c>
      <c r="B968" s="1">
        <v>44966.875</v>
      </c>
      <c r="C968" s="1" t="str">
        <f t="shared" si="28"/>
        <v>02-2023</v>
      </c>
      <c r="D968" s="2">
        <f t="shared" si="29"/>
        <v>6</v>
      </c>
      <c r="E968" t="s">
        <v>17</v>
      </c>
      <c r="F968" t="s">
        <v>14</v>
      </c>
      <c r="G968" t="s">
        <v>15</v>
      </c>
      <c r="H968" s="2">
        <v>31785</v>
      </c>
      <c r="I968" s="2">
        <v>7</v>
      </c>
      <c r="J968" s="2">
        <v>162022</v>
      </c>
      <c r="K968" s="2">
        <v>77349</v>
      </c>
      <c r="L968" s="2">
        <v>12</v>
      </c>
      <c r="M968" t="str">
        <f>IF(Revv_bike_sales_data[[#This Row],[delivery_days]]&lt;=7, "Yes", "No")</f>
        <v>No</v>
      </c>
      <c r="N968" t="s">
        <v>16</v>
      </c>
      <c r="O968" s="2">
        <v>84673</v>
      </c>
    </row>
    <row r="969" spans="1:15" x14ac:dyDescent="0.3">
      <c r="A969" s="2">
        <v>959</v>
      </c>
      <c r="B969" s="1">
        <v>44966.916666666664</v>
      </c>
      <c r="C969" s="1" t="str">
        <f t="shared" si="28"/>
        <v>02-2023</v>
      </c>
      <c r="D969" s="2">
        <f t="shared" si="29"/>
        <v>6</v>
      </c>
      <c r="E969" t="s">
        <v>18</v>
      </c>
      <c r="F969" t="s">
        <v>14</v>
      </c>
      <c r="G969" t="s">
        <v>19</v>
      </c>
      <c r="H969" s="2">
        <v>23539</v>
      </c>
      <c r="I969" s="2">
        <v>0</v>
      </c>
      <c r="J969" s="2">
        <v>179470</v>
      </c>
      <c r="K969" s="2">
        <v>115063</v>
      </c>
      <c r="L969" s="2">
        <v>10</v>
      </c>
      <c r="M969" t="str">
        <f>IF(Revv_bike_sales_data[[#This Row],[delivery_days]]&lt;=7, "Yes", "No")</f>
        <v>No</v>
      </c>
      <c r="N969" t="s">
        <v>16</v>
      </c>
      <c r="O969" s="2">
        <v>64407</v>
      </c>
    </row>
    <row r="970" spans="1:15" x14ac:dyDescent="0.3">
      <c r="A970" s="2">
        <v>960</v>
      </c>
      <c r="B970" s="1">
        <v>44966.958333333336</v>
      </c>
      <c r="C970" s="1" t="str">
        <f t="shared" si="28"/>
        <v>02-2023</v>
      </c>
      <c r="D970" s="2">
        <f t="shared" si="29"/>
        <v>6</v>
      </c>
      <c r="E970" t="s">
        <v>25</v>
      </c>
      <c r="F970" t="s">
        <v>14</v>
      </c>
      <c r="G970" t="s">
        <v>20</v>
      </c>
      <c r="H970" s="2">
        <v>67220</v>
      </c>
      <c r="I970" s="2">
        <v>7</v>
      </c>
      <c r="J970" s="2">
        <v>88944</v>
      </c>
      <c r="K970" s="2">
        <v>78474</v>
      </c>
      <c r="L970" s="2">
        <v>10</v>
      </c>
      <c r="M970" t="str">
        <f>IF(Revv_bike_sales_data[[#This Row],[delivery_days]]&lt;=7, "Yes", "No")</f>
        <v>No</v>
      </c>
      <c r="N970" t="s">
        <v>16</v>
      </c>
      <c r="O970" s="2">
        <v>10470</v>
      </c>
    </row>
    <row r="971" spans="1:15" x14ac:dyDescent="0.3">
      <c r="A971" s="2">
        <v>961</v>
      </c>
      <c r="B971" s="1">
        <v>44967</v>
      </c>
      <c r="C971" s="1" t="str">
        <f t="shared" ref="C971:C1034" si="30">TEXT(B971,"mm-yyyy")</f>
        <v>02-2023</v>
      </c>
      <c r="D971" s="2">
        <f t="shared" ref="D971:D1034" si="31">WEEKNUM(B971)</f>
        <v>6</v>
      </c>
      <c r="E971" t="s">
        <v>13</v>
      </c>
      <c r="F971" t="s">
        <v>23</v>
      </c>
      <c r="G971" t="s">
        <v>19</v>
      </c>
      <c r="H971" s="2">
        <v>88763</v>
      </c>
      <c r="I971" s="2">
        <v>9</v>
      </c>
      <c r="J971" s="2">
        <v>132437</v>
      </c>
      <c r="K971" s="2">
        <v>120327</v>
      </c>
      <c r="L971" s="2">
        <v>2</v>
      </c>
      <c r="M971" t="str">
        <f>IF(Revv_bike_sales_data[[#This Row],[delivery_days]]&lt;=7, "Yes", "No")</f>
        <v>Yes</v>
      </c>
      <c r="N971" t="s">
        <v>16</v>
      </c>
      <c r="O971" s="2">
        <v>12110</v>
      </c>
    </row>
    <row r="972" spans="1:15" x14ac:dyDescent="0.3">
      <c r="A972" s="2">
        <v>962</v>
      </c>
      <c r="B972" s="1">
        <v>44967.041666666664</v>
      </c>
      <c r="C972" s="1" t="str">
        <f t="shared" si="30"/>
        <v>02-2023</v>
      </c>
      <c r="D972" s="2">
        <f t="shared" si="31"/>
        <v>6</v>
      </c>
      <c r="E972" t="s">
        <v>22</v>
      </c>
      <c r="F972" t="s">
        <v>14</v>
      </c>
      <c r="G972" t="s">
        <v>20</v>
      </c>
      <c r="H972" s="2">
        <v>59655</v>
      </c>
      <c r="I972" s="2">
        <v>1</v>
      </c>
      <c r="J972" s="2">
        <v>151794</v>
      </c>
      <c r="K972" s="2">
        <v>44513</v>
      </c>
      <c r="L972" s="2">
        <v>4</v>
      </c>
      <c r="M972" t="str">
        <f>IF(Revv_bike_sales_data[[#This Row],[delivery_days]]&lt;=7, "Yes", "No")</f>
        <v>Yes</v>
      </c>
      <c r="N972" t="s">
        <v>16</v>
      </c>
      <c r="O972" s="2">
        <v>107281</v>
      </c>
    </row>
    <row r="973" spans="1:15" x14ac:dyDescent="0.3">
      <c r="A973" s="2">
        <v>963</v>
      </c>
      <c r="B973" s="1">
        <v>44967.083333333336</v>
      </c>
      <c r="C973" s="1" t="str">
        <f t="shared" si="30"/>
        <v>02-2023</v>
      </c>
      <c r="D973" s="2">
        <f t="shared" si="31"/>
        <v>6</v>
      </c>
      <c r="E973" t="s">
        <v>22</v>
      </c>
      <c r="F973" t="s">
        <v>23</v>
      </c>
      <c r="G973" t="s">
        <v>20</v>
      </c>
      <c r="H973" s="2">
        <v>17411</v>
      </c>
      <c r="I973" s="2">
        <v>6</v>
      </c>
      <c r="J973" s="2">
        <v>97123</v>
      </c>
      <c r="K973" s="2">
        <v>37592</v>
      </c>
      <c r="L973" s="2">
        <v>8</v>
      </c>
      <c r="M973" t="str">
        <f>IF(Revv_bike_sales_data[[#This Row],[delivery_days]]&lt;=7, "Yes", "No")</f>
        <v>No</v>
      </c>
      <c r="N973" t="s">
        <v>16</v>
      </c>
      <c r="O973" s="2">
        <v>59531</v>
      </c>
    </row>
    <row r="974" spans="1:15" x14ac:dyDescent="0.3">
      <c r="A974" s="2">
        <v>964</v>
      </c>
      <c r="B974" s="1">
        <v>44967.125</v>
      </c>
      <c r="C974" s="1" t="str">
        <f t="shared" si="30"/>
        <v>02-2023</v>
      </c>
      <c r="D974" s="2">
        <f t="shared" si="31"/>
        <v>6</v>
      </c>
      <c r="E974" t="s">
        <v>17</v>
      </c>
      <c r="F974" t="s">
        <v>14</v>
      </c>
      <c r="G974" t="s">
        <v>15</v>
      </c>
      <c r="H974" s="2">
        <v>1416</v>
      </c>
      <c r="I974" s="2">
        <v>5</v>
      </c>
      <c r="J974" s="2">
        <v>47880</v>
      </c>
      <c r="K974" s="2">
        <v>127196</v>
      </c>
      <c r="L974" s="2">
        <v>2</v>
      </c>
      <c r="M974" t="str">
        <f>IF(Revv_bike_sales_data[[#This Row],[delivery_days]]&lt;=7, "Yes", "No")</f>
        <v>Yes</v>
      </c>
      <c r="N974" t="s">
        <v>16</v>
      </c>
      <c r="O974" s="2">
        <v>-79316</v>
      </c>
    </row>
    <row r="975" spans="1:15" x14ac:dyDescent="0.3">
      <c r="A975" s="2">
        <v>965</v>
      </c>
      <c r="B975" s="1">
        <v>44967.166666666664</v>
      </c>
      <c r="C975" s="1" t="str">
        <f t="shared" si="30"/>
        <v>02-2023</v>
      </c>
      <c r="D975" s="2">
        <f t="shared" si="31"/>
        <v>6</v>
      </c>
      <c r="E975" t="s">
        <v>18</v>
      </c>
      <c r="F975" t="s">
        <v>14</v>
      </c>
      <c r="G975" t="s">
        <v>15</v>
      </c>
      <c r="H975" s="2">
        <v>59552</v>
      </c>
      <c r="I975" s="2">
        <v>1</v>
      </c>
      <c r="J975" s="2">
        <v>112829</v>
      </c>
      <c r="K975" s="2">
        <v>38618</v>
      </c>
      <c r="L975" s="2">
        <v>4</v>
      </c>
      <c r="M975" t="str">
        <f>IF(Revv_bike_sales_data[[#This Row],[delivery_days]]&lt;=7, "Yes", "No")</f>
        <v>Yes</v>
      </c>
      <c r="N975" t="s">
        <v>16</v>
      </c>
      <c r="O975" s="2">
        <v>74211</v>
      </c>
    </row>
    <row r="976" spans="1:15" x14ac:dyDescent="0.3">
      <c r="A976" s="2">
        <v>966</v>
      </c>
      <c r="B976" s="1">
        <v>44967.208333333336</v>
      </c>
      <c r="C976" s="1" t="str">
        <f t="shared" si="30"/>
        <v>02-2023</v>
      </c>
      <c r="D976" s="2">
        <f t="shared" si="31"/>
        <v>6</v>
      </c>
      <c r="E976" t="s">
        <v>22</v>
      </c>
      <c r="F976" t="s">
        <v>14</v>
      </c>
      <c r="G976" t="s">
        <v>20</v>
      </c>
      <c r="H976" s="2">
        <v>69610</v>
      </c>
      <c r="I976" s="2">
        <v>4</v>
      </c>
      <c r="J976" s="2">
        <v>157633</v>
      </c>
      <c r="K976" s="2">
        <v>66632</v>
      </c>
      <c r="L976" s="2">
        <v>10</v>
      </c>
      <c r="M976" t="str">
        <f>IF(Revv_bike_sales_data[[#This Row],[delivery_days]]&lt;=7, "Yes", "No")</f>
        <v>No</v>
      </c>
      <c r="N976" t="s">
        <v>16</v>
      </c>
      <c r="O976" s="2">
        <v>91001</v>
      </c>
    </row>
    <row r="977" spans="1:15" x14ac:dyDescent="0.3">
      <c r="A977" s="2">
        <v>967</v>
      </c>
      <c r="B977" s="1">
        <v>44967.25</v>
      </c>
      <c r="C977" s="1" t="str">
        <f t="shared" si="30"/>
        <v>02-2023</v>
      </c>
      <c r="D977" s="2">
        <f t="shared" si="31"/>
        <v>6</v>
      </c>
      <c r="E977" t="s">
        <v>25</v>
      </c>
      <c r="F977" t="s">
        <v>23</v>
      </c>
      <c r="G977" t="s">
        <v>20</v>
      </c>
      <c r="H977" s="2">
        <v>18290</v>
      </c>
      <c r="I977" s="2">
        <v>6</v>
      </c>
      <c r="J977" s="2">
        <v>78205</v>
      </c>
      <c r="K977" s="2">
        <v>30409</v>
      </c>
      <c r="L977" s="2">
        <v>13</v>
      </c>
      <c r="M977" t="str">
        <f>IF(Revv_bike_sales_data[[#This Row],[delivery_days]]&lt;=7, "Yes", "No")</f>
        <v>No</v>
      </c>
      <c r="N977" t="s">
        <v>16</v>
      </c>
      <c r="O977" s="2">
        <v>47796</v>
      </c>
    </row>
    <row r="978" spans="1:15" x14ac:dyDescent="0.3">
      <c r="A978" s="2">
        <v>968</v>
      </c>
      <c r="B978" s="1">
        <v>44967.291666666664</v>
      </c>
      <c r="C978" s="1" t="str">
        <f t="shared" si="30"/>
        <v>02-2023</v>
      </c>
      <c r="D978" s="2">
        <f t="shared" si="31"/>
        <v>6</v>
      </c>
      <c r="E978" t="s">
        <v>17</v>
      </c>
      <c r="F978" t="s">
        <v>14</v>
      </c>
      <c r="G978" t="s">
        <v>20</v>
      </c>
      <c r="H978" s="2">
        <v>83661</v>
      </c>
      <c r="I978" s="2">
        <v>7</v>
      </c>
      <c r="J978" s="2">
        <v>131948</v>
      </c>
      <c r="K978" s="2">
        <v>24529</v>
      </c>
      <c r="L978" s="2">
        <v>13</v>
      </c>
      <c r="M978" t="str">
        <f>IF(Revv_bike_sales_data[[#This Row],[delivery_days]]&lt;=7, "Yes", "No")</f>
        <v>No</v>
      </c>
      <c r="N978" t="s">
        <v>16</v>
      </c>
      <c r="O978" s="2">
        <v>107419</v>
      </c>
    </row>
    <row r="979" spans="1:15" x14ac:dyDescent="0.3">
      <c r="A979" s="2">
        <v>969</v>
      </c>
      <c r="B979" s="1">
        <v>44967.333333333336</v>
      </c>
      <c r="C979" s="1" t="str">
        <f t="shared" si="30"/>
        <v>02-2023</v>
      </c>
      <c r="D979" s="2">
        <f t="shared" si="31"/>
        <v>6</v>
      </c>
      <c r="E979" t="s">
        <v>13</v>
      </c>
      <c r="F979" t="s">
        <v>14</v>
      </c>
      <c r="G979" t="s">
        <v>15</v>
      </c>
      <c r="H979" s="2">
        <v>5706</v>
      </c>
      <c r="I979" s="2">
        <v>2</v>
      </c>
      <c r="J979" s="2">
        <v>84810</v>
      </c>
      <c r="K979" s="2">
        <v>137164</v>
      </c>
      <c r="L979" s="2">
        <v>1</v>
      </c>
      <c r="M979" t="str">
        <f>IF(Revv_bike_sales_data[[#This Row],[delivery_days]]&lt;=7, "Yes", "No")</f>
        <v>Yes</v>
      </c>
      <c r="N979" t="s">
        <v>16</v>
      </c>
      <c r="O979" s="2">
        <v>-52354</v>
      </c>
    </row>
    <row r="980" spans="1:15" x14ac:dyDescent="0.3">
      <c r="A980" s="2">
        <v>970</v>
      </c>
      <c r="B980" s="1">
        <v>44967.375</v>
      </c>
      <c r="C980" s="1" t="str">
        <f t="shared" si="30"/>
        <v>02-2023</v>
      </c>
      <c r="D980" s="2">
        <f t="shared" si="31"/>
        <v>6</v>
      </c>
      <c r="E980" t="s">
        <v>17</v>
      </c>
      <c r="F980" t="s">
        <v>14</v>
      </c>
      <c r="G980" t="s">
        <v>15</v>
      </c>
      <c r="H980" s="2">
        <v>85553</v>
      </c>
      <c r="I980" s="2">
        <v>0</v>
      </c>
      <c r="J980" s="2">
        <v>138089</v>
      </c>
      <c r="K980" s="2">
        <v>39154</v>
      </c>
      <c r="L980" s="2">
        <v>2</v>
      </c>
      <c r="M980" t="str">
        <f>IF(Revv_bike_sales_data[[#This Row],[delivery_days]]&lt;=7, "Yes", "No")</f>
        <v>Yes</v>
      </c>
      <c r="N980" t="s">
        <v>24</v>
      </c>
      <c r="O980" s="2">
        <v>98935</v>
      </c>
    </row>
    <row r="981" spans="1:15" x14ac:dyDescent="0.3">
      <c r="A981" s="2">
        <v>971</v>
      </c>
      <c r="B981" s="1">
        <v>44967.416666666664</v>
      </c>
      <c r="C981" s="1" t="str">
        <f t="shared" si="30"/>
        <v>02-2023</v>
      </c>
      <c r="D981" s="2">
        <f t="shared" si="31"/>
        <v>6</v>
      </c>
      <c r="E981" t="s">
        <v>13</v>
      </c>
      <c r="F981" t="s">
        <v>14</v>
      </c>
      <c r="G981" t="s">
        <v>21</v>
      </c>
      <c r="H981" s="2">
        <v>50450</v>
      </c>
      <c r="I981" s="2">
        <v>6</v>
      </c>
      <c r="J981" s="2">
        <v>89482</v>
      </c>
      <c r="K981" s="2">
        <v>47882</v>
      </c>
      <c r="L981" s="2">
        <v>7</v>
      </c>
      <c r="M981" t="str">
        <f>IF(Revv_bike_sales_data[[#This Row],[delivery_days]]&lt;=7, "Yes", "No")</f>
        <v>Yes</v>
      </c>
      <c r="N981" t="s">
        <v>24</v>
      </c>
      <c r="O981" s="2">
        <v>41600</v>
      </c>
    </row>
    <row r="982" spans="1:15" x14ac:dyDescent="0.3">
      <c r="A982" s="2">
        <v>972</v>
      </c>
      <c r="B982" s="1">
        <v>44967.458333333336</v>
      </c>
      <c r="C982" s="1" t="str">
        <f t="shared" si="30"/>
        <v>02-2023</v>
      </c>
      <c r="D982" s="2">
        <f t="shared" si="31"/>
        <v>6</v>
      </c>
      <c r="E982" t="s">
        <v>17</v>
      </c>
      <c r="F982" t="s">
        <v>14</v>
      </c>
      <c r="G982" t="s">
        <v>20</v>
      </c>
      <c r="H982" s="2">
        <v>56861</v>
      </c>
      <c r="I982" s="2">
        <v>4</v>
      </c>
      <c r="J982" s="2">
        <v>94192</v>
      </c>
      <c r="K982" s="2">
        <v>59917</v>
      </c>
      <c r="L982" s="2">
        <v>1</v>
      </c>
      <c r="M982" t="str">
        <f>IF(Revv_bike_sales_data[[#This Row],[delivery_days]]&lt;=7, "Yes", "No")</f>
        <v>Yes</v>
      </c>
      <c r="N982" t="s">
        <v>24</v>
      </c>
      <c r="O982" s="2">
        <v>34275</v>
      </c>
    </row>
    <row r="983" spans="1:15" x14ac:dyDescent="0.3">
      <c r="A983" s="2">
        <v>973</v>
      </c>
      <c r="B983" s="1">
        <v>44967.5</v>
      </c>
      <c r="C983" s="1" t="str">
        <f t="shared" si="30"/>
        <v>02-2023</v>
      </c>
      <c r="D983" s="2">
        <f t="shared" si="31"/>
        <v>6</v>
      </c>
      <c r="E983" t="s">
        <v>17</v>
      </c>
      <c r="F983" t="s">
        <v>14</v>
      </c>
      <c r="G983" t="s">
        <v>21</v>
      </c>
      <c r="H983" s="2">
        <v>61951</v>
      </c>
      <c r="I983" s="2">
        <v>4</v>
      </c>
      <c r="J983" s="2">
        <v>112154</v>
      </c>
      <c r="K983" s="2">
        <v>97488</v>
      </c>
      <c r="L983" s="2">
        <v>12</v>
      </c>
      <c r="M983" t="str">
        <f>IF(Revv_bike_sales_data[[#This Row],[delivery_days]]&lt;=7, "Yes", "No")</f>
        <v>No</v>
      </c>
      <c r="N983" t="s">
        <v>16</v>
      </c>
      <c r="O983" s="2">
        <v>14666</v>
      </c>
    </row>
    <row r="984" spans="1:15" x14ac:dyDescent="0.3">
      <c r="A984" s="2">
        <v>974</v>
      </c>
      <c r="B984" s="1">
        <v>44967.541666666664</v>
      </c>
      <c r="C984" s="1" t="str">
        <f t="shared" si="30"/>
        <v>02-2023</v>
      </c>
      <c r="D984" s="2">
        <f t="shared" si="31"/>
        <v>6</v>
      </c>
      <c r="E984" t="s">
        <v>17</v>
      </c>
      <c r="F984" t="s">
        <v>14</v>
      </c>
      <c r="G984" t="s">
        <v>20</v>
      </c>
      <c r="H984" s="2">
        <v>38196</v>
      </c>
      <c r="I984" s="2">
        <v>6</v>
      </c>
      <c r="J984" s="2">
        <v>111066</v>
      </c>
      <c r="K984" s="2">
        <v>30701</v>
      </c>
      <c r="L984" s="2">
        <v>1</v>
      </c>
      <c r="M984" t="str">
        <f>IF(Revv_bike_sales_data[[#This Row],[delivery_days]]&lt;=7, "Yes", "No")</f>
        <v>Yes</v>
      </c>
      <c r="N984" t="s">
        <v>16</v>
      </c>
      <c r="O984" s="2">
        <v>80365</v>
      </c>
    </row>
    <row r="985" spans="1:15" x14ac:dyDescent="0.3">
      <c r="A985" s="2">
        <v>975</v>
      </c>
      <c r="B985" s="1">
        <v>44967.583333333336</v>
      </c>
      <c r="C985" s="1" t="str">
        <f t="shared" si="30"/>
        <v>02-2023</v>
      </c>
      <c r="D985" s="2">
        <f t="shared" si="31"/>
        <v>6</v>
      </c>
      <c r="E985" t="s">
        <v>13</v>
      </c>
      <c r="F985" t="s">
        <v>14</v>
      </c>
      <c r="G985" t="s">
        <v>15</v>
      </c>
      <c r="H985" s="2">
        <v>82141</v>
      </c>
      <c r="I985" s="2">
        <v>0</v>
      </c>
      <c r="J985" s="2">
        <v>172211</v>
      </c>
      <c r="K985" s="2">
        <v>90281</v>
      </c>
      <c r="L985" s="2">
        <v>2</v>
      </c>
      <c r="M985" t="str">
        <f>IF(Revv_bike_sales_data[[#This Row],[delivery_days]]&lt;=7, "Yes", "No")</f>
        <v>Yes</v>
      </c>
      <c r="N985" t="s">
        <v>24</v>
      </c>
      <c r="O985" s="2">
        <v>81930</v>
      </c>
    </row>
    <row r="986" spans="1:15" x14ac:dyDescent="0.3">
      <c r="A986" s="2">
        <v>976</v>
      </c>
      <c r="B986" s="1">
        <v>44967.625</v>
      </c>
      <c r="C986" s="1" t="str">
        <f t="shared" si="30"/>
        <v>02-2023</v>
      </c>
      <c r="D986" s="2">
        <f t="shared" si="31"/>
        <v>6</v>
      </c>
      <c r="E986" t="s">
        <v>13</v>
      </c>
      <c r="F986" t="s">
        <v>14</v>
      </c>
      <c r="G986" t="s">
        <v>21</v>
      </c>
      <c r="H986" s="2">
        <v>68726</v>
      </c>
      <c r="I986" s="2">
        <v>7</v>
      </c>
      <c r="J986" s="2">
        <v>153514</v>
      </c>
      <c r="K986" s="2">
        <v>104871</v>
      </c>
      <c r="L986" s="2">
        <v>4</v>
      </c>
      <c r="M986" t="str">
        <f>IF(Revv_bike_sales_data[[#This Row],[delivery_days]]&lt;=7, "Yes", "No")</f>
        <v>Yes</v>
      </c>
      <c r="N986" t="s">
        <v>16</v>
      </c>
      <c r="O986" s="2">
        <v>48643</v>
      </c>
    </row>
    <row r="987" spans="1:15" x14ac:dyDescent="0.3">
      <c r="A987" s="2">
        <v>977</v>
      </c>
      <c r="B987" s="1">
        <v>44967.666666666664</v>
      </c>
      <c r="C987" s="1" t="str">
        <f t="shared" si="30"/>
        <v>02-2023</v>
      </c>
      <c r="D987" s="2">
        <f t="shared" si="31"/>
        <v>6</v>
      </c>
      <c r="E987" t="s">
        <v>17</v>
      </c>
      <c r="F987" t="s">
        <v>14</v>
      </c>
      <c r="G987" t="s">
        <v>21</v>
      </c>
      <c r="H987" s="2">
        <v>47228</v>
      </c>
      <c r="I987" s="2">
        <v>9</v>
      </c>
      <c r="J987" s="2">
        <v>57977</v>
      </c>
      <c r="K987" s="2">
        <v>83225</v>
      </c>
      <c r="L987" s="2">
        <v>7</v>
      </c>
      <c r="M987" t="str">
        <f>IF(Revv_bike_sales_data[[#This Row],[delivery_days]]&lt;=7, "Yes", "No")</f>
        <v>Yes</v>
      </c>
      <c r="N987" t="s">
        <v>24</v>
      </c>
      <c r="O987" s="2">
        <v>-25248</v>
      </c>
    </row>
    <row r="988" spans="1:15" x14ac:dyDescent="0.3">
      <c r="A988" s="2">
        <v>978</v>
      </c>
      <c r="B988" s="1">
        <v>44967.708333333336</v>
      </c>
      <c r="C988" s="1" t="str">
        <f t="shared" si="30"/>
        <v>02-2023</v>
      </c>
      <c r="D988" s="2">
        <f t="shared" si="31"/>
        <v>6</v>
      </c>
      <c r="E988" t="s">
        <v>22</v>
      </c>
      <c r="F988" t="s">
        <v>14</v>
      </c>
      <c r="G988" t="s">
        <v>19</v>
      </c>
      <c r="H988" s="2">
        <v>55901</v>
      </c>
      <c r="I988" s="2">
        <v>4</v>
      </c>
      <c r="J988" s="2">
        <v>29983</v>
      </c>
      <c r="K988" s="2">
        <v>134278</v>
      </c>
      <c r="L988" s="2">
        <v>4</v>
      </c>
      <c r="M988" t="str">
        <f>IF(Revv_bike_sales_data[[#This Row],[delivery_days]]&lt;=7, "Yes", "No")</f>
        <v>Yes</v>
      </c>
      <c r="N988" t="s">
        <v>16</v>
      </c>
      <c r="O988" s="2">
        <v>-104295</v>
      </c>
    </row>
    <row r="989" spans="1:15" x14ac:dyDescent="0.3">
      <c r="A989" s="2">
        <v>979</v>
      </c>
      <c r="B989" s="1">
        <v>44967.75</v>
      </c>
      <c r="C989" s="1" t="str">
        <f t="shared" si="30"/>
        <v>02-2023</v>
      </c>
      <c r="D989" s="2">
        <f t="shared" si="31"/>
        <v>6</v>
      </c>
      <c r="E989" t="s">
        <v>18</v>
      </c>
      <c r="F989" t="s">
        <v>23</v>
      </c>
      <c r="G989" t="s">
        <v>20</v>
      </c>
      <c r="H989" s="2">
        <v>66726</v>
      </c>
      <c r="I989" s="2">
        <v>7</v>
      </c>
      <c r="J989" s="2">
        <v>74029</v>
      </c>
      <c r="K989" s="2">
        <v>67492</v>
      </c>
      <c r="L989" s="2">
        <v>5</v>
      </c>
      <c r="M989" t="str">
        <f>IF(Revv_bike_sales_data[[#This Row],[delivery_days]]&lt;=7, "Yes", "No")</f>
        <v>Yes</v>
      </c>
      <c r="N989" t="s">
        <v>16</v>
      </c>
      <c r="O989" s="2">
        <v>6537</v>
      </c>
    </row>
    <row r="990" spans="1:15" x14ac:dyDescent="0.3">
      <c r="A990" s="2">
        <v>980</v>
      </c>
      <c r="B990" s="1">
        <v>44967.791666666664</v>
      </c>
      <c r="C990" s="1" t="str">
        <f t="shared" si="30"/>
        <v>02-2023</v>
      </c>
      <c r="D990" s="2">
        <f t="shared" si="31"/>
        <v>6</v>
      </c>
      <c r="E990" t="s">
        <v>18</v>
      </c>
      <c r="F990" t="s">
        <v>14</v>
      </c>
      <c r="G990" t="s">
        <v>15</v>
      </c>
      <c r="H990" s="2">
        <v>25603</v>
      </c>
      <c r="I990" s="2">
        <v>9</v>
      </c>
      <c r="J990" s="2">
        <v>177401</v>
      </c>
      <c r="K990" s="2">
        <v>17988</v>
      </c>
      <c r="L990" s="2">
        <v>4</v>
      </c>
      <c r="M990" t="str">
        <f>IF(Revv_bike_sales_data[[#This Row],[delivery_days]]&lt;=7, "Yes", "No")</f>
        <v>Yes</v>
      </c>
      <c r="N990" t="s">
        <v>16</v>
      </c>
      <c r="O990" s="2">
        <v>159413</v>
      </c>
    </row>
    <row r="991" spans="1:15" x14ac:dyDescent="0.3">
      <c r="A991" s="2">
        <v>981</v>
      </c>
      <c r="B991" s="1">
        <v>44967.833333333336</v>
      </c>
      <c r="C991" s="1" t="str">
        <f t="shared" si="30"/>
        <v>02-2023</v>
      </c>
      <c r="D991" s="2">
        <f t="shared" si="31"/>
        <v>6</v>
      </c>
      <c r="E991" t="s">
        <v>18</v>
      </c>
      <c r="F991" t="s">
        <v>14</v>
      </c>
      <c r="G991" t="s">
        <v>19</v>
      </c>
      <c r="H991" s="2">
        <v>34763</v>
      </c>
      <c r="I991" s="2">
        <v>9</v>
      </c>
      <c r="J991" s="2">
        <v>147668</v>
      </c>
      <c r="K991" s="2">
        <v>50919</v>
      </c>
      <c r="L991" s="2">
        <v>4</v>
      </c>
      <c r="M991" t="str">
        <f>IF(Revv_bike_sales_data[[#This Row],[delivery_days]]&lt;=7, "Yes", "No")</f>
        <v>Yes</v>
      </c>
      <c r="N991" t="s">
        <v>16</v>
      </c>
      <c r="O991" s="2">
        <v>96749</v>
      </c>
    </row>
    <row r="992" spans="1:15" x14ac:dyDescent="0.3">
      <c r="A992" s="2">
        <v>982</v>
      </c>
      <c r="B992" s="1">
        <v>44967.875</v>
      </c>
      <c r="C992" s="1" t="str">
        <f t="shared" si="30"/>
        <v>02-2023</v>
      </c>
      <c r="D992" s="2">
        <f t="shared" si="31"/>
        <v>6</v>
      </c>
      <c r="E992" t="s">
        <v>13</v>
      </c>
      <c r="F992" t="s">
        <v>14</v>
      </c>
      <c r="G992" t="s">
        <v>19</v>
      </c>
      <c r="H992" s="2">
        <v>77121</v>
      </c>
      <c r="I992" s="2">
        <v>4</v>
      </c>
      <c r="J992" s="2">
        <v>67837</v>
      </c>
      <c r="K992" s="2">
        <v>125023</v>
      </c>
      <c r="L992" s="2">
        <v>9</v>
      </c>
      <c r="M992" t="str">
        <f>IF(Revv_bike_sales_data[[#This Row],[delivery_days]]&lt;=7, "Yes", "No")</f>
        <v>No</v>
      </c>
      <c r="N992" t="s">
        <v>16</v>
      </c>
      <c r="O992" s="2">
        <v>-57186</v>
      </c>
    </row>
    <row r="993" spans="1:15" x14ac:dyDescent="0.3">
      <c r="A993" s="2">
        <v>983</v>
      </c>
      <c r="B993" s="1">
        <v>44967.916666666664</v>
      </c>
      <c r="C993" s="1" t="str">
        <f t="shared" si="30"/>
        <v>02-2023</v>
      </c>
      <c r="D993" s="2">
        <f t="shared" si="31"/>
        <v>6</v>
      </c>
      <c r="E993" t="s">
        <v>13</v>
      </c>
      <c r="F993" t="s">
        <v>14</v>
      </c>
      <c r="G993" t="s">
        <v>20</v>
      </c>
      <c r="H993" s="2">
        <v>50544</v>
      </c>
      <c r="I993" s="2">
        <v>6</v>
      </c>
      <c r="J993" s="2">
        <v>142512</v>
      </c>
      <c r="K993" s="2">
        <v>63426</v>
      </c>
      <c r="L993" s="2">
        <v>6</v>
      </c>
      <c r="M993" t="str">
        <f>IF(Revv_bike_sales_data[[#This Row],[delivery_days]]&lt;=7, "Yes", "No")</f>
        <v>Yes</v>
      </c>
      <c r="N993" t="s">
        <v>16</v>
      </c>
      <c r="O993" s="2">
        <v>79086</v>
      </c>
    </row>
    <row r="994" spans="1:15" x14ac:dyDescent="0.3">
      <c r="A994" s="2">
        <v>984</v>
      </c>
      <c r="B994" s="1">
        <v>44967.958333333336</v>
      </c>
      <c r="C994" s="1" t="str">
        <f t="shared" si="30"/>
        <v>02-2023</v>
      </c>
      <c r="D994" s="2">
        <f t="shared" si="31"/>
        <v>6</v>
      </c>
      <c r="E994" t="s">
        <v>22</v>
      </c>
      <c r="F994" t="s">
        <v>14</v>
      </c>
      <c r="G994" t="s">
        <v>19</v>
      </c>
      <c r="H994" s="2">
        <v>58230</v>
      </c>
      <c r="I994" s="2">
        <v>9</v>
      </c>
      <c r="J994" s="2">
        <v>91786</v>
      </c>
      <c r="K994" s="2">
        <v>67167</v>
      </c>
      <c r="L994" s="2">
        <v>12</v>
      </c>
      <c r="M994" t="str">
        <f>IF(Revv_bike_sales_data[[#This Row],[delivery_days]]&lt;=7, "Yes", "No")</f>
        <v>No</v>
      </c>
      <c r="N994" t="s">
        <v>16</v>
      </c>
      <c r="O994" s="2">
        <v>24619</v>
      </c>
    </row>
    <row r="995" spans="1:15" x14ac:dyDescent="0.3">
      <c r="A995" s="2">
        <v>985</v>
      </c>
      <c r="B995" s="1">
        <v>44968</v>
      </c>
      <c r="C995" s="1" t="str">
        <f t="shared" si="30"/>
        <v>02-2023</v>
      </c>
      <c r="D995" s="2">
        <f t="shared" si="31"/>
        <v>6</v>
      </c>
      <c r="E995" t="s">
        <v>18</v>
      </c>
      <c r="F995" t="s">
        <v>14</v>
      </c>
      <c r="G995" t="s">
        <v>20</v>
      </c>
      <c r="H995" s="2">
        <v>26325</v>
      </c>
      <c r="I995" s="2">
        <v>2</v>
      </c>
      <c r="J995" s="2">
        <v>29758</v>
      </c>
      <c r="K995" s="2">
        <v>24013</v>
      </c>
      <c r="L995" s="2">
        <v>3</v>
      </c>
      <c r="M995" t="str">
        <f>IF(Revv_bike_sales_data[[#This Row],[delivery_days]]&lt;=7, "Yes", "No")</f>
        <v>Yes</v>
      </c>
      <c r="N995" t="s">
        <v>16</v>
      </c>
      <c r="O995" s="2">
        <v>5745</v>
      </c>
    </row>
    <row r="996" spans="1:15" x14ac:dyDescent="0.3">
      <c r="A996" s="2">
        <v>986</v>
      </c>
      <c r="B996" s="1">
        <v>44968.041666666664</v>
      </c>
      <c r="C996" s="1" t="str">
        <f t="shared" si="30"/>
        <v>02-2023</v>
      </c>
      <c r="D996" s="2">
        <f t="shared" si="31"/>
        <v>6</v>
      </c>
      <c r="E996" t="s">
        <v>18</v>
      </c>
      <c r="F996" t="s">
        <v>14</v>
      </c>
      <c r="G996" t="s">
        <v>19</v>
      </c>
      <c r="H996" s="2">
        <v>76756</v>
      </c>
      <c r="I996" s="2">
        <v>1</v>
      </c>
      <c r="J996" s="2">
        <v>127667</v>
      </c>
      <c r="K996" s="2">
        <v>54113</v>
      </c>
      <c r="L996" s="2">
        <v>6</v>
      </c>
      <c r="M996" t="str">
        <f>IF(Revv_bike_sales_data[[#This Row],[delivery_days]]&lt;=7, "Yes", "No")</f>
        <v>Yes</v>
      </c>
      <c r="N996" t="s">
        <v>16</v>
      </c>
      <c r="O996" s="2">
        <v>73554</v>
      </c>
    </row>
    <row r="997" spans="1:15" x14ac:dyDescent="0.3">
      <c r="A997" s="2">
        <v>987</v>
      </c>
      <c r="B997" s="1">
        <v>44968.083333333336</v>
      </c>
      <c r="C997" s="1" t="str">
        <f t="shared" si="30"/>
        <v>02-2023</v>
      </c>
      <c r="D997" s="2">
        <f t="shared" si="31"/>
        <v>6</v>
      </c>
      <c r="E997" t="s">
        <v>17</v>
      </c>
      <c r="F997" t="s">
        <v>14</v>
      </c>
      <c r="G997" t="s">
        <v>20</v>
      </c>
      <c r="H997" s="2">
        <v>37771</v>
      </c>
      <c r="I997" s="2">
        <v>5</v>
      </c>
      <c r="J997" s="2">
        <v>133119</v>
      </c>
      <c r="K997" s="2">
        <v>18574</v>
      </c>
      <c r="L997" s="2">
        <v>13</v>
      </c>
      <c r="M997" t="str">
        <f>IF(Revv_bike_sales_data[[#This Row],[delivery_days]]&lt;=7, "Yes", "No")</f>
        <v>No</v>
      </c>
      <c r="N997" t="s">
        <v>16</v>
      </c>
      <c r="O997" s="2">
        <v>114545</v>
      </c>
    </row>
    <row r="998" spans="1:15" x14ac:dyDescent="0.3">
      <c r="A998" s="2">
        <v>988</v>
      </c>
      <c r="B998" s="1">
        <v>44968.125</v>
      </c>
      <c r="C998" s="1" t="str">
        <f t="shared" si="30"/>
        <v>02-2023</v>
      </c>
      <c r="D998" s="2">
        <f t="shared" si="31"/>
        <v>6</v>
      </c>
      <c r="E998" t="s">
        <v>13</v>
      </c>
      <c r="F998" t="s">
        <v>14</v>
      </c>
      <c r="G998" t="s">
        <v>15</v>
      </c>
      <c r="H998" s="2">
        <v>77756</v>
      </c>
      <c r="I998" s="2">
        <v>4</v>
      </c>
      <c r="J998" s="2">
        <v>125157</v>
      </c>
      <c r="K998" s="2">
        <v>113016</v>
      </c>
      <c r="L998" s="2">
        <v>7</v>
      </c>
      <c r="M998" t="str">
        <f>IF(Revv_bike_sales_data[[#This Row],[delivery_days]]&lt;=7, "Yes", "No")</f>
        <v>Yes</v>
      </c>
      <c r="N998" t="s">
        <v>16</v>
      </c>
      <c r="O998" s="2">
        <v>12141</v>
      </c>
    </row>
    <row r="999" spans="1:15" x14ac:dyDescent="0.3">
      <c r="A999" s="2">
        <v>989</v>
      </c>
      <c r="B999" s="1">
        <v>44968.166666666664</v>
      </c>
      <c r="C999" s="1" t="str">
        <f t="shared" si="30"/>
        <v>02-2023</v>
      </c>
      <c r="D999" s="2">
        <f t="shared" si="31"/>
        <v>6</v>
      </c>
      <c r="E999" t="s">
        <v>18</v>
      </c>
      <c r="F999" t="s">
        <v>14</v>
      </c>
      <c r="G999" t="s">
        <v>20</v>
      </c>
      <c r="H999" s="2">
        <v>47232</v>
      </c>
      <c r="I999" s="2">
        <v>8</v>
      </c>
      <c r="J999" s="2">
        <v>107673</v>
      </c>
      <c r="K999" s="2">
        <v>22838</v>
      </c>
      <c r="L999" s="2">
        <v>7</v>
      </c>
      <c r="M999" t="str">
        <f>IF(Revv_bike_sales_data[[#This Row],[delivery_days]]&lt;=7, "Yes", "No")</f>
        <v>Yes</v>
      </c>
      <c r="N999" t="s">
        <v>16</v>
      </c>
      <c r="O999" s="2">
        <v>84835</v>
      </c>
    </row>
    <row r="1000" spans="1:15" x14ac:dyDescent="0.3">
      <c r="A1000" s="2">
        <v>990</v>
      </c>
      <c r="B1000" s="1">
        <v>44968.208333333336</v>
      </c>
      <c r="C1000" s="1" t="str">
        <f t="shared" si="30"/>
        <v>02-2023</v>
      </c>
      <c r="D1000" s="2">
        <f t="shared" si="31"/>
        <v>6</v>
      </c>
      <c r="E1000" t="s">
        <v>22</v>
      </c>
      <c r="F1000" t="s">
        <v>14</v>
      </c>
      <c r="G1000" t="s">
        <v>20</v>
      </c>
      <c r="H1000" s="2">
        <v>66933</v>
      </c>
      <c r="I1000" s="2">
        <v>9</v>
      </c>
      <c r="J1000" s="2">
        <v>122639</v>
      </c>
      <c r="K1000" s="2">
        <v>108899</v>
      </c>
      <c r="L1000" s="2">
        <v>8</v>
      </c>
      <c r="M1000" t="str">
        <f>IF(Revv_bike_sales_data[[#This Row],[delivery_days]]&lt;=7, "Yes", "No")</f>
        <v>No</v>
      </c>
      <c r="N1000" t="s">
        <v>16</v>
      </c>
      <c r="O1000" s="2">
        <v>13740</v>
      </c>
    </row>
    <row r="1001" spans="1:15" x14ac:dyDescent="0.3">
      <c r="A1001" s="2">
        <v>991</v>
      </c>
      <c r="B1001" s="1">
        <v>44968.25</v>
      </c>
      <c r="C1001" s="1" t="str">
        <f t="shared" si="30"/>
        <v>02-2023</v>
      </c>
      <c r="D1001" s="2">
        <f t="shared" si="31"/>
        <v>6</v>
      </c>
      <c r="E1001" t="s">
        <v>22</v>
      </c>
      <c r="F1001" t="s">
        <v>23</v>
      </c>
      <c r="G1001" t="s">
        <v>21</v>
      </c>
      <c r="H1001" s="2">
        <v>83130</v>
      </c>
      <c r="I1001" s="2">
        <v>3</v>
      </c>
      <c r="J1001" s="2">
        <v>177904</v>
      </c>
      <c r="K1001" s="2">
        <v>46368</v>
      </c>
      <c r="L1001" s="2">
        <v>13</v>
      </c>
      <c r="M1001" t="str">
        <f>IF(Revv_bike_sales_data[[#This Row],[delivery_days]]&lt;=7, "Yes", "No")</f>
        <v>No</v>
      </c>
      <c r="N1001" t="s">
        <v>24</v>
      </c>
      <c r="O1001" s="2">
        <v>131536</v>
      </c>
    </row>
    <row r="1002" spans="1:15" x14ac:dyDescent="0.3">
      <c r="A1002" s="2">
        <v>992</v>
      </c>
      <c r="B1002" s="1">
        <v>44968.291666666664</v>
      </c>
      <c r="C1002" s="1" t="str">
        <f t="shared" si="30"/>
        <v>02-2023</v>
      </c>
      <c r="D1002" s="2">
        <f t="shared" si="31"/>
        <v>6</v>
      </c>
      <c r="E1002" t="s">
        <v>18</v>
      </c>
      <c r="F1002" t="s">
        <v>14</v>
      </c>
      <c r="G1002" t="s">
        <v>15</v>
      </c>
      <c r="H1002" s="2">
        <v>24072</v>
      </c>
      <c r="I1002" s="2">
        <v>2</v>
      </c>
      <c r="J1002" s="2">
        <v>157940</v>
      </c>
      <c r="K1002" s="2">
        <v>47228</v>
      </c>
      <c r="L1002" s="2">
        <v>4</v>
      </c>
      <c r="M1002" t="str">
        <f>IF(Revv_bike_sales_data[[#This Row],[delivery_days]]&lt;=7, "Yes", "No")</f>
        <v>Yes</v>
      </c>
      <c r="N1002" t="s">
        <v>16</v>
      </c>
      <c r="O1002" s="2">
        <v>110712</v>
      </c>
    </row>
    <row r="1003" spans="1:15" x14ac:dyDescent="0.3">
      <c r="A1003" s="2">
        <v>993</v>
      </c>
      <c r="B1003" s="1">
        <v>44968.333333333336</v>
      </c>
      <c r="C1003" s="1" t="str">
        <f t="shared" si="30"/>
        <v>02-2023</v>
      </c>
      <c r="D1003" s="2">
        <f t="shared" si="31"/>
        <v>6</v>
      </c>
      <c r="E1003" t="s">
        <v>13</v>
      </c>
      <c r="F1003" t="s">
        <v>14</v>
      </c>
      <c r="G1003" t="s">
        <v>15</v>
      </c>
      <c r="H1003" s="2">
        <v>39046</v>
      </c>
      <c r="I1003" s="2">
        <v>8</v>
      </c>
      <c r="J1003" s="2">
        <v>139869</v>
      </c>
      <c r="K1003" s="2">
        <v>131296</v>
      </c>
      <c r="L1003" s="2">
        <v>1</v>
      </c>
      <c r="M1003" t="str">
        <f>IF(Revv_bike_sales_data[[#This Row],[delivery_days]]&lt;=7, "Yes", "No")</f>
        <v>Yes</v>
      </c>
      <c r="N1003" t="s">
        <v>16</v>
      </c>
      <c r="O1003" s="2">
        <v>8573</v>
      </c>
    </row>
    <row r="1004" spans="1:15" x14ac:dyDescent="0.3">
      <c r="A1004" s="2">
        <v>994</v>
      </c>
      <c r="B1004" s="1">
        <v>44968.375</v>
      </c>
      <c r="C1004" s="1" t="str">
        <f t="shared" si="30"/>
        <v>02-2023</v>
      </c>
      <c r="D1004" s="2">
        <f t="shared" si="31"/>
        <v>6</v>
      </c>
      <c r="E1004" t="s">
        <v>22</v>
      </c>
      <c r="F1004" t="s">
        <v>14</v>
      </c>
      <c r="G1004" t="s">
        <v>15</v>
      </c>
      <c r="H1004" s="2">
        <v>15650</v>
      </c>
      <c r="I1004" s="2">
        <v>7</v>
      </c>
      <c r="J1004" s="2">
        <v>44728</v>
      </c>
      <c r="K1004" s="2">
        <v>64711</v>
      </c>
      <c r="L1004" s="2">
        <v>6</v>
      </c>
      <c r="M1004" t="str">
        <f>IF(Revv_bike_sales_data[[#This Row],[delivery_days]]&lt;=7, "Yes", "No")</f>
        <v>Yes</v>
      </c>
      <c r="N1004" t="s">
        <v>16</v>
      </c>
      <c r="O1004" s="2">
        <v>-19983</v>
      </c>
    </row>
    <row r="1005" spans="1:15" x14ac:dyDescent="0.3">
      <c r="A1005" s="2">
        <v>995</v>
      </c>
      <c r="B1005" s="1">
        <v>44968.416666666664</v>
      </c>
      <c r="C1005" s="1" t="str">
        <f t="shared" si="30"/>
        <v>02-2023</v>
      </c>
      <c r="D1005" s="2">
        <f t="shared" si="31"/>
        <v>6</v>
      </c>
      <c r="E1005" t="s">
        <v>17</v>
      </c>
      <c r="F1005" t="s">
        <v>14</v>
      </c>
      <c r="G1005" t="s">
        <v>19</v>
      </c>
      <c r="H1005" s="2">
        <v>54665</v>
      </c>
      <c r="I1005" s="2">
        <v>5</v>
      </c>
      <c r="J1005" s="2">
        <v>128542</v>
      </c>
      <c r="K1005" s="2">
        <v>61097</v>
      </c>
      <c r="L1005" s="2">
        <v>8</v>
      </c>
      <c r="M1005" t="str">
        <f>IF(Revv_bike_sales_data[[#This Row],[delivery_days]]&lt;=7, "Yes", "No")</f>
        <v>No</v>
      </c>
      <c r="N1005" t="s">
        <v>16</v>
      </c>
      <c r="O1005" s="2">
        <v>67445</v>
      </c>
    </row>
    <row r="1006" spans="1:15" x14ac:dyDescent="0.3">
      <c r="A1006" s="2">
        <v>996</v>
      </c>
      <c r="B1006" s="1">
        <v>44968.458333333336</v>
      </c>
      <c r="C1006" s="1" t="str">
        <f t="shared" si="30"/>
        <v>02-2023</v>
      </c>
      <c r="D1006" s="2">
        <f t="shared" si="31"/>
        <v>6</v>
      </c>
      <c r="E1006" t="s">
        <v>22</v>
      </c>
      <c r="F1006" t="s">
        <v>14</v>
      </c>
      <c r="G1006" t="s">
        <v>21</v>
      </c>
      <c r="H1006" s="2">
        <v>64190</v>
      </c>
      <c r="I1006" s="2">
        <v>0</v>
      </c>
      <c r="J1006" s="2">
        <v>118565</v>
      </c>
      <c r="K1006" s="2">
        <v>70773</v>
      </c>
      <c r="L1006" s="2">
        <v>5</v>
      </c>
      <c r="M1006" t="str">
        <f>IF(Revv_bike_sales_data[[#This Row],[delivery_days]]&lt;=7, "Yes", "No")</f>
        <v>Yes</v>
      </c>
      <c r="N1006" t="s">
        <v>16</v>
      </c>
      <c r="O1006" s="2">
        <v>47792</v>
      </c>
    </row>
    <row r="1007" spans="1:15" x14ac:dyDescent="0.3">
      <c r="A1007" s="2">
        <v>997</v>
      </c>
      <c r="B1007" s="1">
        <v>44968.5</v>
      </c>
      <c r="C1007" s="1" t="str">
        <f t="shared" si="30"/>
        <v>02-2023</v>
      </c>
      <c r="D1007" s="2">
        <f t="shared" si="31"/>
        <v>6</v>
      </c>
      <c r="E1007" t="s">
        <v>25</v>
      </c>
      <c r="F1007" t="s">
        <v>14</v>
      </c>
      <c r="G1007" t="s">
        <v>15</v>
      </c>
      <c r="H1007" s="2">
        <v>54164</v>
      </c>
      <c r="I1007" s="2">
        <v>9</v>
      </c>
      <c r="J1007" s="2">
        <v>175012</v>
      </c>
      <c r="K1007" s="2">
        <v>43639</v>
      </c>
      <c r="L1007" s="2">
        <v>13</v>
      </c>
      <c r="M1007" t="str">
        <f>IF(Revv_bike_sales_data[[#This Row],[delivery_days]]&lt;=7, "Yes", "No")</f>
        <v>No</v>
      </c>
      <c r="N1007" t="s">
        <v>24</v>
      </c>
      <c r="O1007" s="2">
        <v>131373</v>
      </c>
    </row>
    <row r="1008" spans="1:15" x14ac:dyDescent="0.3">
      <c r="A1008" s="2">
        <v>998</v>
      </c>
      <c r="B1008" s="1">
        <v>44968.541666666664</v>
      </c>
      <c r="C1008" s="1" t="str">
        <f t="shared" si="30"/>
        <v>02-2023</v>
      </c>
      <c r="D1008" s="2">
        <f t="shared" si="31"/>
        <v>6</v>
      </c>
      <c r="E1008" t="s">
        <v>25</v>
      </c>
      <c r="F1008" t="s">
        <v>14</v>
      </c>
      <c r="G1008" t="s">
        <v>19</v>
      </c>
      <c r="H1008" s="2">
        <v>82835</v>
      </c>
      <c r="I1008" s="2">
        <v>0</v>
      </c>
      <c r="J1008" s="2">
        <v>150019</v>
      </c>
      <c r="K1008" s="2">
        <v>29823</v>
      </c>
      <c r="L1008" s="2">
        <v>3</v>
      </c>
      <c r="M1008" t="str">
        <f>IF(Revv_bike_sales_data[[#This Row],[delivery_days]]&lt;=7, "Yes", "No")</f>
        <v>Yes</v>
      </c>
      <c r="N1008" t="s">
        <v>16</v>
      </c>
      <c r="O1008" s="2">
        <v>120196</v>
      </c>
    </row>
    <row r="1009" spans="1:15" x14ac:dyDescent="0.3">
      <c r="A1009" s="2">
        <v>999</v>
      </c>
      <c r="B1009" s="1">
        <v>44968.583333333336</v>
      </c>
      <c r="C1009" s="1" t="str">
        <f t="shared" si="30"/>
        <v>02-2023</v>
      </c>
      <c r="D1009" s="2">
        <f t="shared" si="31"/>
        <v>6</v>
      </c>
      <c r="E1009" t="s">
        <v>13</v>
      </c>
      <c r="F1009" t="s">
        <v>14</v>
      </c>
      <c r="G1009" t="s">
        <v>19</v>
      </c>
      <c r="H1009" s="2">
        <v>75699</v>
      </c>
      <c r="I1009" s="2">
        <v>5</v>
      </c>
      <c r="J1009" s="2">
        <v>161352</v>
      </c>
      <c r="K1009" s="2">
        <v>38510</v>
      </c>
      <c r="L1009" s="2">
        <v>4</v>
      </c>
      <c r="M1009" t="str">
        <f>IF(Revv_bike_sales_data[[#This Row],[delivery_days]]&lt;=7, "Yes", "No")</f>
        <v>Yes</v>
      </c>
      <c r="N1009" t="s">
        <v>16</v>
      </c>
      <c r="O1009" s="2">
        <v>122842</v>
      </c>
    </row>
    <row r="1010" spans="1:15" x14ac:dyDescent="0.3">
      <c r="A1010" s="2">
        <v>1000</v>
      </c>
      <c r="B1010" s="1">
        <v>44968.625</v>
      </c>
      <c r="C1010" s="1" t="str">
        <f t="shared" si="30"/>
        <v>02-2023</v>
      </c>
      <c r="D1010" s="2">
        <f t="shared" si="31"/>
        <v>6</v>
      </c>
      <c r="E1010" t="s">
        <v>18</v>
      </c>
      <c r="F1010" t="s">
        <v>14</v>
      </c>
      <c r="G1010" t="s">
        <v>19</v>
      </c>
      <c r="H1010" s="2">
        <v>37448</v>
      </c>
      <c r="I1010" s="2">
        <v>2</v>
      </c>
      <c r="J1010" s="2">
        <v>127548</v>
      </c>
      <c r="K1010" s="2">
        <v>53333</v>
      </c>
      <c r="L1010" s="2">
        <v>8</v>
      </c>
      <c r="M1010" t="str">
        <f>IF(Revv_bike_sales_data[[#This Row],[delivery_days]]&lt;=7, "Yes", "No")</f>
        <v>No</v>
      </c>
      <c r="N1010" t="s">
        <v>16</v>
      </c>
      <c r="O1010" s="2">
        <v>74215</v>
      </c>
    </row>
    <row r="1011" spans="1:15" x14ac:dyDescent="0.3">
      <c r="A1011" s="2">
        <v>1001</v>
      </c>
      <c r="B1011" s="1">
        <v>44968.666666666664</v>
      </c>
      <c r="C1011" s="1" t="str">
        <f t="shared" si="30"/>
        <v>02-2023</v>
      </c>
      <c r="D1011" s="2">
        <f t="shared" si="31"/>
        <v>6</v>
      </c>
      <c r="E1011" t="s">
        <v>13</v>
      </c>
      <c r="F1011" t="s">
        <v>14</v>
      </c>
      <c r="G1011" t="s">
        <v>21</v>
      </c>
      <c r="H1011" s="2">
        <v>37530</v>
      </c>
      <c r="I1011" s="2">
        <v>2</v>
      </c>
      <c r="J1011" s="2">
        <v>158236</v>
      </c>
      <c r="K1011" s="2">
        <v>19435</v>
      </c>
      <c r="L1011" s="2">
        <v>6</v>
      </c>
      <c r="M1011" t="str">
        <f>IF(Revv_bike_sales_data[[#This Row],[delivery_days]]&lt;=7, "Yes", "No")</f>
        <v>Yes</v>
      </c>
      <c r="N1011" t="s">
        <v>24</v>
      </c>
      <c r="O1011" s="2">
        <v>138801</v>
      </c>
    </row>
    <row r="1012" spans="1:15" x14ac:dyDescent="0.3">
      <c r="A1012" s="2">
        <v>1002</v>
      </c>
      <c r="B1012" s="1">
        <v>44968.708333333336</v>
      </c>
      <c r="C1012" s="1" t="str">
        <f t="shared" si="30"/>
        <v>02-2023</v>
      </c>
      <c r="D1012" s="2">
        <f t="shared" si="31"/>
        <v>6</v>
      </c>
      <c r="E1012" t="s">
        <v>13</v>
      </c>
      <c r="F1012" t="s">
        <v>14</v>
      </c>
      <c r="G1012" t="s">
        <v>19</v>
      </c>
      <c r="H1012" s="2">
        <v>27507</v>
      </c>
      <c r="I1012" s="2">
        <v>5</v>
      </c>
      <c r="J1012" s="2">
        <v>146289</v>
      </c>
      <c r="K1012" s="2">
        <v>53418</v>
      </c>
      <c r="L1012" s="2">
        <v>13</v>
      </c>
      <c r="M1012" t="str">
        <f>IF(Revv_bike_sales_data[[#This Row],[delivery_days]]&lt;=7, "Yes", "No")</f>
        <v>No</v>
      </c>
      <c r="N1012" t="s">
        <v>16</v>
      </c>
      <c r="O1012" s="2">
        <v>92871</v>
      </c>
    </row>
    <row r="1013" spans="1:15" x14ac:dyDescent="0.3">
      <c r="A1013" s="2">
        <v>1003</v>
      </c>
      <c r="B1013" s="1">
        <v>44968.75</v>
      </c>
      <c r="C1013" s="1" t="str">
        <f t="shared" si="30"/>
        <v>02-2023</v>
      </c>
      <c r="D1013" s="2">
        <f t="shared" si="31"/>
        <v>6</v>
      </c>
      <c r="E1013" t="s">
        <v>13</v>
      </c>
      <c r="F1013" t="s">
        <v>14</v>
      </c>
      <c r="G1013" t="s">
        <v>21</v>
      </c>
      <c r="H1013" s="2">
        <v>91707</v>
      </c>
      <c r="I1013" s="2">
        <v>2</v>
      </c>
      <c r="J1013" s="2">
        <v>154068</v>
      </c>
      <c r="K1013" s="2">
        <v>72955</v>
      </c>
      <c r="L1013" s="2">
        <v>13</v>
      </c>
      <c r="M1013" t="str">
        <f>IF(Revv_bike_sales_data[[#This Row],[delivery_days]]&lt;=7, "Yes", "No")</f>
        <v>No</v>
      </c>
      <c r="N1013" t="s">
        <v>16</v>
      </c>
      <c r="O1013" s="2">
        <v>81113</v>
      </c>
    </row>
    <row r="1014" spans="1:15" x14ac:dyDescent="0.3">
      <c r="A1014" s="2">
        <v>1004</v>
      </c>
      <c r="B1014" s="1">
        <v>44968.791666666664</v>
      </c>
      <c r="C1014" s="1" t="str">
        <f t="shared" si="30"/>
        <v>02-2023</v>
      </c>
      <c r="D1014" s="2">
        <f t="shared" si="31"/>
        <v>6</v>
      </c>
      <c r="E1014" t="s">
        <v>13</v>
      </c>
      <c r="F1014" t="s">
        <v>14</v>
      </c>
      <c r="G1014" t="s">
        <v>20</v>
      </c>
      <c r="H1014" s="2">
        <v>91421</v>
      </c>
      <c r="I1014" s="2">
        <v>9</v>
      </c>
      <c r="J1014" s="2">
        <v>104624</v>
      </c>
      <c r="K1014" s="2">
        <v>74507</v>
      </c>
      <c r="L1014" s="2">
        <v>5</v>
      </c>
      <c r="M1014" t="str">
        <f>IF(Revv_bike_sales_data[[#This Row],[delivery_days]]&lt;=7, "Yes", "No")</f>
        <v>Yes</v>
      </c>
      <c r="N1014" t="s">
        <v>24</v>
      </c>
      <c r="O1014" s="2">
        <v>30117</v>
      </c>
    </row>
    <row r="1015" spans="1:15" x14ac:dyDescent="0.3">
      <c r="A1015" s="2">
        <v>1005</v>
      </c>
      <c r="B1015" s="1">
        <v>44968.833333333336</v>
      </c>
      <c r="C1015" s="1" t="str">
        <f t="shared" si="30"/>
        <v>02-2023</v>
      </c>
      <c r="D1015" s="2">
        <f t="shared" si="31"/>
        <v>6</v>
      </c>
      <c r="E1015" t="s">
        <v>17</v>
      </c>
      <c r="F1015" t="s">
        <v>14</v>
      </c>
      <c r="G1015" t="s">
        <v>19</v>
      </c>
      <c r="H1015" s="2">
        <v>77272</v>
      </c>
      <c r="I1015" s="2">
        <v>5</v>
      </c>
      <c r="J1015" s="2">
        <v>174477</v>
      </c>
      <c r="K1015" s="2">
        <v>66033</v>
      </c>
      <c r="L1015" s="2">
        <v>13</v>
      </c>
      <c r="M1015" t="str">
        <f>IF(Revv_bike_sales_data[[#This Row],[delivery_days]]&lt;=7, "Yes", "No")</f>
        <v>No</v>
      </c>
      <c r="N1015" t="s">
        <v>24</v>
      </c>
      <c r="O1015" s="2">
        <v>108444</v>
      </c>
    </row>
    <row r="1016" spans="1:15" x14ac:dyDescent="0.3">
      <c r="A1016" s="2">
        <v>1006</v>
      </c>
      <c r="B1016" s="1">
        <v>44968.875</v>
      </c>
      <c r="C1016" s="1" t="str">
        <f t="shared" si="30"/>
        <v>02-2023</v>
      </c>
      <c r="D1016" s="2">
        <f t="shared" si="31"/>
        <v>6</v>
      </c>
      <c r="E1016" t="s">
        <v>17</v>
      </c>
      <c r="F1016" t="s">
        <v>14</v>
      </c>
      <c r="G1016" t="s">
        <v>15</v>
      </c>
      <c r="H1016" s="2">
        <v>22524</v>
      </c>
      <c r="I1016" s="2">
        <v>4</v>
      </c>
      <c r="J1016" s="2">
        <v>27821</v>
      </c>
      <c r="K1016" s="2">
        <v>101089</v>
      </c>
      <c r="L1016" s="2">
        <v>9</v>
      </c>
      <c r="M1016" t="str">
        <f>IF(Revv_bike_sales_data[[#This Row],[delivery_days]]&lt;=7, "Yes", "No")</f>
        <v>No</v>
      </c>
      <c r="N1016" t="s">
        <v>16</v>
      </c>
      <c r="O1016" s="2">
        <v>-73268</v>
      </c>
    </row>
    <row r="1017" spans="1:15" x14ac:dyDescent="0.3">
      <c r="A1017" s="2">
        <v>1007</v>
      </c>
      <c r="B1017" s="1">
        <v>44968.916666666664</v>
      </c>
      <c r="C1017" s="1" t="str">
        <f t="shared" si="30"/>
        <v>02-2023</v>
      </c>
      <c r="D1017" s="2">
        <f t="shared" si="31"/>
        <v>6</v>
      </c>
      <c r="E1017" t="s">
        <v>22</v>
      </c>
      <c r="F1017" t="s">
        <v>14</v>
      </c>
      <c r="G1017" t="s">
        <v>19</v>
      </c>
      <c r="H1017" s="2">
        <v>39884</v>
      </c>
      <c r="I1017" s="2">
        <v>3</v>
      </c>
      <c r="J1017" s="2">
        <v>80090</v>
      </c>
      <c r="K1017" s="2">
        <v>133551</v>
      </c>
      <c r="L1017" s="2">
        <v>10</v>
      </c>
      <c r="M1017" t="str">
        <f>IF(Revv_bike_sales_data[[#This Row],[delivery_days]]&lt;=7, "Yes", "No")</f>
        <v>No</v>
      </c>
      <c r="N1017" t="s">
        <v>16</v>
      </c>
      <c r="O1017" s="2">
        <v>-53461</v>
      </c>
    </row>
    <row r="1018" spans="1:15" x14ac:dyDescent="0.3">
      <c r="A1018" s="2">
        <v>1008</v>
      </c>
      <c r="B1018" s="1">
        <v>44968.958333333336</v>
      </c>
      <c r="C1018" s="1" t="str">
        <f t="shared" si="30"/>
        <v>02-2023</v>
      </c>
      <c r="D1018" s="2">
        <f t="shared" si="31"/>
        <v>6</v>
      </c>
      <c r="E1018" t="s">
        <v>25</v>
      </c>
      <c r="F1018" t="s">
        <v>14</v>
      </c>
      <c r="G1018" t="s">
        <v>20</v>
      </c>
      <c r="H1018" s="2">
        <v>83412</v>
      </c>
      <c r="I1018" s="2">
        <v>7</v>
      </c>
      <c r="J1018" s="2">
        <v>178588</v>
      </c>
      <c r="K1018" s="2">
        <v>87972</v>
      </c>
      <c r="L1018" s="2">
        <v>3</v>
      </c>
      <c r="M1018" t="str">
        <f>IF(Revv_bike_sales_data[[#This Row],[delivery_days]]&lt;=7, "Yes", "No")</f>
        <v>Yes</v>
      </c>
      <c r="N1018" t="s">
        <v>16</v>
      </c>
      <c r="O1018" s="2">
        <v>90616</v>
      </c>
    </row>
    <row r="1019" spans="1:15" x14ac:dyDescent="0.3">
      <c r="A1019" s="2">
        <v>1009</v>
      </c>
      <c r="B1019" s="1">
        <v>44969</v>
      </c>
      <c r="C1019" s="1" t="str">
        <f t="shared" si="30"/>
        <v>02-2023</v>
      </c>
      <c r="D1019" s="2">
        <f t="shared" si="31"/>
        <v>7</v>
      </c>
      <c r="E1019" t="s">
        <v>13</v>
      </c>
      <c r="F1019" t="s">
        <v>14</v>
      </c>
      <c r="G1019" t="s">
        <v>20</v>
      </c>
      <c r="H1019" s="2">
        <v>18657</v>
      </c>
      <c r="I1019" s="2">
        <v>1</v>
      </c>
      <c r="J1019" s="2">
        <v>166545</v>
      </c>
      <c r="K1019" s="2">
        <v>117012</v>
      </c>
      <c r="L1019" s="2">
        <v>7</v>
      </c>
      <c r="M1019" t="str">
        <f>IF(Revv_bike_sales_data[[#This Row],[delivery_days]]&lt;=7, "Yes", "No")</f>
        <v>Yes</v>
      </c>
      <c r="N1019" t="s">
        <v>16</v>
      </c>
      <c r="O1019" s="2">
        <v>49533</v>
      </c>
    </row>
    <row r="1020" spans="1:15" x14ac:dyDescent="0.3">
      <c r="A1020" s="2">
        <v>1010</v>
      </c>
      <c r="B1020" s="1">
        <v>44969.041666666664</v>
      </c>
      <c r="C1020" s="1" t="str">
        <f t="shared" si="30"/>
        <v>02-2023</v>
      </c>
      <c r="D1020" s="2">
        <f t="shared" si="31"/>
        <v>7</v>
      </c>
      <c r="E1020" t="s">
        <v>22</v>
      </c>
      <c r="F1020" t="s">
        <v>14</v>
      </c>
      <c r="G1020" t="s">
        <v>19</v>
      </c>
      <c r="H1020" s="2">
        <v>85981</v>
      </c>
      <c r="I1020" s="2">
        <v>6</v>
      </c>
      <c r="J1020" s="2">
        <v>71454</v>
      </c>
      <c r="K1020" s="2">
        <v>62219</v>
      </c>
      <c r="L1020" s="2">
        <v>9</v>
      </c>
      <c r="M1020" t="str">
        <f>IF(Revv_bike_sales_data[[#This Row],[delivery_days]]&lt;=7, "Yes", "No")</f>
        <v>No</v>
      </c>
      <c r="N1020" t="s">
        <v>24</v>
      </c>
      <c r="O1020" s="2">
        <v>9235</v>
      </c>
    </row>
    <row r="1021" spans="1:15" x14ac:dyDescent="0.3">
      <c r="A1021" s="2">
        <v>1011</v>
      </c>
      <c r="B1021" s="1">
        <v>44969.083333333336</v>
      </c>
      <c r="C1021" s="1" t="str">
        <f t="shared" si="30"/>
        <v>02-2023</v>
      </c>
      <c r="D1021" s="2">
        <f t="shared" si="31"/>
        <v>7</v>
      </c>
      <c r="E1021" t="s">
        <v>25</v>
      </c>
      <c r="F1021" t="s">
        <v>14</v>
      </c>
      <c r="G1021" t="s">
        <v>20</v>
      </c>
      <c r="H1021" s="2">
        <v>89053</v>
      </c>
      <c r="I1021" s="2">
        <v>3</v>
      </c>
      <c r="J1021" s="2">
        <v>129273</v>
      </c>
      <c r="K1021" s="2">
        <v>49477</v>
      </c>
      <c r="L1021" s="2">
        <v>11</v>
      </c>
      <c r="M1021" t="str">
        <f>IF(Revv_bike_sales_data[[#This Row],[delivery_days]]&lt;=7, "Yes", "No")</f>
        <v>No</v>
      </c>
      <c r="N1021" t="s">
        <v>16</v>
      </c>
      <c r="O1021" s="2">
        <v>79796</v>
      </c>
    </row>
    <row r="1022" spans="1:15" x14ac:dyDescent="0.3">
      <c r="A1022" s="2">
        <v>1012</v>
      </c>
      <c r="B1022" s="1">
        <v>44969.125</v>
      </c>
      <c r="C1022" s="1" t="str">
        <f t="shared" si="30"/>
        <v>02-2023</v>
      </c>
      <c r="D1022" s="2">
        <f t="shared" si="31"/>
        <v>7</v>
      </c>
      <c r="E1022" t="s">
        <v>18</v>
      </c>
      <c r="F1022" t="s">
        <v>23</v>
      </c>
      <c r="G1022" t="s">
        <v>21</v>
      </c>
      <c r="H1022" s="2">
        <v>2256</v>
      </c>
      <c r="I1022" s="2">
        <v>1</v>
      </c>
      <c r="J1022" s="2">
        <v>129472</v>
      </c>
      <c r="K1022" s="2">
        <v>104780</v>
      </c>
      <c r="L1022" s="2">
        <v>13</v>
      </c>
      <c r="M1022" t="str">
        <f>IF(Revv_bike_sales_data[[#This Row],[delivery_days]]&lt;=7, "Yes", "No")</f>
        <v>No</v>
      </c>
      <c r="N1022" t="s">
        <v>16</v>
      </c>
      <c r="O1022" s="2">
        <v>24692</v>
      </c>
    </row>
    <row r="1023" spans="1:15" x14ac:dyDescent="0.3">
      <c r="A1023" s="2">
        <v>1013</v>
      </c>
      <c r="B1023" s="1">
        <v>44969.166666666664</v>
      </c>
      <c r="C1023" s="1" t="str">
        <f t="shared" si="30"/>
        <v>02-2023</v>
      </c>
      <c r="D1023" s="2">
        <f t="shared" si="31"/>
        <v>7</v>
      </c>
      <c r="E1023" t="s">
        <v>17</v>
      </c>
      <c r="F1023" t="s">
        <v>14</v>
      </c>
      <c r="G1023" t="s">
        <v>21</v>
      </c>
      <c r="H1023" s="2">
        <v>68612</v>
      </c>
      <c r="I1023" s="2">
        <v>6</v>
      </c>
      <c r="J1023" s="2">
        <v>156935</v>
      </c>
      <c r="K1023" s="2">
        <v>57721</v>
      </c>
      <c r="L1023" s="2">
        <v>11</v>
      </c>
      <c r="M1023" t="str">
        <f>IF(Revv_bike_sales_data[[#This Row],[delivery_days]]&lt;=7, "Yes", "No")</f>
        <v>No</v>
      </c>
      <c r="N1023" t="s">
        <v>24</v>
      </c>
      <c r="O1023" s="2">
        <v>99214</v>
      </c>
    </row>
    <row r="1024" spans="1:15" x14ac:dyDescent="0.3">
      <c r="A1024" s="2">
        <v>1014</v>
      </c>
      <c r="B1024" s="1">
        <v>44969.208333333336</v>
      </c>
      <c r="C1024" s="1" t="str">
        <f t="shared" si="30"/>
        <v>02-2023</v>
      </c>
      <c r="D1024" s="2">
        <f t="shared" si="31"/>
        <v>7</v>
      </c>
      <c r="E1024" t="s">
        <v>25</v>
      </c>
      <c r="F1024" t="s">
        <v>14</v>
      </c>
      <c r="G1024" t="s">
        <v>19</v>
      </c>
      <c r="H1024" s="2">
        <v>91503</v>
      </c>
      <c r="I1024" s="2">
        <v>0</v>
      </c>
      <c r="J1024" s="2">
        <v>41148</v>
      </c>
      <c r="K1024" s="2">
        <v>82228</v>
      </c>
      <c r="L1024" s="2">
        <v>12</v>
      </c>
      <c r="M1024" t="str">
        <f>IF(Revv_bike_sales_data[[#This Row],[delivery_days]]&lt;=7, "Yes", "No")</f>
        <v>No</v>
      </c>
      <c r="N1024" t="s">
        <v>16</v>
      </c>
      <c r="O1024" s="2">
        <v>-41080</v>
      </c>
    </row>
    <row r="1025" spans="1:15" x14ac:dyDescent="0.3">
      <c r="A1025" s="2">
        <v>1015</v>
      </c>
      <c r="B1025" s="1">
        <v>44969.25</v>
      </c>
      <c r="C1025" s="1" t="str">
        <f t="shared" si="30"/>
        <v>02-2023</v>
      </c>
      <c r="D1025" s="2">
        <f t="shared" si="31"/>
        <v>7</v>
      </c>
      <c r="E1025" t="s">
        <v>18</v>
      </c>
      <c r="F1025" t="s">
        <v>14</v>
      </c>
      <c r="G1025" t="s">
        <v>21</v>
      </c>
      <c r="H1025" s="2">
        <v>97241</v>
      </c>
      <c r="I1025" s="2">
        <v>3</v>
      </c>
      <c r="J1025" s="2">
        <v>111545</v>
      </c>
      <c r="K1025" s="2">
        <v>30523</v>
      </c>
      <c r="L1025" s="2">
        <v>4</v>
      </c>
      <c r="M1025" t="str">
        <f>IF(Revv_bike_sales_data[[#This Row],[delivery_days]]&lt;=7, "Yes", "No")</f>
        <v>Yes</v>
      </c>
      <c r="N1025" t="s">
        <v>16</v>
      </c>
      <c r="O1025" s="2">
        <v>81022</v>
      </c>
    </row>
    <row r="1026" spans="1:15" x14ac:dyDescent="0.3">
      <c r="A1026" s="2">
        <v>1016</v>
      </c>
      <c r="B1026" s="1">
        <v>44969.291666666664</v>
      </c>
      <c r="C1026" s="1" t="str">
        <f t="shared" si="30"/>
        <v>02-2023</v>
      </c>
      <c r="D1026" s="2">
        <f t="shared" si="31"/>
        <v>7</v>
      </c>
      <c r="E1026" t="s">
        <v>25</v>
      </c>
      <c r="F1026" t="s">
        <v>14</v>
      </c>
      <c r="G1026" t="s">
        <v>21</v>
      </c>
      <c r="H1026" s="2">
        <v>58551</v>
      </c>
      <c r="I1026" s="2">
        <v>8</v>
      </c>
      <c r="J1026" s="2">
        <v>79459</v>
      </c>
      <c r="K1026" s="2">
        <v>47326</v>
      </c>
      <c r="L1026" s="2">
        <v>10</v>
      </c>
      <c r="M1026" t="str">
        <f>IF(Revv_bike_sales_data[[#This Row],[delivery_days]]&lt;=7, "Yes", "No")</f>
        <v>No</v>
      </c>
      <c r="N1026" t="s">
        <v>16</v>
      </c>
      <c r="O1026" s="2">
        <v>32133</v>
      </c>
    </row>
    <row r="1027" spans="1:15" x14ac:dyDescent="0.3">
      <c r="A1027" s="2">
        <v>1017</v>
      </c>
      <c r="B1027" s="1">
        <v>44969.333333333336</v>
      </c>
      <c r="C1027" s="1" t="str">
        <f t="shared" si="30"/>
        <v>02-2023</v>
      </c>
      <c r="D1027" s="2">
        <f t="shared" si="31"/>
        <v>7</v>
      </c>
      <c r="E1027" t="s">
        <v>17</v>
      </c>
      <c r="F1027" t="s">
        <v>14</v>
      </c>
      <c r="G1027" t="s">
        <v>15</v>
      </c>
      <c r="H1027" s="2">
        <v>65095</v>
      </c>
      <c r="I1027" s="2">
        <v>3</v>
      </c>
      <c r="J1027" s="2">
        <v>109224</v>
      </c>
      <c r="K1027" s="2">
        <v>127626</v>
      </c>
      <c r="L1027" s="2">
        <v>10</v>
      </c>
      <c r="M1027" t="str">
        <f>IF(Revv_bike_sales_data[[#This Row],[delivery_days]]&lt;=7, "Yes", "No")</f>
        <v>No</v>
      </c>
      <c r="N1027" t="s">
        <v>16</v>
      </c>
      <c r="O1027" s="2">
        <v>-18402</v>
      </c>
    </row>
    <row r="1028" spans="1:15" x14ac:dyDescent="0.3">
      <c r="A1028" s="2">
        <v>1018</v>
      </c>
      <c r="B1028" s="1">
        <v>44969.375</v>
      </c>
      <c r="C1028" s="1" t="str">
        <f t="shared" si="30"/>
        <v>02-2023</v>
      </c>
      <c r="D1028" s="2">
        <f t="shared" si="31"/>
        <v>7</v>
      </c>
      <c r="E1028" t="s">
        <v>17</v>
      </c>
      <c r="F1028" t="s">
        <v>23</v>
      </c>
      <c r="G1028" t="s">
        <v>19</v>
      </c>
      <c r="H1028" s="2">
        <v>78710</v>
      </c>
      <c r="I1028" s="2">
        <v>2</v>
      </c>
      <c r="J1028" s="2">
        <v>91189</v>
      </c>
      <c r="K1028" s="2">
        <v>57205</v>
      </c>
      <c r="L1028" s="2">
        <v>3</v>
      </c>
      <c r="M1028" t="str">
        <f>IF(Revv_bike_sales_data[[#This Row],[delivery_days]]&lt;=7, "Yes", "No")</f>
        <v>Yes</v>
      </c>
      <c r="N1028" t="s">
        <v>24</v>
      </c>
      <c r="O1028" s="2">
        <v>33984</v>
      </c>
    </row>
    <row r="1029" spans="1:15" x14ac:dyDescent="0.3">
      <c r="A1029" s="2">
        <v>1019</v>
      </c>
      <c r="B1029" s="1">
        <v>44969.416666666664</v>
      </c>
      <c r="C1029" s="1" t="str">
        <f t="shared" si="30"/>
        <v>02-2023</v>
      </c>
      <c r="D1029" s="2">
        <f t="shared" si="31"/>
        <v>7</v>
      </c>
      <c r="E1029" t="s">
        <v>22</v>
      </c>
      <c r="F1029" t="s">
        <v>23</v>
      </c>
      <c r="G1029" t="s">
        <v>20</v>
      </c>
      <c r="H1029" s="2">
        <v>43594</v>
      </c>
      <c r="I1029" s="2">
        <v>9</v>
      </c>
      <c r="J1029" s="2">
        <v>164201</v>
      </c>
      <c r="K1029" s="2">
        <v>15125</v>
      </c>
      <c r="L1029" s="2">
        <v>1</v>
      </c>
      <c r="M1029" t="str">
        <f>IF(Revv_bike_sales_data[[#This Row],[delivery_days]]&lt;=7, "Yes", "No")</f>
        <v>Yes</v>
      </c>
      <c r="N1029" t="s">
        <v>16</v>
      </c>
      <c r="O1029" s="2">
        <v>149076</v>
      </c>
    </row>
    <row r="1030" spans="1:15" x14ac:dyDescent="0.3">
      <c r="A1030" s="2">
        <v>1020</v>
      </c>
      <c r="B1030" s="1">
        <v>44969.458333333336</v>
      </c>
      <c r="C1030" s="1" t="str">
        <f t="shared" si="30"/>
        <v>02-2023</v>
      </c>
      <c r="D1030" s="2">
        <f t="shared" si="31"/>
        <v>7</v>
      </c>
      <c r="E1030" t="s">
        <v>13</v>
      </c>
      <c r="F1030" t="s">
        <v>14</v>
      </c>
      <c r="G1030" t="s">
        <v>19</v>
      </c>
      <c r="H1030" s="2">
        <v>88389</v>
      </c>
      <c r="I1030" s="2">
        <v>9</v>
      </c>
      <c r="J1030" s="2">
        <v>116954</v>
      </c>
      <c r="K1030" s="2">
        <v>126248</v>
      </c>
      <c r="L1030" s="2">
        <v>9</v>
      </c>
      <c r="M1030" t="str">
        <f>IF(Revv_bike_sales_data[[#This Row],[delivery_days]]&lt;=7, "Yes", "No")</f>
        <v>No</v>
      </c>
      <c r="N1030" t="s">
        <v>16</v>
      </c>
      <c r="O1030" s="2">
        <v>-9294</v>
      </c>
    </row>
    <row r="1031" spans="1:15" x14ac:dyDescent="0.3">
      <c r="A1031" s="2">
        <v>1021</v>
      </c>
      <c r="B1031" s="1">
        <v>44969.5</v>
      </c>
      <c r="C1031" s="1" t="str">
        <f t="shared" si="30"/>
        <v>02-2023</v>
      </c>
      <c r="D1031" s="2">
        <f t="shared" si="31"/>
        <v>7</v>
      </c>
      <c r="E1031" t="s">
        <v>25</v>
      </c>
      <c r="F1031" t="s">
        <v>23</v>
      </c>
      <c r="G1031" t="s">
        <v>21</v>
      </c>
      <c r="H1031" s="2">
        <v>95885</v>
      </c>
      <c r="I1031" s="2">
        <v>1</v>
      </c>
      <c r="J1031" s="2">
        <v>48118</v>
      </c>
      <c r="K1031" s="2">
        <v>81735</v>
      </c>
      <c r="L1031" s="2">
        <v>13</v>
      </c>
      <c r="M1031" t="str">
        <f>IF(Revv_bike_sales_data[[#This Row],[delivery_days]]&lt;=7, "Yes", "No")</f>
        <v>No</v>
      </c>
      <c r="N1031" t="s">
        <v>24</v>
      </c>
      <c r="O1031" s="2">
        <v>-33617</v>
      </c>
    </row>
    <row r="1032" spans="1:15" x14ac:dyDescent="0.3">
      <c r="A1032" s="2">
        <v>1022</v>
      </c>
      <c r="B1032" s="1">
        <v>44969.541666666664</v>
      </c>
      <c r="C1032" s="1" t="str">
        <f t="shared" si="30"/>
        <v>02-2023</v>
      </c>
      <c r="D1032" s="2">
        <f t="shared" si="31"/>
        <v>7</v>
      </c>
      <c r="E1032" t="s">
        <v>25</v>
      </c>
      <c r="F1032" t="s">
        <v>23</v>
      </c>
      <c r="G1032" t="s">
        <v>15</v>
      </c>
      <c r="H1032" s="2">
        <v>5035</v>
      </c>
      <c r="I1032" s="2">
        <v>2</v>
      </c>
      <c r="J1032" s="2">
        <v>156515</v>
      </c>
      <c r="K1032" s="2">
        <v>119396</v>
      </c>
      <c r="L1032" s="2">
        <v>1</v>
      </c>
      <c r="M1032" t="str">
        <f>IF(Revv_bike_sales_data[[#This Row],[delivery_days]]&lt;=7, "Yes", "No")</f>
        <v>Yes</v>
      </c>
      <c r="N1032" t="s">
        <v>24</v>
      </c>
      <c r="O1032" s="2">
        <v>37119</v>
      </c>
    </row>
    <row r="1033" spans="1:15" x14ac:dyDescent="0.3">
      <c r="A1033" s="2">
        <v>1023</v>
      </c>
      <c r="B1033" s="1">
        <v>44969.583333333336</v>
      </c>
      <c r="C1033" s="1" t="str">
        <f t="shared" si="30"/>
        <v>02-2023</v>
      </c>
      <c r="D1033" s="2">
        <f t="shared" si="31"/>
        <v>7</v>
      </c>
      <c r="E1033" t="s">
        <v>18</v>
      </c>
      <c r="F1033" t="s">
        <v>14</v>
      </c>
      <c r="G1033" t="s">
        <v>19</v>
      </c>
      <c r="H1033" s="2">
        <v>56535</v>
      </c>
      <c r="I1033" s="2">
        <v>0</v>
      </c>
      <c r="J1033" s="2">
        <v>114379</v>
      </c>
      <c r="K1033" s="2">
        <v>31375</v>
      </c>
      <c r="L1033" s="2">
        <v>2</v>
      </c>
      <c r="M1033" t="str">
        <f>IF(Revv_bike_sales_data[[#This Row],[delivery_days]]&lt;=7, "Yes", "No")</f>
        <v>Yes</v>
      </c>
      <c r="N1033" t="s">
        <v>16</v>
      </c>
      <c r="O1033" s="2">
        <v>83004</v>
      </c>
    </row>
    <row r="1034" spans="1:15" x14ac:dyDescent="0.3">
      <c r="A1034" s="2">
        <v>1024</v>
      </c>
      <c r="B1034" s="1">
        <v>44969.625</v>
      </c>
      <c r="C1034" s="1" t="str">
        <f t="shared" si="30"/>
        <v>02-2023</v>
      </c>
      <c r="D1034" s="2">
        <f t="shared" si="31"/>
        <v>7</v>
      </c>
      <c r="E1034" t="s">
        <v>17</v>
      </c>
      <c r="F1034" t="s">
        <v>14</v>
      </c>
      <c r="G1034" t="s">
        <v>19</v>
      </c>
      <c r="H1034" s="2">
        <v>47867</v>
      </c>
      <c r="I1034" s="2">
        <v>9</v>
      </c>
      <c r="J1034" s="2">
        <v>46053</v>
      </c>
      <c r="K1034" s="2">
        <v>17711</v>
      </c>
      <c r="L1034" s="2">
        <v>9</v>
      </c>
      <c r="M1034" t="str">
        <f>IF(Revv_bike_sales_data[[#This Row],[delivery_days]]&lt;=7, "Yes", "No")</f>
        <v>No</v>
      </c>
      <c r="N1034" t="s">
        <v>16</v>
      </c>
      <c r="O1034" s="2">
        <v>28342</v>
      </c>
    </row>
    <row r="1035" spans="1:15" x14ac:dyDescent="0.3">
      <c r="A1035" s="2">
        <v>1025</v>
      </c>
      <c r="B1035" s="1">
        <v>44969.666666666664</v>
      </c>
      <c r="C1035" s="1" t="str">
        <f t="shared" ref="C1035:C1098" si="32">TEXT(B1035,"mm-yyyy")</f>
        <v>02-2023</v>
      </c>
      <c r="D1035" s="2">
        <f t="shared" ref="D1035:D1098" si="33">WEEKNUM(B1035)</f>
        <v>7</v>
      </c>
      <c r="E1035" t="s">
        <v>25</v>
      </c>
      <c r="F1035" t="s">
        <v>14</v>
      </c>
      <c r="G1035" t="s">
        <v>21</v>
      </c>
      <c r="H1035" s="2">
        <v>17618</v>
      </c>
      <c r="I1035" s="2">
        <v>7</v>
      </c>
      <c r="J1035" s="2">
        <v>121384</v>
      </c>
      <c r="K1035" s="2">
        <v>47437</v>
      </c>
      <c r="L1035" s="2">
        <v>5</v>
      </c>
      <c r="M1035" t="str">
        <f>IF(Revv_bike_sales_data[[#This Row],[delivery_days]]&lt;=7, "Yes", "No")</f>
        <v>Yes</v>
      </c>
      <c r="N1035" t="s">
        <v>16</v>
      </c>
      <c r="O1035" s="2">
        <v>73947</v>
      </c>
    </row>
    <row r="1036" spans="1:15" x14ac:dyDescent="0.3">
      <c r="A1036" s="2">
        <v>1026</v>
      </c>
      <c r="B1036" s="1">
        <v>44969.708333333336</v>
      </c>
      <c r="C1036" s="1" t="str">
        <f t="shared" si="32"/>
        <v>02-2023</v>
      </c>
      <c r="D1036" s="2">
        <f t="shared" si="33"/>
        <v>7</v>
      </c>
      <c r="E1036" t="s">
        <v>17</v>
      </c>
      <c r="F1036" t="s">
        <v>14</v>
      </c>
      <c r="G1036" t="s">
        <v>21</v>
      </c>
      <c r="H1036" s="2">
        <v>60312</v>
      </c>
      <c r="I1036" s="2">
        <v>0</v>
      </c>
      <c r="J1036" s="2">
        <v>142545</v>
      </c>
      <c r="K1036" s="2">
        <v>43022</v>
      </c>
      <c r="L1036" s="2">
        <v>4</v>
      </c>
      <c r="M1036" t="str">
        <f>IF(Revv_bike_sales_data[[#This Row],[delivery_days]]&lt;=7, "Yes", "No")</f>
        <v>Yes</v>
      </c>
      <c r="N1036" t="s">
        <v>16</v>
      </c>
      <c r="O1036" s="2">
        <v>99523</v>
      </c>
    </row>
    <row r="1037" spans="1:15" x14ac:dyDescent="0.3">
      <c r="A1037" s="2">
        <v>1027</v>
      </c>
      <c r="B1037" s="1">
        <v>44969.75</v>
      </c>
      <c r="C1037" s="1" t="str">
        <f t="shared" si="32"/>
        <v>02-2023</v>
      </c>
      <c r="D1037" s="2">
        <f t="shared" si="33"/>
        <v>7</v>
      </c>
      <c r="E1037" t="s">
        <v>25</v>
      </c>
      <c r="F1037" t="s">
        <v>14</v>
      </c>
      <c r="G1037" t="s">
        <v>19</v>
      </c>
      <c r="H1037" s="2">
        <v>60384</v>
      </c>
      <c r="I1037" s="2">
        <v>2</v>
      </c>
      <c r="J1037" s="2">
        <v>151675</v>
      </c>
      <c r="K1037" s="2">
        <v>24182</v>
      </c>
      <c r="L1037" s="2">
        <v>9</v>
      </c>
      <c r="M1037" t="str">
        <f>IF(Revv_bike_sales_data[[#This Row],[delivery_days]]&lt;=7, "Yes", "No")</f>
        <v>No</v>
      </c>
      <c r="N1037" t="s">
        <v>16</v>
      </c>
      <c r="O1037" s="2">
        <v>127493</v>
      </c>
    </row>
    <row r="1038" spans="1:15" x14ac:dyDescent="0.3">
      <c r="A1038" s="2">
        <v>1028</v>
      </c>
      <c r="B1038" s="1">
        <v>44969.791666666664</v>
      </c>
      <c r="C1038" s="1" t="str">
        <f t="shared" si="32"/>
        <v>02-2023</v>
      </c>
      <c r="D1038" s="2">
        <f t="shared" si="33"/>
        <v>7</v>
      </c>
      <c r="E1038" t="s">
        <v>22</v>
      </c>
      <c r="F1038" t="s">
        <v>14</v>
      </c>
      <c r="G1038" t="s">
        <v>21</v>
      </c>
      <c r="H1038" s="2">
        <v>66668</v>
      </c>
      <c r="I1038" s="2">
        <v>2</v>
      </c>
      <c r="J1038" s="2">
        <v>118749</v>
      </c>
      <c r="K1038" s="2">
        <v>108177</v>
      </c>
      <c r="L1038" s="2">
        <v>9</v>
      </c>
      <c r="M1038" t="str">
        <f>IF(Revv_bike_sales_data[[#This Row],[delivery_days]]&lt;=7, "Yes", "No")</f>
        <v>No</v>
      </c>
      <c r="N1038" t="s">
        <v>16</v>
      </c>
      <c r="O1038" s="2">
        <v>10572</v>
      </c>
    </row>
    <row r="1039" spans="1:15" x14ac:dyDescent="0.3">
      <c r="A1039" s="2">
        <v>1029</v>
      </c>
      <c r="B1039" s="1">
        <v>44969.833333333336</v>
      </c>
      <c r="C1039" s="1" t="str">
        <f t="shared" si="32"/>
        <v>02-2023</v>
      </c>
      <c r="D1039" s="2">
        <f t="shared" si="33"/>
        <v>7</v>
      </c>
      <c r="E1039" t="s">
        <v>13</v>
      </c>
      <c r="F1039" t="s">
        <v>23</v>
      </c>
      <c r="G1039" t="s">
        <v>21</v>
      </c>
      <c r="H1039" s="2">
        <v>13780</v>
      </c>
      <c r="I1039" s="2">
        <v>1</v>
      </c>
      <c r="J1039" s="2">
        <v>164363</v>
      </c>
      <c r="K1039" s="2">
        <v>110066</v>
      </c>
      <c r="L1039" s="2">
        <v>2</v>
      </c>
      <c r="M1039" t="str">
        <f>IF(Revv_bike_sales_data[[#This Row],[delivery_days]]&lt;=7, "Yes", "No")</f>
        <v>Yes</v>
      </c>
      <c r="N1039" t="s">
        <v>16</v>
      </c>
      <c r="O1039" s="2">
        <v>54297</v>
      </c>
    </row>
    <row r="1040" spans="1:15" x14ac:dyDescent="0.3">
      <c r="A1040" s="2">
        <v>1030</v>
      </c>
      <c r="B1040" s="1">
        <v>44969.875</v>
      </c>
      <c r="C1040" s="1" t="str">
        <f t="shared" si="32"/>
        <v>02-2023</v>
      </c>
      <c r="D1040" s="2">
        <f t="shared" si="33"/>
        <v>7</v>
      </c>
      <c r="E1040" t="s">
        <v>25</v>
      </c>
      <c r="F1040" t="s">
        <v>14</v>
      </c>
      <c r="G1040" t="s">
        <v>21</v>
      </c>
      <c r="H1040" s="2">
        <v>15246</v>
      </c>
      <c r="I1040" s="2">
        <v>4</v>
      </c>
      <c r="J1040" s="2">
        <v>41285</v>
      </c>
      <c r="K1040" s="2">
        <v>139401</v>
      </c>
      <c r="L1040" s="2">
        <v>3</v>
      </c>
      <c r="M1040" t="str">
        <f>IF(Revv_bike_sales_data[[#This Row],[delivery_days]]&lt;=7, "Yes", "No")</f>
        <v>Yes</v>
      </c>
      <c r="N1040" t="s">
        <v>16</v>
      </c>
      <c r="O1040" s="2">
        <v>-98116</v>
      </c>
    </row>
    <row r="1041" spans="1:15" x14ac:dyDescent="0.3">
      <c r="A1041" s="2">
        <v>1031</v>
      </c>
      <c r="B1041" s="1">
        <v>44969.916666666664</v>
      </c>
      <c r="C1041" s="1" t="str">
        <f t="shared" si="32"/>
        <v>02-2023</v>
      </c>
      <c r="D1041" s="2">
        <f t="shared" si="33"/>
        <v>7</v>
      </c>
      <c r="E1041" t="s">
        <v>17</v>
      </c>
      <c r="F1041" t="s">
        <v>14</v>
      </c>
      <c r="G1041" t="s">
        <v>21</v>
      </c>
      <c r="H1041" s="2">
        <v>53751</v>
      </c>
      <c r="I1041" s="2">
        <v>9</v>
      </c>
      <c r="J1041" s="2">
        <v>86589</v>
      </c>
      <c r="K1041" s="2">
        <v>103148</v>
      </c>
      <c r="L1041" s="2">
        <v>12</v>
      </c>
      <c r="M1041" t="str">
        <f>IF(Revv_bike_sales_data[[#This Row],[delivery_days]]&lt;=7, "Yes", "No")</f>
        <v>No</v>
      </c>
      <c r="N1041" t="s">
        <v>16</v>
      </c>
      <c r="O1041" s="2">
        <v>-16559</v>
      </c>
    </row>
    <row r="1042" spans="1:15" x14ac:dyDescent="0.3">
      <c r="A1042" s="2">
        <v>1032</v>
      </c>
      <c r="B1042" s="1">
        <v>44969.958333333336</v>
      </c>
      <c r="C1042" s="1" t="str">
        <f t="shared" si="32"/>
        <v>02-2023</v>
      </c>
      <c r="D1042" s="2">
        <f t="shared" si="33"/>
        <v>7</v>
      </c>
      <c r="E1042" t="s">
        <v>22</v>
      </c>
      <c r="F1042" t="s">
        <v>14</v>
      </c>
      <c r="G1042" t="s">
        <v>21</v>
      </c>
      <c r="H1042" s="2">
        <v>85321</v>
      </c>
      <c r="I1042" s="2">
        <v>2</v>
      </c>
      <c r="J1042" s="2">
        <v>38944</v>
      </c>
      <c r="K1042" s="2">
        <v>86531</v>
      </c>
      <c r="L1042" s="2">
        <v>3</v>
      </c>
      <c r="M1042" t="str">
        <f>IF(Revv_bike_sales_data[[#This Row],[delivery_days]]&lt;=7, "Yes", "No")</f>
        <v>Yes</v>
      </c>
      <c r="N1042" t="s">
        <v>16</v>
      </c>
      <c r="O1042" s="2">
        <v>-47587</v>
      </c>
    </row>
    <row r="1043" spans="1:15" x14ac:dyDescent="0.3">
      <c r="A1043" s="2">
        <v>1033</v>
      </c>
      <c r="B1043" s="1">
        <v>44970</v>
      </c>
      <c r="C1043" s="1" t="str">
        <f t="shared" si="32"/>
        <v>02-2023</v>
      </c>
      <c r="D1043" s="2">
        <f t="shared" si="33"/>
        <v>7</v>
      </c>
      <c r="E1043" t="s">
        <v>25</v>
      </c>
      <c r="F1043" t="s">
        <v>23</v>
      </c>
      <c r="G1043" t="s">
        <v>15</v>
      </c>
      <c r="H1043" s="2">
        <v>84083</v>
      </c>
      <c r="I1043" s="2">
        <v>2</v>
      </c>
      <c r="J1043" s="2">
        <v>126041</v>
      </c>
      <c r="K1043" s="2">
        <v>55950</v>
      </c>
      <c r="L1043" s="2">
        <v>5</v>
      </c>
      <c r="M1043" t="str">
        <f>IF(Revv_bike_sales_data[[#This Row],[delivery_days]]&lt;=7, "Yes", "No")</f>
        <v>Yes</v>
      </c>
      <c r="N1043" t="s">
        <v>16</v>
      </c>
      <c r="O1043" s="2">
        <v>70091</v>
      </c>
    </row>
    <row r="1044" spans="1:15" x14ac:dyDescent="0.3">
      <c r="A1044" s="2">
        <v>1034</v>
      </c>
      <c r="B1044" s="1">
        <v>44970.041666666664</v>
      </c>
      <c r="C1044" s="1" t="str">
        <f t="shared" si="32"/>
        <v>02-2023</v>
      </c>
      <c r="D1044" s="2">
        <f t="shared" si="33"/>
        <v>7</v>
      </c>
      <c r="E1044" t="s">
        <v>18</v>
      </c>
      <c r="F1044" t="s">
        <v>23</v>
      </c>
      <c r="G1044" t="s">
        <v>21</v>
      </c>
      <c r="H1044" s="2">
        <v>10707</v>
      </c>
      <c r="I1044" s="2">
        <v>7</v>
      </c>
      <c r="J1044" s="2">
        <v>113876</v>
      </c>
      <c r="K1044" s="2">
        <v>118806</v>
      </c>
      <c r="L1044" s="2">
        <v>13</v>
      </c>
      <c r="M1044" t="str">
        <f>IF(Revv_bike_sales_data[[#This Row],[delivery_days]]&lt;=7, "Yes", "No")</f>
        <v>No</v>
      </c>
      <c r="N1044" t="s">
        <v>16</v>
      </c>
      <c r="O1044" s="2">
        <v>-4930</v>
      </c>
    </row>
    <row r="1045" spans="1:15" x14ac:dyDescent="0.3">
      <c r="A1045" s="2">
        <v>1035</v>
      </c>
      <c r="B1045" s="1">
        <v>44970.083333333336</v>
      </c>
      <c r="C1045" s="1" t="str">
        <f t="shared" si="32"/>
        <v>02-2023</v>
      </c>
      <c r="D1045" s="2">
        <f t="shared" si="33"/>
        <v>7</v>
      </c>
      <c r="E1045" t="s">
        <v>13</v>
      </c>
      <c r="F1045" t="s">
        <v>14</v>
      </c>
      <c r="G1045" t="s">
        <v>20</v>
      </c>
      <c r="H1045" s="2">
        <v>71627</v>
      </c>
      <c r="I1045" s="2">
        <v>3</v>
      </c>
      <c r="J1045" s="2">
        <v>120561</v>
      </c>
      <c r="K1045" s="2">
        <v>27920</v>
      </c>
      <c r="L1045" s="2">
        <v>3</v>
      </c>
      <c r="M1045" t="str">
        <f>IF(Revv_bike_sales_data[[#This Row],[delivery_days]]&lt;=7, "Yes", "No")</f>
        <v>Yes</v>
      </c>
      <c r="N1045" t="s">
        <v>16</v>
      </c>
      <c r="O1045" s="2">
        <v>92641</v>
      </c>
    </row>
    <row r="1046" spans="1:15" x14ac:dyDescent="0.3">
      <c r="A1046" s="2">
        <v>1036</v>
      </c>
      <c r="B1046" s="1">
        <v>44970.125</v>
      </c>
      <c r="C1046" s="1" t="str">
        <f t="shared" si="32"/>
        <v>02-2023</v>
      </c>
      <c r="D1046" s="2">
        <f t="shared" si="33"/>
        <v>7</v>
      </c>
      <c r="E1046" t="s">
        <v>25</v>
      </c>
      <c r="F1046" t="s">
        <v>14</v>
      </c>
      <c r="G1046" t="s">
        <v>19</v>
      </c>
      <c r="H1046" s="2">
        <v>28257</v>
      </c>
      <c r="I1046" s="2">
        <v>3</v>
      </c>
      <c r="J1046" s="2">
        <v>79391</v>
      </c>
      <c r="K1046" s="2">
        <v>37144</v>
      </c>
      <c r="L1046" s="2">
        <v>10</v>
      </c>
      <c r="M1046" t="str">
        <f>IF(Revv_bike_sales_data[[#This Row],[delivery_days]]&lt;=7, "Yes", "No")</f>
        <v>No</v>
      </c>
      <c r="N1046" t="s">
        <v>16</v>
      </c>
      <c r="O1046" s="2">
        <v>42247</v>
      </c>
    </row>
    <row r="1047" spans="1:15" x14ac:dyDescent="0.3">
      <c r="A1047" s="2">
        <v>1037</v>
      </c>
      <c r="B1047" s="1">
        <v>44970.166666666664</v>
      </c>
      <c r="C1047" s="1" t="str">
        <f t="shared" si="32"/>
        <v>02-2023</v>
      </c>
      <c r="D1047" s="2">
        <f t="shared" si="33"/>
        <v>7</v>
      </c>
      <c r="E1047" t="s">
        <v>22</v>
      </c>
      <c r="F1047" t="s">
        <v>14</v>
      </c>
      <c r="G1047" t="s">
        <v>15</v>
      </c>
      <c r="H1047" s="2">
        <v>16726</v>
      </c>
      <c r="I1047" s="2">
        <v>2</v>
      </c>
      <c r="J1047" s="2">
        <v>26607</v>
      </c>
      <c r="K1047" s="2">
        <v>135270</v>
      </c>
      <c r="L1047" s="2">
        <v>6</v>
      </c>
      <c r="M1047" t="str">
        <f>IF(Revv_bike_sales_data[[#This Row],[delivery_days]]&lt;=7, "Yes", "No")</f>
        <v>Yes</v>
      </c>
      <c r="N1047" t="s">
        <v>16</v>
      </c>
      <c r="O1047" s="2">
        <v>-108663</v>
      </c>
    </row>
    <row r="1048" spans="1:15" x14ac:dyDescent="0.3">
      <c r="A1048" s="2">
        <v>1038</v>
      </c>
      <c r="B1048" s="1">
        <v>44970.208333333336</v>
      </c>
      <c r="C1048" s="1" t="str">
        <f t="shared" si="32"/>
        <v>02-2023</v>
      </c>
      <c r="D1048" s="2">
        <f t="shared" si="33"/>
        <v>7</v>
      </c>
      <c r="E1048" t="s">
        <v>18</v>
      </c>
      <c r="F1048" t="s">
        <v>14</v>
      </c>
      <c r="G1048" t="s">
        <v>15</v>
      </c>
      <c r="H1048" s="2">
        <v>95768</v>
      </c>
      <c r="I1048" s="2">
        <v>0</v>
      </c>
      <c r="J1048" s="2">
        <v>27953</v>
      </c>
      <c r="K1048" s="2">
        <v>99418</v>
      </c>
      <c r="L1048" s="2">
        <v>2</v>
      </c>
      <c r="M1048" t="str">
        <f>IF(Revv_bike_sales_data[[#This Row],[delivery_days]]&lt;=7, "Yes", "No")</f>
        <v>Yes</v>
      </c>
      <c r="N1048" t="s">
        <v>16</v>
      </c>
      <c r="O1048" s="2">
        <v>-71465</v>
      </c>
    </row>
    <row r="1049" spans="1:15" x14ac:dyDescent="0.3">
      <c r="A1049" s="2">
        <v>1039</v>
      </c>
      <c r="B1049" s="1">
        <v>44970.25</v>
      </c>
      <c r="C1049" s="1" t="str">
        <f t="shared" si="32"/>
        <v>02-2023</v>
      </c>
      <c r="D1049" s="2">
        <f t="shared" si="33"/>
        <v>7</v>
      </c>
      <c r="E1049" t="s">
        <v>22</v>
      </c>
      <c r="F1049" t="s">
        <v>14</v>
      </c>
      <c r="G1049" t="s">
        <v>21</v>
      </c>
      <c r="H1049" s="2">
        <v>61907</v>
      </c>
      <c r="I1049" s="2">
        <v>7</v>
      </c>
      <c r="J1049" s="2">
        <v>69941</v>
      </c>
      <c r="K1049" s="2">
        <v>17565</v>
      </c>
      <c r="L1049" s="2">
        <v>6</v>
      </c>
      <c r="M1049" t="str">
        <f>IF(Revv_bike_sales_data[[#This Row],[delivery_days]]&lt;=7, "Yes", "No")</f>
        <v>Yes</v>
      </c>
      <c r="N1049" t="s">
        <v>16</v>
      </c>
      <c r="O1049" s="2">
        <v>52376</v>
      </c>
    </row>
    <row r="1050" spans="1:15" x14ac:dyDescent="0.3">
      <c r="A1050" s="2">
        <v>1040</v>
      </c>
      <c r="B1050" s="1">
        <v>44970.291666666664</v>
      </c>
      <c r="C1050" s="1" t="str">
        <f t="shared" si="32"/>
        <v>02-2023</v>
      </c>
      <c r="D1050" s="2">
        <f t="shared" si="33"/>
        <v>7</v>
      </c>
      <c r="E1050" t="s">
        <v>22</v>
      </c>
      <c r="F1050" t="s">
        <v>14</v>
      </c>
      <c r="G1050" t="s">
        <v>19</v>
      </c>
      <c r="H1050" s="2">
        <v>27706</v>
      </c>
      <c r="I1050" s="2">
        <v>0</v>
      </c>
      <c r="J1050" s="2">
        <v>86683</v>
      </c>
      <c r="K1050" s="2">
        <v>103909</v>
      </c>
      <c r="L1050" s="2">
        <v>6</v>
      </c>
      <c r="M1050" t="str">
        <f>IF(Revv_bike_sales_data[[#This Row],[delivery_days]]&lt;=7, "Yes", "No")</f>
        <v>Yes</v>
      </c>
      <c r="N1050" t="s">
        <v>16</v>
      </c>
      <c r="O1050" s="2">
        <v>-17226</v>
      </c>
    </row>
    <row r="1051" spans="1:15" x14ac:dyDescent="0.3">
      <c r="A1051" s="2">
        <v>1041</v>
      </c>
      <c r="B1051" s="1">
        <v>44970.333333333336</v>
      </c>
      <c r="C1051" s="1" t="str">
        <f t="shared" si="32"/>
        <v>02-2023</v>
      </c>
      <c r="D1051" s="2">
        <f t="shared" si="33"/>
        <v>7</v>
      </c>
      <c r="E1051" t="s">
        <v>18</v>
      </c>
      <c r="F1051" t="s">
        <v>14</v>
      </c>
      <c r="G1051" t="s">
        <v>20</v>
      </c>
      <c r="H1051" s="2">
        <v>20756</v>
      </c>
      <c r="I1051" s="2">
        <v>6</v>
      </c>
      <c r="J1051" s="2">
        <v>134588</v>
      </c>
      <c r="K1051" s="2">
        <v>68942</v>
      </c>
      <c r="L1051" s="2">
        <v>2</v>
      </c>
      <c r="M1051" t="str">
        <f>IF(Revv_bike_sales_data[[#This Row],[delivery_days]]&lt;=7, "Yes", "No")</f>
        <v>Yes</v>
      </c>
      <c r="N1051" t="s">
        <v>24</v>
      </c>
      <c r="O1051" s="2">
        <v>65646</v>
      </c>
    </row>
    <row r="1052" spans="1:15" x14ac:dyDescent="0.3">
      <c r="A1052" s="2">
        <v>1042</v>
      </c>
      <c r="B1052" s="1">
        <v>44970.375</v>
      </c>
      <c r="C1052" s="1" t="str">
        <f t="shared" si="32"/>
        <v>02-2023</v>
      </c>
      <c r="D1052" s="2">
        <f t="shared" si="33"/>
        <v>7</v>
      </c>
      <c r="E1052" t="s">
        <v>22</v>
      </c>
      <c r="F1052" t="s">
        <v>14</v>
      </c>
      <c r="G1052" t="s">
        <v>21</v>
      </c>
      <c r="H1052" s="2">
        <v>34322</v>
      </c>
      <c r="I1052" s="2">
        <v>4</v>
      </c>
      <c r="J1052" s="2">
        <v>147080</v>
      </c>
      <c r="K1052" s="2">
        <v>124093</v>
      </c>
      <c r="L1052" s="2">
        <v>6</v>
      </c>
      <c r="M1052" t="str">
        <f>IF(Revv_bike_sales_data[[#This Row],[delivery_days]]&lt;=7, "Yes", "No")</f>
        <v>Yes</v>
      </c>
      <c r="N1052" t="s">
        <v>16</v>
      </c>
      <c r="O1052" s="2">
        <v>22987</v>
      </c>
    </row>
    <row r="1053" spans="1:15" x14ac:dyDescent="0.3">
      <c r="A1053" s="2">
        <v>1043</v>
      </c>
      <c r="B1053" s="1">
        <v>44970.416666666664</v>
      </c>
      <c r="C1053" s="1" t="str">
        <f t="shared" si="32"/>
        <v>02-2023</v>
      </c>
      <c r="D1053" s="2">
        <f t="shared" si="33"/>
        <v>7</v>
      </c>
      <c r="E1053" t="s">
        <v>18</v>
      </c>
      <c r="F1053" t="s">
        <v>14</v>
      </c>
      <c r="G1053" t="s">
        <v>19</v>
      </c>
      <c r="H1053" s="2">
        <v>41840</v>
      </c>
      <c r="I1053" s="2">
        <v>3</v>
      </c>
      <c r="J1053" s="2">
        <v>36154</v>
      </c>
      <c r="K1053" s="2">
        <v>85560</v>
      </c>
      <c r="L1053" s="2">
        <v>6</v>
      </c>
      <c r="M1053" t="str">
        <f>IF(Revv_bike_sales_data[[#This Row],[delivery_days]]&lt;=7, "Yes", "No")</f>
        <v>Yes</v>
      </c>
      <c r="N1053" t="s">
        <v>16</v>
      </c>
      <c r="O1053" s="2">
        <v>-49406</v>
      </c>
    </row>
    <row r="1054" spans="1:15" x14ac:dyDescent="0.3">
      <c r="A1054" s="2">
        <v>1044</v>
      </c>
      <c r="B1054" s="1">
        <v>44970.458333333336</v>
      </c>
      <c r="C1054" s="1" t="str">
        <f t="shared" si="32"/>
        <v>02-2023</v>
      </c>
      <c r="D1054" s="2">
        <f t="shared" si="33"/>
        <v>7</v>
      </c>
      <c r="E1054" t="s">
        <v>25</v>
      </c>
      <c r="F1054" t="s">
        <v>14</v>
      </c>
      <c r="G1054" t="s">
        <v>21</v>
      </c>
      <c r="H1054" s="2">
        <v>52734</v>
      </c>
      <c r="I1054" s="2">
        <v>3</v>
      </c>
      <c r="J1054" s="2">
        <v>150542</v>
      </c>
      <c r="K1054" s="2">
        <v>39691</v>
      </c>
      <c r="L1054" s="2">
        <v>6</v>
      </c>
      <c r="M1054" t="str">
        <f>IF(Revv_bike_sales_data[[#This Row],[delivery_days]]&lt;=7, "Yes", "No")</f>
        <v>Yes</v>
      </c>
      <c r="N1054" t="s">
        <v>16</v>
      </c>
      <c r="O1054" s="2">
        <v>110851</v>
      </c>
    </row>
    <row r="1055" spans="1:15" x14ac:dyDescent="0.3">
      <c r="A1055" s="2">
        <v>1045</v>
      </c>
      <c r="B1055" s="1">
        <v>44970.5</v>
      </c>
      <c r="C1055" s="1" t="str">
        <f t="shared" si="32"/>
        <v>02-2023</v>
      </c>
      <c r="D1055" s="2">
        <f t="shared" si="33"/>
        <v>7</v>
      </c>
      <c r="E1055" t="s">
        <v>18</v>
      </c>
      <c r="F1055" t="s">
        <v>14</v>
      </c>
      <c r="G1055" t="s">
        <v>21</v>
      </c>
      <c r="H1055" s="2">
        <v>43851</v>
      </c>
      <c r="I1055" s="2">
        <v>7</v>
      </c>
      <c r="J1055" s="2">
        <v>165119</v>
      </c>
      <c r="K1055" s="2">
        <v>48799</v>
      </c>
      <c r="L1055" s="2">
        <v>12</v>
      </c>
      <c r="M1055" t="str">
        <f>IF(Revv_bike_sales_data[[#This Row],[delivery_days]]&lt;=7, "Yes", "No")</f>
        <v>No</v>
      </c>
      <c r="N1055" t="s">
        <v>16</v>
      </c>
      <c r="O1055" s="2">
        <v>116320</v>
      </c>
    </row>
    <row r="1056" spans="1:15" x14ac:dyDescent="0.3">
      <c r="A1056" s="2">
        <v>1046</v>
      </c>
      <c r="B1056" s="1">
        <v>44970.541666666664</v>
      </c>
      <c r="C1056" s="1" t="str">
        <f t="shared" si="32"/>
        <v>02-2023</v>
      </c>
      <c r="D1056" s="2">
        <f t="shared" si="33"/>
        <v>7</v>
      </c>
      <c r="E1056" t="s">
        <v>18</v>
      </c>
      <c r="F1056" t="s">
        <v>14</v>
      </c>
      <c r="G1056" t="s">
        <v>21</v>
      </c>
      <c r="H1056" s="2">
        <v>49171</v>
      </c>
      <c r="I1056" s="2">
        <v>5</v>
      </c>
      <c r="J1056" s="2">
        <v>113529</v>
      </c>
      <c r="K1056" s="2">
        <v>81777</v>
      </c>
      <c r="L1056" s="2">
        <v>13</v>
      </c>
      <c r="M1056" t="str">
        <f>IF(Revv_bike_sales_data[[#This Row],[delivery_days]]&lt;=7, "Yes", "No")</f>
        <v>No</v>
      </c>
      <c r="N1056" t="s">
        <v>16</v>
      </c>
      <c r="O1056" s="2">
        <v>31752</v>
      </c>
    </row>
    <row r="1057" spans="1:15" x14ac:dyDescent="0.3">
      <c r="A1057" s="2">
        <v>1047</v>
      </c>
      <c r="B1057" s="1">
        <v>44970.583333333336</v>
      </c>
      <c r="C1057" s="1" t="str">
        <f t="shared" si="32"/>
        <v>02-2023</v>
      </c>
      <c r="D1057" s="2">
        <f t="shared" si="33"/>
        <v>7</v>
      </c>
      <c r="E1057" t="s">
        <v>13</v>
      </c>
      <c r="F1057" t="s">
        <v>14</v>
      </c>
      <c r="G1057" t="s">
        <v>21</v>
      </c>
      <c r="H1057" s="2">
        <v>75820</v>
      </c>
      <c r="I1057" s="2">
        <v>0</v>
      </c>
      <c r="J1057" s="2">
        <v>39323</v>
      </c>
      <c r="K1057" s="2">
        <v>49510</v>
      </c>
      <c r="L1057" s="2">
        <v>14</v>
      </c>
      <c r="M1057" t="str">
        <f>IF(Revv_bike_sales_data[[#This Row],[delivery_days]]&lt;=7, "Yes", "No")</f>
        <v>No</v>
      </c>
      <c r="N1057" t="s">
        <v>16</v>
      </c>
      <c r="O1057" s="2">
        <v>-10187</v>
      </c>
    </row>
    <row r="1058" spans="1:15" x14ac:dyDescent="0.3">
      <c r="A1058" s="2">
        <v>1048</v>
      </c>
      <c r="B1058" s="1">
        <v>44970.625</v>
      </c>
      <c r="C1058" s="1" t="str">
        <f t="shared" si="32"/>
        <v>02-2023</v>
      </c>
      <c r="D1058" s="2">
        <f t="shared" si="33"/>
        <v>7</v>
      </c>
      <c r="E1058" t="s">
        <v>18</v>
      </c>
      <c r="F1058" t="s">
        <v>14</v>
      </c>
      <c r="G1058" t="s">
        <v>21</v>
      </c>
      <c r="H1058" s="2">
        <v>35657</v>
      </c>
      <c r="I1058" s="2">
        <v>9</v>
      </c>
      <c r="J1058" s="2">
        <v>62693</v>
      </c>
      <c r="K1058" s="2">
        <v>119013</v>
      </c>
      <c r="L1058" s="2">
        <v>5</v>
      </c>
      <c r="M1058" t="str">
        <f>IF(Revv_bike_sales_data[[#This Row],[delivery_days]]&lt;=7, "Yes", "No")</f>
        <v>Yes</v>
      </c>
      <c r="N1058" t="s">
        <v>16</v>
      </c>
      <c r="O1058" s="2">
        <v>-56320</v>
      </c>
    </row>
    <row r="1059" spans="1:15" x14ac:dyDescent="0.3">
      <c r="A1059" s="2">
        <v>1049</v>
      </c>
      <c r="B1059" s="1">
        <v>44970.666666666664</v>
      </c>
      <c r="C1059" s="1" t="str">
        <f t="shared" si="32"/>
        <v>02-2023</v>
      </c>
      <c r="D1059" s="2">
        <f t="shared" si="33"/>
        <v>7</v>
      </c>
      <c r="E1059" t="s">
        <v>18</v>
      </c>
      <c r="F1059" t="s">
        <v>14</v>
      </c>
      <c r="G1059" t="s">
        <v>21</v>
      </c>
      <c r="H1059" s="2">
        <v>20437</v>
      </c>
      <c r="I1059" s="2">
        <v>7</v>
      </c>
      <c r="J1059" s="2">
        <v>114170</v>
      </c>
      <c r="K1059" s="2">
        <v>102919</v>
      </c>
      <c r="L1059" s="2">
        <v>7</v>
      </c>
      <c r="M1059" t="str">
        <f>IF(Revv_bike_sales_data[[#This Row],[delivery_days]]&lt;=7, "Yes", "No")</f>
        <v>Yes</v>
      </c>
      <c r="N1059" t="s">
        <v>16</v>
      </c>
      <c r="O1059" s="2">
        <v>11251</v>
      </c>
    </row>
    <row r="1060" spans="1:15" x14ac:dyDescent="0.3">
      <c r="A1060" s="2">
        <v>1050</v>
      </c>
      <c r="B1060" s="1">
        <v>44970.708333333336</v>
      </c>
      <c r="C1060" s="1" t="str">
        <f t="shared" si="32"/>
        <v>02-2023</v>
      </c>
      <c r="D1060" s="2">
        <f t="shared" si="33"/>
        <v>7</v>
      </c>
      <c r="E1060" t="s">
        <v>25</v>
      </c>
      <c r="F1060" t="s">
        <v>14</v>
      </c>
      <c r="G1060" t="s">
        <v>21</v>
      </c>
      <c r="H1060" s="2">
        <v>54790</v>
      </c>
      <c r="I1060" s="2">
        <v>1</v>
      </c>
      <c r="J1060" s="2">
        <v>70111</v>
      </c>
      <c r="K1060" s="2">
        <v>128043</v>
      </c>
      <c r="L1060" s="2">
        <v>13</v>
      </c>
      <c r="M1060" t="str">
        <f>IF(Revv_bike_sales_data[[#This Row],[delivery_days]]&lt;=7, "Yes", "No")</f>
        <v>No</v>
      </c>
      <c r="N1060" t="s">
        <v>16</v>
      </c>
      <c r="O1060" s="2">
        <v>-57932</v>
      </c>
    </row>
    <row r="1061" spans="1:15" x14ac:dyDescent="0.3">
      <c r="A1061" s="2">
        <v>1051</v>
      </c>
      <c r="B1061" s="1">
        <v>44970.75</v>
      </c>
      <c r="C1061" s="1" t="str">
        <f t="shared" si="32"/>
        <v>02-2023</v>
      </c>
      <c r="D1061" s="2">
        <f t="shared" si="33"/>
        <v>7</v>
      </c>
      <c r="E1061" t="s">
        <v>13</v>
      </c>
      <c r="F1061" t="s">
        <v>14</v>
      </c>
      <c r="G1061" t="s">
        <v>20</v>
      </c>
      <c r="H1061" s="2">
        <v>47207</v>
      </c>
      <c r="I1061" s="2">
        <v>5</v>
      </c>
      <c r="J1061" s="2">
        <v>64491</v>
      </c>
      <c r="K1061" s="2">
        <v>92366</v>
      </c>
      <c r="L1061" s="2">
        <v>12</v>
      </c>
      <c r="M1061" t="str">
        <f>IF(Revv_bike_sales_data[[#This Row],[delivery_days]]&lt;=7, "Yes", "No")</f>
        <v>No</v>
      </c>
      <c r="N1061" t="s">
        <v>24</v>
      </c>
      <c r="O1061" s="2">
        <v>-27875</v>
      </c>
    </row>
    <row r="1062" spans="1:15" x14ac:dyDescent="0.3">
      <c r="A1062" s="2">
        <v>1052</v>
      </c>
      <c r="B1062" s="1">
        <v>44970.791666666664</v>
      </c>
      <c r="C1062" s="1" t="str">
        <f t="shared" si="32"/>
        <v>02-2023</v>
      </c>
      <c r="D1062" s="2">
        <f t="shared" si="33"/>
        <v>7</v>
      </c>
      <c r="E1062" t="s">
        <v>17</v>
      </c>
      <c r="F1062" t="s">
        <v>14</v>
      </c>
      <c r="G1062" t="s">
        <v>15</v>
      </c>
      <c r="H1062" s="2">
        <v>11719</v>
      </c>
      <c r="I1062" s="2">
        <v>8</v>
      </c>
      <c r="J1062" s="2">
        <v>74336</v>
      </c>
      <c r="K1062" s="2">
        <v>43975</v>
      </c>
      <c r="L1062" s="2">
        <v>5</v>
      </c>
      <c r="M1062" t="str">
        <f>IF(Revv_bike_sales_data[[#This Row],[delivery_days]]&lt;=7, "Yes", "No")</f>
        <v>Yes</v>
      </c>
      <c r="N1062" t="s">
        <v>16</v>
      </c>
      <c r="O1062" s="2">
        <v>30361</v>
      </c>
    </row>
    <row r="1063" spans="1:15" x14ac:dyDescent="0.3">
      <c r="A1063" s="2">
        <v>1053</v>
      </c>
      <c r="B1063" s="1">
        <v>44970.833333333336</v>
      </c>
      <c r="C1063" s="1" t="str">
        <f t="shared" si="32"/>
        <v>02-2023</v>
      </c>
      <c r="D1063" s="2">
        <f t="shared" si="33"/>
        <v>7</v>
      </c>
      <c r="E1063" t="s">
        <v>25</v>
      </c>
      <c r="F1063" t="s">
        <v>14</v>
      </c>
      <c r="G1063" t="s">
        <v>20</v>
      </c>
      <c r="H1063" s="2">
        <v>9899</v>
      </c>
      <c r="I1063" s="2">
        <v>0</v>
      </c>
      <c r="J1063" s="2">
        <v>41905</v>
      </c>
      <c r="K1063" s="2">
        <v>68242</v>
      </c>
      <c r="L1063" s="2">
        <v>11</v>
      </c>
      <c r="M1063" t="str">
        <f>IF(Revv_bike_sales_data[[#This Row],[delivery_days]]&lt;=7, "Yes", "No")</f>
        <v>No</v>
      </c>
      <c r="N1063" t="s">
        <v>16</v>
      </c>
      <c r="O1063" s="2">
        <v>-26337</v>
      </c>
    </row>
    <row r="1064" spans="1:15" x14ac:dyDescent="0.3">
      <c r="A1064" s="2">
        <v>1054</v>
      </c>
      <c r="B1064" s="1">
        <v>44970.875</v>
      </c>
      <c r="C1064" s="1" t="str">
        <f t="shared" si="32"/>
        <v>02-2023</v>
      </c>
      <c r="D1064" s="2">
        <f t="shared" si="33"/>
        <v>7</v>
      </c>
      <c r="E1064" t="s">
        <v>25</v>
      </c>
      <c r="F1064" t="s">
        <v>14</v>
      </c>
      <c r="G1064" t="s">
        <v>21</v>
      </c>
      <c r="H1064" s="2">
        <v>99348</v>
      </c>
      <c r="I1064" s="2">
        <v>5</v>
      </c>
      <c r="J1064" s="2">
        <v>55273</v>
      </c>
      <c r="K1064" s="2">
        <v>61546</v>
      </c>
      <c r="L1064" s="2">
        <v>1</v>
      </c>
      <c r="M1064" t="str">
        <f>IF(Revv_bike_sales_data[[#This Row],[delivery_days]]&lt;=7, "Yes", "No")</f>
        <v>Yes</v>
      </c>
      <c r="N1064" t="s">
        <v>16</v>
      </c>
      <c r="O1064" s="2">
        <v>-6273</v>
      </c>
    </row>
    <row r="1065" spans="1:15" x14ac:dyDescent="0.3">
      <c r="A1065" s="2">
        <v>1055</v>
      </c>
      <c r="B1065" s="1">
        <v>44970.916666666664</v>
      </c>
      <c r="C1065" s="1" t="str">
        <f t="shared" si="32"/>
        <v>02-2023</v>
      </c>
      <c r="D1065" s="2">
        <f t="shared" si="33"/>
        <v>7</v>
      </c>
      <c r="E1065" t="s">
        <v>17</v>
      </c>
      <c r="F1065" t="s">
        <v>23</v>
      </c>
      <c r="G1065" t="s">
        <v>21</v>
      </c>
      <c r="H1065" s="2">
        <v>28157</v>
      </c>
      <c r="I1065" s="2">
        <v>7</v>
      </c>
      <c r="J1065" s="2">
        <v>150191</v>
      </c>
      <c r="K1065" s="2">
        <v>107087</v>
      </c>
      <c r="L1065" s="2">
        <v>12</v>
      </c>
      <c r="M1065" t="str">
        <f>IF(Revv_bike_sales_data[[#This Row],[delivery_days]]&lt;=7, "Yes", "No")</f>
        <v>No</v>
      </c>
      <c r="N1065" t="s">
        <v>16</v>
      </c>
      <c r="O1065" s="2">
        <v>43104</v>
      </c>
    </row>
    <row r="1066" spans="1:15" x14ac:dyDescent="0.3">
      <c r="A1066" s="2">
        <v>1056</v>
      </c>
      <c r="B1066" s="1">
        <v>44970.958333333336</v>
      </c>
      <c r="C1066" s="1" t="str">
        <f t="shared" si="32"/>
        <v>02-2023</v>
      </c>
      <c r="D1066" s="2">
        <f t="shared" si="33"/>
        <v>7</v>
      </c>
      <c r="E1066" t="s">
        <v>18</v>
      </c>
      <c r="F1066" t="s">
        <v>14</v>
      </c>
      <c r="G1066" t="s">
        <v>20</v>
      </c>
      <c r="H1066" s="2">
        <v>20547</v>
      </c>
      <c r="I1066" s="2">
        <v>9</v>
      </c>
      <c r="J1066" s="2">
        <v>140936</v>
      </c>
      <c r="K1066" s="2">
        <v>121464</v>
      </c>
      <c r="L1066" s="2">
        <v>9</v>
      </c>
      <c r="M1066" t="str">
        <f>IF(Revv_bike_sales_data[[#This Row],[delivery_days]]&lt;=7, "Yes", "No")</f>
        <v>No</v>
      </c>
      <c r="N1066" t="s">
        <v>16</v>
      </c>
      <c r="O1066" s="2">
        <v>19472</v>
      </c>
    </row>
    <row r="1067" spans="1:15" x14ac:dyDescent="0.3">
      <c r="A1067" s="2">
        <v>1057</v>
      </c>
      <c r="B1067" s="1">
        <v>44971</v>
      </c>
      <c r="C1067" s="1" t="str">
        <f t="shared" si="32"/>
        <v>02-2023</v>
      </c>
      <c r="D1067" s="2">
        <f t="shared" si="33"/>
        <v>7</v>
      </c>
      <c r="E1067" t="s">
        <v>22</v>
      </c>
      <c r="F1067" t="s">
        <v>14</v>
      </c>
      <c r="G1067" t="s">
        <v>20</v>
      </c>
      <c r="H1067" s="2">
        <v>76595</v>
      </c>
      <c r="I1067" s="2">
        <v>1</v>
      </c>
      <c r="J1067" s="2">
        <v>91538</v>
      </c>
      <c r="K1067" s="2">
        <v>38267</v>
      </c>
      <c r="L1067" s="2">
        <v>3</v>
      </c>
      <c r="M1067" t="str">
        <f>IF(Revv_bike_sales_data[[#This Row],[delivery_days]]&lt;=7, "Yes", "No")</f>
        <v>Yes</v>
      </c>
      <c r="N1067" t="s">
        <v>16</v>
      </c>
      <c r="O1067" s="2">
        <v>53271</v>
      </c>
    </row>
    <row r="1068" spans="1:15" x14ac:dyDescent="0.3">
      <c r="A1068" s="2">
        <v>1058</v>
      </c>
      <c r="B1068" s="1">
        <v>44971.041666666664</v>
      </c>
      <c r="C1068" s="1" t="str">
        <f t="shared" si="32"/>
        <v>02-2023</v>
      </c>
      <c r="D1068" s="2">
        <f t="shared" si="33"/>
        <v>7</v>
      </c>
      <c r="E1068" t="s">
        <v>13</v>
      </c>
      <c r="F1068" t="s">
        <v>23</v>
      </c>
      <c r="G1068" t="s">
        <v>15</v>
      </c>
      <c r="H1068" s="2">
        <v>86193</v>
      </c>
      <c r="I1068" s="2">
        <v>4</v>
      </c>
      <c r="J1068" s="2">
        <v>129570</v>
      </c>
      <c r="K1068" s="2">
        <v>92911</v>
      </c>
      <c r="L1068" s="2">
        <v>2</v>
      </c>
      <c r="M1068" t="str">
        <f>IF(Revv_bike_sales_data[[#This Row],[delivery_days]]&lt;=7, "Yes", "No")</f>
        <v>Yes</v>
      </c>
      <c r="N1068" t="s">
        <v>16</v>
      </c>
      <c r="O1068" s="2">
        <v>36659</v>
      </c>
    </row>
    <row r="1069" spans="1:15" x14ac:dyDescent="0.3">
      <c r="A1069" s="2">
        <v>1059</v>
      </c>
      <c r="B1069" s="1">
        <v>44971.083333333336</v>
      </c>
      <c r="C1069" s="1" t="str">
        <f t="shared" si="32"/>
        <v>02-2023</v>
      </c>
      <c r="D1069" s="2">
        <f t="shared" si="33"/>
        <v>7</v>
      </c>
      <c r="E1069" t="s">
        <v>22</v>
      </c>
      <c r="F1069" t="s">
        <v>14</v>
      </c>
      <c r="G1069" t="s">
        <v>20</v>
      </c>
      <c r="H1069" s="2">
        <v>72654</v>
      </c>
      <c r="I1069" s="2">
        <v>5</v>
      </c>
      <c r="J1069" s="2">
        <v>118339</v>
      </c>
      <c r="K1069" s="2">
        <v>102049</v>
      </c>
      <c r="L1069" s="2">
        <v>10</v>
      </c>
      <c r="M1069" t="str">
        <f>IF(Revv_bike_sales_data[[#This Row],[delivery_days]]&lt;=7, "Yes", "No")</f>
        <v>No</v>
      </c>
      <c r="N1069" t="s">
        <v>16</v>
      </c>
      <c r="O1069" s="2">
        <v>16290</v>
      </c>
    </row>
    <row r="1070" spans="1:15" x14ac:dyDescent="0.3">
      <c r="A1070" s="2">
        <v>1060</v>
      </c>
      <c r="B1070" s="1">
        <v>44971.125</v>
      </c>
      <c r="C1070" s="1" t="str">
        <f t="shared" si="32"/>
        <v>02-2023</v>
      </c>
      <c r="D1070" s="2">
        <f t="shared" si="33"/>
        <v>7</v>
      </c>
      <c r="E1070" t="s">
        <v>17</v>
      </c>
      <c r="F1070" t="s">
        <v>14</v>
      </c>
      <c r="G1070" t="s">
        <v>15</v>
      </c>
      <c r="H1070" s="2">
        <v>45391</v>
      </c>
      <c r="I1070" s="2">
        <v>4</v>
      </c>
      <c r="J1070" s="2">
        <v>146132</v>
      </c>
      <c r="K1070" s="2">
        <v>84939</v>
      </c>
      <c r="L1070" s="2">
        <v>6</v>
      </c>
      <c r="M1070" t="str">
        <f>IF(Revv_bike_sales_data[[#This Row],[delivery_days]]&lt;=7, "Yes", "No")</f>
        <v>Yes</v>
      </c>
      <c r="N1070" t="s">
        <v>16</v>
      </c>
      <c r="O1070" s="2">
        <v>61193</v>
      </c>
    </row>
    <row r="1071" spans="1:15" x14ac:dyDescent="0.3">
      <c r="A1071" s="2">
        <v>1061</v>
      </c>
      <c r="B1071" s="1">
        <v>44971.166666666664</v>
      </c>
      <c r="C1071" s="1" t="str">
        <f t="shared" si="32"/>
        <v>02-2023</v>
      </c>
      <c r="D1071" s="2">
        <f t="shared" si="33"/>
        <v>7</v>
      </c>
      <c r="E1071" t="s">
        <v>25</v>
      </c>
      <c r="F1071" t="s">
        <v>14</v>
      </c>
      <c r="G1071" t="s">
        <v>21</v>
      </c>
      <c r="H1071" s="2">
        <v>7280</v>
      </c>
      <c r="I1071" s="2">
        <v>2</v>
      </c>
      <c r="J1071" s="2">
        <v>153993</v>
      </c>
      <c r="K1071" s="2">
        <v>136265</v>
      </c>
      <c r="L1071" s="2">
        <v>8</v>
      </c>
      <c r="M1071" t="str">
        <f>IF(Revv_bike_sales_data[[#This Row],[delivery_days]]&lt;=7, "Yes", "No")</f>
        <v>No</v>
      </c>
      <c r="N1071" t="s">
        <v>16</v>
      </c>
      <c r="O1071" s="2">
        <v>17728</v>
      </c>
    </row>
    <row r="1072" spans="1:15" x14ac:dyDescent="0.3">
      <c r="A1072" s="2">
        <v>1062</v>
      </c>
      <c r="B1072" s="1">
        <v>44971.208333333336</v>
      </c>
      <c r="C1072" s="1" t="str">
        <f t="shared" si="32"/>
        <v>02-2023</v>
      </c>
      <c r="D1072" s="2">
        <f t="shared" si="33"/>
        <v>7</v>
      </c>
      <c r="E1072" t="s">
        <v>25</v>
      </c>
      <c r="F1072" t="s">
        <v>14</v>
      </c>
      <c r="G1072" t="s">
        <v>19</v>
      </c>
      <c r="H1072" s="2">
        <v>27550</v>
      </c>
      <c r="I1072" s="2">
        <v>3</v>
      </c>
      <c r="J1072" s="2">
        <v>36330</v>
      </c>
      <c r="K1072" s="2">
        <v>19897</v>
      </c>
      <c r="L1072" s="2">
        <v>2</v>
      </c>
      <c r="M1072" t="str">
        <f>IF(Revv_bike_sales_data[[#This Row],[delivery_days]]&lt;=7, "Yes", "No")</f>
        <v>Yes</v>
      </c>
      <c r="N1072" t="s">
        <v>16</v>
      </c>
      <c r="O1072" s="2">
        <v>16433</v>
      </c>
    </row>
    <row r="1073" spans="1:15" x14ac:dyDescent="0.3">
      <c r="A1073" s="2">
        <v>1063</v>
      </c>
      <c r="B1073" s="1">
        <v>44971.25</v>
      </c>
      <c r="C1073" s="1" t="str">
        <f t="shared" si="32"/>
        <v>02-2023</v>
      </c>
      <c r="D1073" s="2">
        <f t="shared" si="33"/>
        <v>7</v>
      </c>
      <c r="E1073" t="s">
        <v>13</v>
      </c>
      <c r="F1073" t="s">
        <v>14</v>
      </c>
      <c r="G1073" t="s">
        <v>19</v>
      </c>
      <c r="H1073" s="2">
        <v>74051</v>
      </c>
      <c r="I1073" s="2">
        <v>6</v>
      </c>
      <c r="J1073" s="2">
        <v>97553</v>
      </c>
      <c r="K1073" s="2">
        <v>15163</v>
      </c>
      <c r="L1073" s="2">
        <v>4</v>
      </c>
      <c r="M1073" t="str">
        <f>IF(Revv_bike_sales_data[[#This Row],[delivery_days]]&lt;=7, "Yes", "No")</f>
        <v>Yes</v>
      </c>
      <c r="N1073" t="s">
        <v>16</v>
      </c>
      <c r="O1073" s="2">
        <v>82390</v>
      </c>
    </row>
    <row r="1074" spans="1:15" x14ac:dyDescent="0.3">
      <c r="A1074" s="2">
        <v>1064</v>
      </c>
      <c r="B1074" s="1">
        <v>44971.291666666664</v>
      </c>
      <c r="C1074" s="1" t="str">
        <f t="shared" si="32"/>
        <v>02-2023</v>
      </c>
      <c r="D1074" s="2">
        <f t="shared" si="33"/>
        <v>7</v>
      </c>
      <c r="E1074" t="s">
        <v>25</v>
      </c>
      <c r="F1074" t="s">
        <v>14</v>
      </c>
      <c r="G1074" t="s">
        <v>19</v>
      </c>
      <c r="H1074" s="2">
        <v>69166</v>
      </c>
      <c r="I1074" s="2">
        <v>3</v>
      </c>
      <c r="J1074" s="2">
        <v>172083</v>
      </c>
      <c r="K1074" s="2">
        <v>116614</v>
      </c>
      <c r="L1074" s="2">
        <v>2</v>
      </c>
      <c r="M1074" t="str">
        <f>IF(Revv_bike_sales_data[[#This Row],[delivery_days]]&lt;=7, "Yes", "No")</f>
        <v>Yes</v>
      </c>
      <c r="N1074" t="s">
        <v>16</v>
      </c>
      <c r="O1074" s="2">
        <v>55469</v>
      </c>
    </row>
    <row r="1075" spans="1:15" x14ac:dyDescent="0.3">
      <c r="A1075" s="2">
        <v>1065</v>
      </c>
      <c r="B1075" s="1">
        <v>44971.333333333336</v>
      </c>
      <c r="C1075" s="1" t="str">
        <f t="shared" si="32"/>
        <v>02-2023</v>
      </c>
      <c r="D1075" s="2">
        <f t="shared" si="33"/>
        <v>7</v>
      </c>
      <c r="E1075" t="s">
        <v>25</v>
      </c>
      <c r="F1075" t="s">
        <v>23</v>
      </c>
      <c r="G1075" t="s">
        <v>19</v>
      </c>
      <c r="H1075" s="2">
        <v>94119</v>
      </c>
      <c r="I1075" s="2">
        <v>8</v>
      </c>
      <c r="J1075" s="2">
        <v>108537</v>
      </c>
      <c r="K1075" s="2">
        <v>67540</v>
      </c>
      <c r="L1075" s="2">
        <v>12</v>
      </c>
      <c r="M1075" t="str">
        <f>IF(Revv_bike_sales_data[[#This Row],[delivery_days]]&lt;=7, "Yes", "No")</f>
        <v>No</v>
      </c>
      <c r="N1075" t="s">
        <v>24</v>
      </c>
      <c r="O1075" s="2">
        <v>40997</v>
      </c>
    </row>
    <row r="1076" spans="1:15" x14ac:dyDescent="0.3">
      <c r="A1076" s="2">
        <v>1066</v>
      </c>
      <c r="B1076" s="1">
        <v>44971.375</v>
      </c>
      <c r="C1076" s="1" t="str">
        <f t="shared" si="32"/>
        <v>02-2023</v>
      </c>
      <c r="D1076" s="2">
        <f t="shared" si="33"/>
        <v>7</v>
      </c>
      <c r="E1076" t="s">
        <v>13</v>
      </c>
      <c r="F1076" t="s">
        <v>23</v>
      </c>
      <c r="G1076" t="s">
        <v>21</v>
      </c>
      <c r="H1076" s="2">
        <v>82516</v>
      </c>
      <c r="I1076" s="2">
        <v>9</v>
      </c>
      <c r="J1076" s="2">
        <v>85985</v>
      </c>
      <c r="K1076" s="2">
        <v>97915</v>
      </c>
      <c r="L1076" s="2">
        <v>12</v>
      </c>
      <c r="M1076" t="str">
        <f>IF(Revv_bike_sales_data[[#This Row],[delivery_days]]&lt;=7, "Yes", "No")</f>
        <v>No</v>
      </c>
      <c r="N1076" t="s">
        <v>24</v>
      </c>
      <c r="O1076" s="2">
        <v>-11930</v>
      </c>
    </row>
    <row r="1077" spans="1:15" x14ac:dyDescent="0.3">
      <c r="A1077" s="2">
        <v>1067</v>
      </c>
      <c r="B1077" s="1">
        <v>44971.416666666664</v>
      </c>
      <c r="C1077" s="1" t="str">
        <f t="shared" si="32"/>
        <v>02-2023</v>
      </c>
      <c r="D1077" s="2">
        <f t="shared" si="33"/>
        <v>7</v>
      </c>
      <c r="E1077" t="s">
        <v>13</v>
      </c>
      <c r="F1077" t="s">
        <v>14</v>
      </c>
      <c r="G1077" t="s">
        <v>19</v>
      </c>
      <c r="H1077" s="2">
        <v>53510</v>
      </c>
      <c r="I1077" s="2">
        <v>1</v>
      </c>
      <c r="J1077" s="2">
        <v>42044</v>
      </c>
      <c r="K1077" s="2">
        <v>128295</v>
      </c>
      <c r="L1077" s="2">
        <v>9</v>
      </c>
      <c r="M1077" t="str">
        <f>IF(Revv_bike_sales_data[[#This Row],[delivery_days]]&lt;=7, "Yes", "No")</f>
        <v>No</v>
      </c>
      <c r="N1077" t="s">
        <v>16</v>
      </c>
      <c r="O1077" s="2">
        <v>-86251</v>
      </c>
    </row>
    <row r="1078" spans="1:15" x14ac:dyDescent="0.3">
      <c r="A1078" s="2">
        <v>1068</v>
      </c>
      <c r="B1078" s="1">
        <v>44971.458333333336</v>
      </c>
      <c r="C1078" s="1" t="str">
        <f t="shared" si="32"/>
        <v>02-2023</v>
      </c>
      <c r="D1078" s="2">
        <f t="shared" si="33"/>
        <v>7</v>
      </c>
      <c r="E1078" t="s">
        <v>17</v>
      </c>
      <c r="F1078" t="s">
        <v>14</v>
      </c>
      <c r="G1078" t="s">
        <v>20</v>
      </c>
      <c r="H1078" s="2">
        <v>38665</v>
      </c>
      <c r="I1078" s="2">
        <v>4</v>
      </c>
      <c r="J1078" s="2">
        <v>147304</v>
      </c>
      <c r="K1078" s="2">
        <v>45030</v>
      </c>
      <c r="L1078" s="2">
        <v>10</v>
      </c>
      <c r="M1078" t="str">
        <f>IF(Revv_bike_sales_data[[#This Row],[delivery_days]]&lt;=7, "Yes", "No")</f>
        <v>No</v>
      </c>
      <c r="N1078" t="s">
        <v>16</v>
      </c>
      <c r="O1078" s="2">
        <v>102274</v>
      </c>
    </row>
    <row r="1079" spans="1:15" x14ac:dyDescent="0.3">
      <c r="A1079" s="2">
        <v>1069</v>
      </c>
      <c r="B1079" s="1">
        <v>44971.5</v>
      </c>
      <c r="C1079" s="1" t="str">
        <f t="shared" si="32"/>
        <v>02-2023</v>
      </c>
      <c r="D1079" s="2">
        <f t="shared" si="33"/>
        <v>7</v>
      </c>
      <c r="E1079" t="s">
        <v>25</v>
      </c>
      <c r="F1079" t="s">
        <v>14</v>
      </c>
      <c r="G1079" t="s">
        <v>20</v>
      </c>
      <c r="H1079" s="2">
        <v>12028</v>
      </c>
      <c r="I1079" s="2">
        <v>7</v>
      </c>
      <c r="J1079" s="2">
        <v>161322</v>
      </c>
      <c r="K1079" s="2">
        <v>70313</v>
      </c>
      <c r="L1079" s="2">
        <v>13</v>
      </c>
      <c r="M1079" t="str">
        <f>IF(Revv_bike_sales_data[[#This Row],[delivery_days]]&lt;=7, "Yes", "No")</f>
        <v>No</v>
      </c>
      <c r="N1079" t="s">
        <v>16</v>
      </c>
      <c r="O1079" s="2">
        <v>91009</v>
      </c>
    </row>
    <row r="1080" spans="1:15" x14ac:dyDescent="0.3">
      <c r="A1080" s="2">
        <v>1070</v>
      </c>
      <c r="B1080" s="1">
        <v>44971.541666666664</v>
      </c>
      <c r="C1080" s="1" t="str">
        <f t="shared" si="32"/>
        <v>02-2023</v>
      </c>
      <c r="D1080" s="2">
        <f t="shared" si="33"/>
        <v>7</v>
      </c>
      <c r="E1080" t="s">
        <v>25</v>
      </c>
      <c r="F1080" t="s">
        <v>23</v>
      </c>
      <c r="G1080" t="s">
        <v>19</v>
      </c>
      <c r="H1080" s="2">
        <v>50108</v>
      </c>
      <c r="I1080" s="2">
        <v>4</v>
      </c>
      <c r="J1080" s="2">
        <v>48289</v>
      </c>
      <c r="K1080" s="2">
        <v>44870</v>
      </c>
      <c r="L1080" s="2">
        <v>2</v>
      </c>
      <c r="M1080" t="str">
        <f>IF(Revv_bike_sales_data[[#This Row],[delivery_days]]&lt;=7, "Yes", "No")</f>
        <v>Yes</v>
      </c>
      <c r="N1080" t="s">
        <v>16</v>
      </c>
      <c r="O1080" s="2">
        <v>3419</v>
      </c>
    </row>
    <row r="1081" spans="1:15" x14ac:dyDescent="0.3">
      <c r="A1081" s="2">
        <v>1071</v>
      </c>
      <c r="B1081" s="1">
        <v>44971.583333333336</v>
      </c>
      <c r="C1081" s="1" t="str">
        <f t="shared" si="32"/>
        <v>02-2023</v>
      </c>
      <c r="D1081" s="2">
        <f t="shared" si="33"/>
        <v>7</v>
      </c>
      <c r="E1081" t="s">
        <v>17</v>
      </c>
      <c r="F1081" t="s">
        <v>23</v>
      </c>
      <c r="G1081" t="s">
        <v>20</v>
      </c>
      <c r="H1081" s="2">
        <v>6414</v>
      </c>
      <c r="I1081" s="2">
        <v>9</v>
      </c>
      <c r="J1081" s="2">
        <v>58087</v>
      </c>
      <c r="K1081" s="2">
        <v>131565</v>
      </c>
      <c r="L1081" s="2">
        <v>10</v>
      </c>
      <c r="M1081" t="str">
        <f>IF(Revv_bike_sales_data[[#This Row],[delivery_days]]&lt;=7, "Yes", "No")</f>
        <v>No</v>
      </c>
      <c r="N1081" t="s">
        <v>16</v>
      </c>
      <c r="O1081" s="2">
        <v>-73478</v>
      </c>
    </row>
    <row r="1082" spans="1:15" x14ac:dyDescent="0.3">
      <c r="A1082" s="2">
        <v>1072</v>
      </c>
      <c r="B1082" s="1">
        <v>44971.625</v>
      </c>
      <c r="C1082" s="1" t="str">
        <f t="shared" si="32"/>
        <v>02-2023</v>
      </c>
      <c r="D1082" s="2">
        <f t="shared" si="33"/>
        <v>7</v>
      </c>
      <c r="E1082" t="s">
        <v>18</v>
      </c>
      <c r="F1082" t="s">
        <v>14</v>
      </c>
      <c r="G1082" t="s">
        <v>15</v>
      </c>
      <c r="H1082" s="2">
        <v>37636</v>
      </c>
      <c r="I1082" s="2">
        <v>7</v>
      </c>
      <c r="J1082" s="2">
        <v>100952</v>
      </c>
      <c r="K1082" s="2">
        <v>139703</v>
      </c>
      <c r="L1082" s="2">
        <v>2</v>
      </c>
      <c r="M1082" t="str">
        <f>IF(Revv_bike_sales_data[[#This Row],[delivery_days]]&lt;=7, "Yes", "No")</f>
        <v>Yes</v>
      </c>
      <c r="N1082" t="s">
        <v>16</v>
      </c>
      <c r="O1082" s="2">
        <v>-38751</v>
      </c>
    </row>
    <row r="1083" spans="1:15" x14ac:dyDescent="0.3">
      <c r="A1083" s="2">
        <v>1073</v>
      </c>
      <c r="B1083" s="1">
        <v>44971.666666666664</v>
      </c>
      <c r="C1083" s="1" t="str">
        <f t="shared" si="32"/>
        <v>02-2023</v>
      </c>
      <c r="D1083" s="2">
        <f t="shared" si="33"/>
        <v>7</v>
      </c>
      <c r="E1083" t="s">
        <v>18</v>
      </c>
      <c r="F1083" t="s">
        <v>14</v>
      </c>
      <c r="G1083" t="s">
        <v>21</v>
      </c>
      <c r="H1083" s="2">
        <v>11679</v>
      </c>
      <c r="I1083" s="2">
        <v>7</v>
      </c>
      <c r="J1083" s="2">
        <v>61368</v>
      </c>
      <c r="K1083" s="2">
        <v>44482</v>
      </c>
      <c r="L1083" s="2">
        <v>14</v>
      </c>
      <c r="M1083" t="str">
        <f>IF(Revv_bike_sales_data[[#This Row],[delivery_days]]&lt;=7, "Yes", "No")</f>
        <v>No</v>
      </c>
      <c r="N1083" t="s">
        <v>16</v>
      </c>
      <c r="O1083" s="2">
        <v>16886</v>
      </c>
    </row>
    <row r="1084" spans="1:15" x14ac:dyDescent="0.3">
      <c r="A1084" s="2">
        <v>1074</v>
      </c>
      <c r="B1084" s="1">
        <v>44971.708333333336</v>
      </c>
      <c r="C1084" s="1" t="str">
        <f t="shared" si="32"/>
        <v>02-2023</v>
      </c>
      <c r="D1084" s="2">
        <f t="shared" si="33"/>
        <v>7</v>
      </c>
      <c r="E1084" t="s">
        <v>18</v>
      </c>
      <c r="F1084" t="s">
        <v>14</v>
      </c>
      <c r="G1084" t="s">
        <v>19</v>
      </c>
      <c r="H1084" s="2">
        <v>86508</v>
      </c>
      <c r="I1084" s="2">
        <v>8</v>
      </c>
      <c r="J1084" s="2">
        <v>145648</v>
      </c>
      <c r="K1084" s="2">
        <v>46058</v>
      </c>
      <c r="L1084" s="2">
        <v>13</v>
      </c>
      <c r="M1084" t="str">
        <f>IF(Revv_bike_sales_data[[#This Row],[delivery_days]]&lt;=7, "Yes", "No")</f>
        <v>No</v>
      </c>
      <c r="N1084" t="s">
        <v>16</v>
      </c>
      <c r="O1084" s="2">
        <v>99590</v>
      </c>
    </row>
    <row r="1085" spans="1:15" x14ac:dyDescent="0.3">
      <c r="A1085" s="2">
        <v>1075</v>
      </c>
      <c r="B1085" s="1">
        <v>44971.75</v>
      </c>
      <c r="C1085" s="1" t="str">
        <f t="shared" si="32"/>
        <v>02-2023</v>
      </c>
      <c r="D1085" s="2">
        <f t="shared" si="33"/>
        <v>7</v>
      </c>
      <c r="E1085" t="s">
        <v>17</v>
      </c>
      <c r="F1085" t="s">
        <v>14</v>
      </c>
      <c r="G1085" t="s">
        <v>19</v>
      </c>
      <c r="H1085" s="2">
        <v>12576</v>
      </c>
      <c r="I1085" s="2">
        <v>9</v>
      </c>
      <c r="J1085" s="2">
        <v>95815</v>
      </c>
      <c r="K1085" s="2">
        <v>72255</v>
      </c>
      <c r="L1085" s="2">
        <v>5</v>
      </c>
      <c r="M1085" t="str">
        <f>IF(Revv_bike_sales_data[[#This Row],[delivery_days]]&lt;=7, "Yes", "No")</f>
        <v>Yes</v>
      </c>
      <c r="N1085" t="s">
        <v>16</v>
      </c>
      <c r="O1085" s="2">
        <v>23560</v>
      </c>
    </row>
    <row r="1086" spans="1:15" x14ac:dyDescent="0.3">
      <c r="A1086" s="2">
        <v>1076</v>
      </c>
      <c r="B1086" s="1">
        <v>44971.791666666664</v>
      </c>
      <c r="C1086" s="1" t="str">
        <f t="shared" si="32"/>
        <v>02-2023</v>
      </c>
      <c r="D1086" s="2">
        <f t="shared" si="33"/>
        <v>7</v>
      </c>
      <c r="E1086" t="s">
        <v>25</v>
      </c>
      <c r="F1086" t="s">
        <v>14</v>
      </c>
      <c r="G1086" t="s">
        <v>21</v>
      </c>
      <c r="H1086" s="2">
        <v>25283</v>
      </c>
      <c r="I1086" s="2">
        <v>5</v>
      </c>
      <c r="J1086" s="2">
        <v>115693</v>
      </c>
      <c r="K1086" s="2">
        <v>107407</v>
      </c>
      <c r="L1086" s="2">
        <v>12</v>
      </c>
      <c r="M1086" t="str">
        <f>IF(Revv_bike_sales_data[[#This Row],[delivery_days]]&lt;=7, "Yes", "No")</f>
        <v>No</v>
      </c>
      <c r="N1086" t="s">
        <v>16</v>
      </c>
      <c r="O1086" s="2">
        <v>8286</v>
      </c>
    </row>
    <row r="1087" spans="1:15" x14ac:dyDescent="0.3">
      <c r="A1087" s="2">
        <v>1077</v>
      </c>
      <c r="B1087" s="1">
        <v>44971.833333333336</v>
      </c>
      <c r="C1087" s="1" t="str">
        <f t="shared" si="32"/>
        <v>02-2023</v>
      </c>
      <c r="D1087" s="2">
        <f t="shared" si="33"/>
        <v>7</v>
      </c>
      <c r="E1087" t="s">
        <v>17</v>
      </c>
      <c r="F1087" t="s">
        <v>14</v>
      </c>
      <c r="G1087" t="s">
        <v>20</v>
      </c>
      <c r="H1087" s="2">
        <v>47216</v>
      </c>
      <c r="I1087" s="2">
        <v>3</v>
      </c>
      <c r="J1087" s="2">
        <v>83900</v>
      </c>
      <c r="K1087" s="2">
        <v>132952</v>
      </c>
      <c r="L1087" s="2">
        <v>5</v>
      </c>
      <c r="M1087" t="str">
        <f>IF(Revv_bike_sales_data[[#This Row],[delivery_days]]&lt;=7, "Yes", "No")</f>
        <v>Yes</v>
      </c>
      <c r="N1087" t="s">
        <v>16</v>
      </c>
      <c r="O1087" s="2">
        <v>-49052</v>
      </c>
    </row>
    <row r="1088" spans="1:15" x14ac:dyDescent="0.3">
      <c r="A1088" s="2">
        <v>1078</v>
      </c>
      <c r="B1088" s="1">
        <v>44971.875</v>
      </c>
      <c r="C1088" s="1" t="str">
        <f t="shared" si="32"/>
        <v>02-2023</v>
      </c>
      <c r="D1088" s="2">
        <f t="shared" si="33"/>
        <v>7</v>
      </c>
      <c r="E1088" t="s">
        <v>17</v>
      </c>
      <c r="F1088" t="s">
        <v>14</v>
      </c>
      <c r="G1088" t="s">
        <v>21</v>
      </c>
      <c r="H1088" s="2">
        <v>50798</v>
      </c>
      <c r="I1088" s="2">
        <v>2</v>
      </c>
      <c r="J1088" s="2">
        <v>40494</v>
      </c>
      <c r="K1088" s="2">
        <v>79930</v>
      </c>
      <c r="L1088" s="2">
        <v>12</v>
      </c>
      <c r="M1088" t="str">
        <f>IF(Revv_bike_sales_data[[#This Row],[delivery_days]]&lt;=7, "Yes", "No")</f>
        <v>No</v>
      </c>
      <c r="N1088" t="s">
        <v>16</v>
      </c>
      <c r="O1088" s="2">
        <v>-39436</v>
      </c>
    </row>
    <row r="1089" spans="1:15" x14ac:dyDescent="0.3">
      <c r="A1089" s="2">
        <v>1079</v>
      </c>
      <c r="B1089" s="1">
        <v>44971.916666666664</v>
      </c>
      <c r="C1089" s="1" t="str">
        <f t="shared" si="32"/>
        <v>02-2023</v>
      </c>
      <c r="D1089" s="2">
        <f t="shared" si="33"/>
        <v>7</v>
      </c>
      <c r="E1089" t="s">
        <v>18</v>
      </c>
      <c r="F1089" t="s">
        <v>14</v>
      </c>
      <c r="G1089" t="s">
        <v>21</v>
      </c>
      <c r="H1089" s="2">
        <v>54804</v>
      </c>
      <c r="I1089" s="2">
        <v>4</v>
      </c>
      <c r="J1089" s="2">
        <v>141486</v>
      </c>
      <c r="K1089" s="2">
        <v>65500</v>
      </c>
      <c r="L1089" s="2">
        <v>7</v>
      </c>
      <c r="M1089" t="str">
        <f>IF(Revv_bike_sales_data[[#This Row],[delivery_days]]&lt;=7, "Yes", "No")</f>
        <v>Yes</v>
      </c>
      <c r="N1089" t="s">
        <v>24</v>
      </c>
      <c r="O1089" s="2">
        <v>75986</v>
      </c>
    </row>
    <row r="1090" spans="1:15" x14ac:dyDescent="0.3">
      <c r="A1090" s="2">
        <v>1080</v>
      </c>
      <c r="B1090" s="1">
        <v>44971.958333333336</v>
      </c>
      <c r="C1090" s="1" t="str">
        <f t="shared" si="32"/>
        <v>02-2023</v>
      </c>
      <c r="D1090" s="2">
        <f t="shared" si="33"/>
        <v>7</v>
      </c>
      <c r="E1090" t="s">
        <v>22</v>
      </c>
      <c r="F1090" t="s">
        <v>14</v>
      </c>
      <c r="G1090" t="s">
        <v>20</v>
      </c>
      <c r="H1090" s="2">
        <v>79860</v>
      </c>
      <c r="I1090" s="2">
        <v>5</v>
      </c>
      <c r="J1090" s="2">
        <v>58050</v>
      </c>
      <c r="K1090" s="2">
        <v>41379</v>
      </c>
      <c r="L1090" s="2">
        <v>1</v>
      </c>
      <c r="M1090" t="str">
        <f>IF(Revv_bike_sales_data[[#This Row],[delivery_days]]&lt;=7, "Yes", "No")</f>
        <v>Yes</v>
      </c>
      <c r="N1090" t="s">
        <v>16</v>
      </c>
      <c r="O1090" s="2">
        <v>16671</v>
      </c>
    </row>
    <row r="1091" spans="1:15" x14ac:dyDescent="0.3">
      <c r="A1091" s="2">
        <v>1081</v>
      </c>
      <c r="B1091" s="1">
        <v>44972</v>
      </c>
      <c r="C1091" s="1" t="str">
        <f t="shared" si="32"/>
        <v>02-2023</v>
      </c>
      <c r="D1091" s="2">
        <f t="shared" si="33"/>
        <v>7</v>
      </c>
      <c r="E1091" t="s">
        <v>25</v>
      </c>
      <c r="F1091" t="s">
        <v>23</v>
      </c>
      <c r="G1091" t="s">
        <v>21</v>
      </c>
      <c r="H1091" s="2">
        <v>70335</v>
      </c>
      <c r="I1091" s="2">
        <v>2</v>
      </c>
      <c r="J1091" s="2">
        <v>122799</v>
      </c>
      <c r="K1091" s="2">
        <v>82787</v>
      </c>
      <c r="L1091" s="2">
        <v>12</v>
      </c>
      <c r="M1091" t="str">
        <f>IF(Revv_bike_sales_data[[#This Row],[delivery_days]]&lt;=7, "Yes", "No")</f>
        <v>No</v>
      </c>
      <c r="N1091" t="s">
        <v>16</v>
      </c>
      <c r="O1091" s="2">
        <v>40012</v>
      </c>
    </row>
    <row r="1092" spans="1:15" x14ac:dyDescent="0.3">
      <c r="A1092" s="2">
        <v>1082</v>
      </c>
      <c r="B1092" s="1">
        <v>44972.041666666664</v>
      </c>
      <c r="C1092" s="1" t="str">
        <f t="shared" si="32"/>
        <v>02-2023</v>
      </c>
      <c r="D1092" s="2">
        <f t="shared" si="33"/>
        <v>7</v>
      </c>
      <c r="E1092" t="s">
        <v>18</v>
      </c>
      <c r="F1092" t="s">
        <v>14</v>
      </c>
      <c r="G1092" t="s">
        <v>20</v>
      </c>
      <c r="H1092" s="2">
        <v>8618</v>
      </c>
      <c r="I1092" s="2">
        <v>1</v>
      </c>
      <c r="J1092" s="2">
        <v>156016</v>
      </c>
      <c r="K1092" s="2">
        <v>124396</v>
      </c>
      <c r="L1092" s="2">
        <v>2</v>
      </c>
      <c r="M1092" t="str">
        <f>IF(Revv_bike_sales_data[[#This Row],[delivery_days]]&lt;=7, "Yes", "No")</f>
        <v>Yes</v>
      </c>
      <c r="N1092" t="s">
        <v>24</v>
      </c>
      <c r="O1092" s="2">
        <v>31620</v>
      </c>
    </row>
    <row r="1093" spans="1:15" x14ac:dyDescent="0.3">
      <c r="A1093" s="2">
        <v>1083</v>
      </c>
      <c r="B1093" s="1">
        <v>44972.083333333336</v>
      </c>
      <c r="C1093" s="1" t="str">
        <f t="shared" si="32"/>
        <v>02-2023</v>
      </c>
      <c r="D1093" s="2">
        <f t="shared" si="33"/>
        <v>7</v>
      </c>
      <c r="E1093" t="s">
        <v>22</v>
      </c>
      <c r="F1093" t="s">
        <v>14</v>
      </c>
      <c r="G1093" t="s">
        <v>20</v>
      </c>
      <c r="H1093" s="2">
        <v>76792</v>
      </c>
      <c r="I1093" s="2">
        <v>6</v>
      </c>
      <c r="J1093" s="2">
        <v>113257</v>
      </c>
      <c r="K1093" s="2">
        <v>38674</v>
      </c>
      <c r="L1093" s="2">
        <v>11</v>
      </c>
      <c r="M1093" t="str">
        <f>IF(Revv_bike_sales_data[[#This Row],[delivery_days]]&lt;=7, "Yes", "No")</f>
        <v>No</v>
      </c>
      <c r="N1093" t="s">
        <v>16</v>
      </c>
      <c r="O1093" s="2">
        <v>74583</v>
      </c>
    </row>
    <row r="1094" spans="1:15" x14ac:dyDescent="0.3">
      <c r="A1094" s="2">
        <v>1084</v>
      </c>
      <c r="B1094" s="1">
        <v>44972.125</v>
      </c>
      <c r="C1094" s="1" t="str">
        <f t="shared" si="32"/>
        <v>02-2023</v>
      </c>
      <c r="D1094" s="2">
        <f t="shared" si="33"/>
        <v>7</v>
      </c>
      <c r="E1094" t="s">
        <v>22</v>
      </c>
      <c r="F1094" t="s">
        <v>14</v>
      </c>
      <c r="G1094" t="s">
        <v>21</v>
      </c>
      <c r="H1094" s="2">
        <v>57411</v>
      </c>
      <c r="I1094" s="2">
        <v>4</v>
      </c>
      <c r="J1094" s="2">
        <v>73070</v>
      </c>
      <c r="K1094" s="2">
        <v>139473</v>
      </c>
      <c r="L1094" s="2">
        <v>11</v>
      </c>
      <c r="M1094" t="str">
        <f>IF(Revv_bike_sales_data[[#This Row],[delivery_days]]&lt;=7, "Yes", "No")</f>
        <v>No</v>
      </c>
      <c r="N1094" t="s">
        <v>16</v>
      </c>
      <c r="O1094" s="2">
        <v>-66403</v>
      </c>
    </row>
    <row r="1095" spans="1:15" x14ac:dyDescent="0.3">
      <c r="A1095" s="2">
        <v>1085</v>
      </c>
      <c r="B1095" s="1">
        <v>44972.166666666664</v>
      </c>
      <c r="C1095" s="1" t="str">
        <f t="shared" si="32"/>
        <v>02-2023</v>
      </c>
      <c r="D1095" s="2">
        <f t="shared" si="33"/>
        <v>7</v>
      </c>
      <c r="E1095" t="s">
        <v>13</v>
      </c>
      <c r="F1095" t="s">
        <v>14</v>
      </c>
      <c r="G1095" t="s">
        <v>15</v>
      </c>
      <c r="H1095" s="2">
        <v>73989</v>
      </c>
      <c r="I1095" s="2">
        <v>8</v>
      </c>
      <c r="J1095" s="2">
        <v>30166</v>
      </c>
      <c r="K1095" s="2">
        <v>137706</v>
      </c>
      <c r="L1095" s="2">
        <v>6</v>
      </c>
      <c r="M1095" t="str">
        <f>IF(Revv_bike_sales_data[[#This Row],[delivery_days]]&lt;=7, "Yes", "No")</f>
        <v>Yes</v>
      </c>
      <c r="N1095" t="s">
        <v>16</v>
      </c>
      <c r="O1095" s="2">
        <v>-107540</v>
      </c>
    </row>
    <row r="1096" spans="1:15" x14ac:dyDescent="0.3">
      <c r="A1096" s="2">
        <v>1086</v>
      </c>
      <c r="B1096" s="1">
        <v>44972.208333333336</v>
      </c>
      <c r="C1096" s="1" t="str">
        <f t="shared" si="32"/>
        <v>02-2023</v>
      </c>
      <c r="D1096" s="2">
        <f t="shared" si="33"/>
        <v>7</v>
      </c>
      <c r="E1096" t="s">
        <v>25</v>
      </c>
      <c r="F1096" t="s">
        <v>14</v>
      </c>
      <c r="G1096" t="s">
        <v>20</v>
      </c>
      <c r="H1096" s="2">
        <v>15685</v>
      </c>
      <c r="I1096" s="2">
        <v>2</v>
      </c>
      <c r="J1096" s="2">
        <v>163193</v>
      </c>
      <c r="K1096" s="2">
        <v>21590</v>
      </c>
      <c r="L1096" s="2">
        <v>2</v>
      </c>
      <c r="M1096" t="str">
        <f>IF(Revv_bike_sales_data[[#This Row],[delivery_days]]&lt;=7, "Yes", "No")</f>
        <v>Yes</v>
      </c>
      <c r="N1096" t="s">
        <v>16</v>
      </c>
      <c r="O1096" s="2">
        <v>141603</v>
      </c>
    </row>
    <row r="1097" spans="1:15" x14ac:dyDescent="0.3">
      <c r="A1097" s="2">
        <v>1087</v>
      </c>
      <c r="B1097" s="1">
        <v>44972.25</v>
      </c>
      <c r="C1097" s="1" t="str">
        <f t="shared" si="32"/>
        <v>02-2023</v>
      </c>
      <c r="D1097" s="2">
        <f t="shared" si="33"/>
        <v>7</v>
      </c>
      <c r="E1097" t="s">
        <v>22</v>
      </c>
      <c r="F1097" t="s">
        <v>14</v>
      </c>
      <c r="G1097" t="s">
        <v>21</v>
      </c>
      <c r="H1097" s="2">
        <v>42292</v>
      </c>
      <c r="I1097" s="2">
        <v>7</v>
      </c>
      <c r="J1097" s="2">
        <v>170749</v>
      </c>
      <c r="K1097" s="2">
        <v>46432</v>
      </c>
      <c r="L1097" s="2">
        <v>4</v>
      </c>
      <c r="M1097" t="str">
        <f>IF(Revv_bike_sales_data[[#This Row],[delivery_days]]&lt;=7, "Yes", "No")</f>
        <v>Yes</v>
      </c>
      <c r="N1097" t="s">
        <v>16</v>
      </c>
      <c r="O1097" s="2">
        <v>124317</v>
      </c>
    </row>
    <row r="1098" spans="1:15" x14ac:dyDescent="0.3">
      <c r="A1098" s="2">
        <v>1088</v>
      </c>
      <c r="B1098" s="1">
        <v>44972.291666666664</v>
      </c>
      <c r="C1098" s="1" t="str">
        <f t="shared" si="32"/>
        <v>02-2023</v>
      </c>
      <c r="D1098" s="2">
        <f t="shared" si="33"/>
        <v>7</v>
      </c>
      <c r="E1098" t="s">
        <v>18</v>
      </c>
      <c r="F1098" t="s">
        <v>14</v>
      </c>
      <c r="G1098" t="s">
        <v>20</v>
      </c>
      <c r="H1098" s="2">
        <v>80710</v>
      </c>
      <c r="I1098" s="2">
        <v>5</v>
      </c>
      <c r="J1098" s="2">
        <v>112409</v>
      </c>
      <c r="K1098" s="2">
        <v>55426</v>
      </c>
      <c r="L1098" s="2">
        <v>10</v>
      </c>
      <c r="M1098" t="str">
        <f>IF(Revv_bike_sales_data[[#This Row],[delivery_days]]&lt;=7, "Yes", "No")</f>
        <v>No</v>
      </c>
      <c r="N1098" t="s">
        <v>16</v>
      </c>
      <c r="O1098" s="2">
        <v>56983</v>
      </c>
    </row>
    <row r="1099" spans="1:15" x14ac:dyDescent="0.3">
      <c r="A1099" s="2">
        <v>1089</v>
      </c>
      <c r="B1099" s="1">
        <v>44972.333333333336</v>
      </c>
      <c r="C1099" s="1" t="str">
        <f t="shared" ref="C1099:C1162" si="34">TEXT(B1099,"mm-yyyy")</f>
        <v>02-2023</v>
      </c>
      <c r="D1099" s="2">
        <f t="shared" ref="D1099:D1162" si="35">WEEKNUM(B1099)</f>
        <v>7</v>
      </c>
      <c r="E1099" t="s">
        <v>13</v>
      </c>
      <c r="F1099" t="s">
        <v>14</v>
      </c>
      <c r="G1099" t="s">
        <v>15</v>
      </c>
      <c r="H1099" s="2">
        <v>51113</v>
      </c>
      <c r="I1099" s="2">
        <v>3</v>
      </c>
      <c r="J1099" s="2">
        <v>62664</v>
      </c>
      <c r="K1099" s="2">
        <v>64584</v>
      </c>
      <c r="L1099" s="2">
        <v>6</v>
      </c>
      <c r="M1099" t="str">
        <f>IF(Revv_bike_sales_data[[#This Row],[delivery_days]]&lt;=7, "Yes", "No")</f>
        <v>Yes</v>
      </c>
      <c r="N1099" t="s">
        <v>16</v>
      </c>
      <c r="O1099" s="2">
        <v>-1920</v>
      </c>
    </row>
    <row r="1100" spans="1:15" x14ac:dyDescent="0.3">
      <c r="A1100" s="2">
        <v>1090</v>
      </c>
      <c r="B1100" s="1">
        <v>44972.375</v>
      </c>
      <c r="C1100" s="1" t="str">
        <f t="shared" si="34"/>
        <v>02-2023</v>
      </c>
      <c r="D1100" s="2">
        <f t="shared" si="35"/>
        <v>7</v>
      </c>
      <c r="E1100" t="s">
        <v>25</v>
      </c>
      <c r="F1100" t="s">
        <v>14</v>
      </c>
      <c r="G1100" t="s">
        <v>15</v>
      </c>
      <c r="H1100" s="2">
        <v>34427</v>
      </c>
      <c r="I1100" s="2">
        <v>8</v>
      </c>
      <c r="J1100" s="2">
        <v>154926</v>
      </c>
      <c r="K1100" s="2">
        <v>102663</v>
      </c>
      <c r="L1100" s="2">
        <v>13</v>
      </c>
      <c r="M1100" t="str">
        <f>IF(Revv_bike_sales_data[[#This Row],[delivery_days]]&lt;=7, "Yes", "No")</f>
        <v>No</v>
      </c>
      <c r="N1100" t="s">
        <v>16</v>
      </c>
      <c r="O1100" s="2">
        <v>52263</v>
      </c>
    </row>
    <row r="1101" spans="1:15" x14ac:dyDescent="0.3">
      <c r="A1101" s="2">
        <v>1091</v>
      </c>
      <c r="B1101" s="1">
        <v>44972.416666666664</v>
      </c>
      <c r="C1101" s="1" t="str">
        <f t="shared" si="34"/>
        <v>02-2023</v>
      </c>
      <c r="D1101" s="2">
        <f t="shared" si="35"/>
        <v>7</v>
      </c>
      <c r="E1101" t="s">
        <v>17</v>
      </c>
      <c r="F1101" t="s">
        <v>14</v>
      </c>
      <c r="G1101" t="s">
        <v>19</v>
      </c>
      <c r="H1101" s="2">
        <v>886</v>
      </c>
      <c r="I1101" s="2">
        <v>4</v>
      </c>
      <c r="J1101" s="2">
        <v>26293</v>
      </c>
      <c r="K1101" s="2">
        <v>53015</v>
      </c>
      <c r="L1101" s="2">
        <v>12</v>
      </c>
      <c r="M1101" t="str">
        <f>IF(Revv_bike_sales_data[[#This Row],[delivery_days]]&lt;=7, "Yes", "No")</f>
        <v>No</v>
      </c>
      <c r="N1101" t="s">
        <v>16</v>
      </c>
      <c r="O1101" s="2">
        <v>-26722</v>
      </c>
    </row>
    <row r="1102" spans="1:15" x14ac:dyDescent="0.3">
      <c r="A1102" s="2">
        <v>1092</v>
      </c>
      <c r="B1102" s="1">
        <v>44972.458333333336</v>
      </c>
      <c r="C1102" s="1" t="str">
        <f t="shared" si="34"/>
        <v>02-2023</v>
      </c>
      <c r="D1102" s="2">
        <f t="shared" si="35"/>
        <v>7</v>
      </c>
      <c r="E1102" t="s">
        <v>18</v>
      </c>
      <c r="F1102" t="s">
        <v>14</v>
      </c>
      <c r="G1102" t="s">
        <v>20</v>
      </c>
      <c r="H1102" s="2">
        <v>92653</v>
      </c>
      <c r="I1102" s="2">
        <v>9</v>
      </c>
      <c r="J1102" s="2">
        <v>178515</v>
      </c>
      <c r="K1102" s="2">
        <v>88251</v>
      </c>
      <c r="L1102" s="2">
        <v>7</v>
      </c>
      <c r="M1102" t="str">
        <f>IF(Revv_bike_sales_data[[#This Row],[delivery_days]]&lt;=7, "Yes", "No")</f>
        <v>Yes</v>
      </c>
      <c r="N1102" t="s">
        <v>16</v>
      </c>
      <c r="O1102" s="2">
        <v>90264</v>
      </c>
    </row>
    <row r="1103" spans="1:15" x14ac:dyDescent="0.3">
      <c r="A1103" s="2">
        <v>1093</v>
      </c>
      <c r="B1103" s="1">
        <v>44972.5</v>
      </c>
      <c r="C1103" s="1" t="str">
        <f t="shared" si="34"/>
        <v>02-2023</v>
      </c>
      <c r="D1103" s="2">
        <f t="shared" si="35"/>
        <v>7</v>
      </c>
      <c r="E1103" t="s">
        <v>22</v>
      </c>
      <c r="F1103" t="s">
        <v>14</v>
      </c>
      <c r="G1103" t="s">
        <v>20</v>
      </c>
      <c r="H1103" s="2">
        <v>73228</v>
      </c>
      <c r="I1103" s="2">
        <v>5</v>
      </c>
      <c r="J1103" s="2">
        <v>74212</v>
      </c>
      <c r="K1103" s="2">
        <v>84353</v>
      </c>
      <c r="L1103" s="2">
        <v>10</v>
      </c>
      <c r="M1103" t="str">
        <f>IF(Revv_bike_sales_data[[#This Row],[delivery_days]]&lt;=7, "Yes", "No")</f>
        <v>No</v>
      </c>
      <c r="N1103" t="s">
        <v>24</v>
      </c>
      <c r="O1103" s="2">
        <v>-10141</v>
      </c>
    </row>
    <row r="1104" spans="1:15" x14ac:dyDescent="0.3">
      <c r="A1104" s="2">
        <v>1094</v>
      </c>
      <c r="B1104" s="1">
        <v>44972.541666666664</v>
      </c>
      <c r="C1104" s="1" t="str">
        <f t="shared" si="34"/>
        <v>02-2023</v>
      </c>
      <c r="D1104" s="2">
        <f t="shared" si="35"/>
        <v>7</v>
      </c>
      <c r="E1104" t="s">
        <v>22</v>
      </c>
      <c r="F1104" t="s">
        <v>14</v>
      </c>
      <c r="G1104" t="s">
        <v>21</v>
      </c>
      <c r="H1104" s="2">
        <v>76781</v>
      </c>
      <c r="I1104" s="2">
        <v>8</v>
      </c>
      <c r="J1104" s="2">
        <v>100276</v>
      </c>
      <c r="K1104" s="2">
        <v>110029</v>
      </c>
      <c r="L1104" s="2">
        <v>5</v>
      </c>
      <c r="M1104" t="str">
        <f>IF(Revv_bike_sales_data[[#This Row],[delivery_days]]&lt;=7, "Yes", "No")</f>
        <v>Yes</v>
      </c>
      <c r="N1104" t="s">
        <v>24</v>
      </c>
      <c r="O1104" s="2">
        <v>-9753</v>
      </c>
    </row>
    <row r="1105" spans="1:15" x14ac:dyDescent="0.3">
      <c r="A1105" s="2">
        <v>1095</v>
      </c>
      <c r="B1105" s="1">
        <v>44972.583333333336</v>
      </c>
      <c r="C1105" s="1" t="str">
        <f t="shared" si="34"/>
        <v>02-2023</v>
      </c>
      <c r="D1105" s="2">
        <f t="shared" si="35"/>
        <v>7</v>
      </c>
      <c r="E1105" t="s">
        <v>18</v>
      </c>
      <c r="F1105" t="s">
        <v>14</v>
      </c>
      <c r="G1105" t="s">
        <v>20</v>
      </c>
      <c r="H1105" s="2">
        <v>30520</v>
      </c>
      <c r="I1105" s="2">
        <v>6</v>
      </c>
      <c r="J1105" s="2">
        <v>37559</v>
      </c>
      <c r="K1105" s="2">
        <v>97990</v>
      </c>
      <c r="L1105" s="2">
        <v>8</v>
      </c>
      <c r="M1105" t="str">
        <f>IF(Revv_bike_sales_data[[#This Row],[delivery_days]]&lt;=7, "Yes", "No")</f>
        <v>No</v>
      </c>
      <c r="N1105" t="s">
        <v>16</v>
      </c>
      <c r="O1105" s="2">
        <v>-60431</v>
      </c>
    </row>
    <row r="1106" spans="1:15" x14ac:dyDescent="0.3">
      <c r="A1106" s="2">
        <v>1096</v>
      </c>
      <c r="B1106" s="1">
        <v>44972.625</v>
      </c>
      <c r="C1106" s="1" t="str">
        <f t="shared" si="34"/>
        <v>02-2023</v>
      </c>
      <c r="D1106" s="2">
        <f t="shared" si="35"/>
        <v>7</v>
      </c>
      <c r="E1106" t="s">
        <v>22</v>
      </c>
      <c r="F1106" t="s">
        <v>14</v>
      </c>
      <c r="G1106" t="s">
        <v>19</v>
      </c>
      <c r="H1106" s="2">
        <v>43178</v>
      </c>
      <c r="I1106" s="2">
        <v>4</v>
      </c>
      <c r="J1106" s="2">
        <v>90231</v>
      </c>
      <c r="K1106" s="2">
        <v>19600</v>
      </c>
      <c r="L1106" s="2">
        <v>6</v>
      </c>
      <c r="M1106" t="str">
        <f>IF(Revv_bike_sales_data[[#This Row],[delivery_days]]&lt;=7, "Yes", "No")</f>
        <v>Yes</v>
      </c>
      <c r="N1106" t="s">
        <v>16</v>
      </c>
      <c r="O1106" s="2">
        <v>70631</v>
      </c>
    </row>
    <row r="1107" spans="1:15" x14ac:dyDescent="0.3">
      <c r="A1107" s="2">
        <v>1097</v>
      </c>
      <c r="B1107" s="1">
        <v>44972.666666666664</v>
      </c>
      <c r="C1107" s="1" t="str">
        <f t="shared" si="34"/>
        <v>02-2023</v>
      </c>
      <c r="D1107" s="2">
        <f t="shared" si="35"/>
        <v>7</v>
      </c>
      <c r="E1107" t="s">
        <v>13</v>
      </c>
      <c r="F1107" t="s">
        <v>14</v>
      </c>
      <c r="G1107" t="s">
        <v>15</v>
      </c>
      <c r="H1107" s="2">
        <v>87195</v>
      </c>
      <c r="I1107" s="2">
        <v>1</v>
      </c>
      <c r="J1107" s="2">
        <v>133277</v>
      </c>
      <c r="K1107" s="2">
        <v>39690</v>
      </c>
      <c r="L1107" s="2">
        <v>5</v>
      </c>
      <c r="M1107" t="str">
        <f>IF(Revv_bike_sales_data[[#This Row],[delivery_days]]&lt;=7, "Yes", "No")</f>
        <v>Yes</v>
      </c>
      <c r="N1107" t="s">
        <v>16</v>
      </c>
      <c r="O1107" s="2">
        <v>93587</v>
      </c>
    </row>
    <row r="1108" spans="1:15" x14ac:dyDescent="0.3">
      <c r="A1108" s="2">
        <v>1098</v>
      </c>
      <c r="B1108" s="1">
        <v>44972.708333333336</v>
      </c>
      <c r="C1108" s="1" t="str">
        <f t="shared" si="34"/>
        <v>02-2023</v>
      </c>
      <c r="D1108" s="2">
        <f t="shared" si="35"/>
        <v>7</v>
      </c>
      <c r="E1108" t="s">
        <v>25</v>
      </c>
      <c r="F1108" t="s">
        <v>14</v>
      </c>
      <c r="G1108" t="s">
        <v>15</v>
      </c>
      <c r="H1108" s="2">
        <v>61894</v>
      </c>
      <c r="I1108" s="2">
        <v>3</v>
      </c>
      <c r="J1108" s="2">
        <v>46747</v>
      </c>
      <c r="K1108" s="2">
        <v>139319</v>
      </c>
      <c r="L1108" s="2">
        <v>4</v>
      </c>
      <c r="M1108" t="str">
        <f>IF(Revv_bike_sales_data[[#This Row],[delivery_days]]&lt;=7, "Yes", "No")</f>
        <v>Yes</v>
      </c>
      <c r="N1108" t="s">
        <v>16</v>
      </c>
      <c r="O1108" s="2">
        <v>-92572</v>
      </c>
    </row>
    <row r="1109" spans="1:15" x14ac:dyDescent="0.3">
      <c r="A1109" s="2">
        <v>1099</v>
      </c>
      <c r="B1109" s="1">
        <v>44972.75</v>
      </c>
      <c r="C1109" s="1" t="str">
        <f t="shared" si="34"/>
        <v>02-2023</v>
      </c>
      <c r="D1109" s="2">
        <f t="shared" si="35"/>
        <v>7</v>
      </c>
      <c r="E1109" t="s">
        <v>13</v>
      </c>
      <c r="F1109" t="s">
        <v>14</v>
      </c>
      <c r="G1109" t="s">
        <v>19</v>
      </c>
      <c r="H1109" s="2">
        <v>69445</v>
      </c>
      <c r="I1109" s="2">
        <v>1</v>
      </c>
      <c r="J1109" s="2">
        <v>25037</v>
      </c>
      <c r="K1109" s="2">
        <v>123286</v>
      </c>
      <c r="L1109" s="2">
        <v>6</v>
      </c>
      <c r="M1109" t="str">
        <f>IF(Revv_bike_sales_data[[#This Row],[delivery_days]]&lt;=7, "Yes", "No")</f>
        <v>Yes</v>
      </c>
      <c r="N1109" t="s">
        <v>16</v>
      </c>
      <c r="O1109" s="2">
        <v>-98249</v>
      </c>
    </row>
    <row r="1110" spans="1:15" x14ac:dyDescent="0.3">
      <c r="A1110" s="2">
        <v>1100</v>
      </c>
      <c r="B1110" s="1">
        <v>44972.791666666664</v>
      </c>
      <c r="C1110" s="1" t="str">
        <f t="shared" si="34"/>
        <v>02-2023</v>
      </c>
      <c r="D1110" s="2">
        <f t="shared" si="35"/>
        <v>7</v>
      </c>
      <c r="E1110" t="s">
        <v>22</v>
      </c>
      <c r="F1110" t="s">
        <v>14</v>
      </c>
      <c r="G1110" t="s">
        <v>20</v>
      </c>
      <c r="H1110" s="2">
        <v>56914</v>
      </c>
      <c r="I1110" s="2">
        <v>2</v>
      </c>
      <c r="J1110" s="2">
        <v>129294</v>
      </c>
      <c r="K1110" s="2">
        <v>48762</v>
      </c>
      <c r="L1110" s="2">
        <v>6</v>
      </c>
      <c r="M1110" t="str">
        <f>IF(Revv_bike_sales_data[[#This Row],[delivery_days]]&lt;=7, "Yes", "No")</f>
        <v>Yes</v>
      </c>
      <c r="N1110" t="s">
        <v>16</v>
      </c>
      <c r="O1110" s="2">
        <v>80532</v>
      </c>
    </row>
    <row r="1111" spans="1:15" x14ac:dyDescent="0.3">
      <c r="A1111" s="2">
        <v>1101</v>
      </c>
      <c r="B1111" s="1">
        <v>44972.833333333336</v>
      </c>
      <c r="C1111" s="1" t="str">
        <f t="shared" si="34"/>
        <v>02-2023</v>
      </c>
      <c r="D1111" s="2">
        <f t="shared" si="35"/>
        <v>7</v>
      </c>
      <c r="E1111" t="s">
        <v>17</v>
      </c>
      <c r="F1111" t="s">
        <v>14</v>
      </c>
      <c r="G1111" t="s">
        <v>20</v>
      </c>
      <c r="H1111" s="2">
        <v>55316</v>
      </c>
      <c r="I1111" s="2">
        <v>9</v>
      </c>
      <c r="J1111" s="2">
        <v>122847</v>
      </c>
      <c r="K1111" s="2">
        <v>134006</v>
      </c>
      <c r="L1111" s="2">
        <v>6</v>
      </c>
      <c r="M1111" t="str">
        <f>IF(Revv_bike_sales_data[[#This Row],[delivery_days]]&lt;=7, "Yes", "No")</f>
        <v>Yes</v>
      </c>
      <c r="N1111" t="s">
        <v>16</v>
      </c>
      <c r="O1111" s="2">
        <v>-11159</v>
      </c>
    </row>
    <row r="1112" spans="1:15" x14ac:dyDescent="0.3">
      <c r="A1112" s="2">
        <v>1102</v>
      </c>
      <c r="B1112" s="1">
        <v>44972.875</v>
      </c>
      <c r="C1112" s="1" t="str">
        <f t="shared" si="34"/>
        <v>02-2023</v>
      </c>
      <c r="D1112" s="2">
        <f t="shared" si="35"/>
        <v>7</v>
      </c>
      <c r="E1112" t="s">
        <v>25</v>
      </c>
      <c r="F1112" t="s">
        <v>14</v>
      </c>
      <c r="G1112" t="s">
        <v>19</v>
      </c>
      <c r="H1112" s="2">
        <v>56418</v>
      </c>
      <c r="I1112" s="2">
        <v>2</v>
      </c>
      <c r="J1112" s="2">
        <v>128742</v>
      </c>
      <c r="K1112" s="2">
        <v>52499</v>
      </c>
      <c r="L1112" s="2">
        <v>1</v>
      </c>
      <c r="M1112" t="str">
        <f>IF(Revv_bike_sales_data[[#This Row],[delivery_days]]&lt;=7, "Yes", "No")</f>
        <v>Yes</v>
      </c>
      <c r="N1112" t="s">
        <v>16</v>
      </c>
      <c r="O1112" s="2">
        <v>76243</v>
      </c>
    </row>
    <row r="1113" spans="1:15" x14ac:dyDescent="0.3">
      <c r="A1113" s="2">
        <v>1103</v>
      </c>
      <c r="B1113" s="1">
        <v>44972.916666666664</v>
      </c>
      <c r="C1113" s="1" t="str">
        <f t="shared" si="34"/>
        <v>02-2023</v>
      </c>
      <c r="D1113" s="2">
        <f t="shared" si="35"/>
        <v>7</v>
      </c>
      <c r="E1113" t="s">
        <v>25</v>
      </c>
      <c r="F1113" t="s">
        <v>23</v>
      </c>
      <c r="G1113" t="s">
        <v>21</v>
      </c>
      <c r="H1113" s="2">
        <v>91781</v>
      </c>
      <c r="I1113" s="2">
        <v>3</v>
      </c>
      <c r="J1113" s="2">
        <v>73503</v>
      </c>
      <c r="K1113" s="2">
        <v>102988</v>
      </c>
      <c r="L1113" s="2">
        <v>6</v>
      </c>
      <c r="M1113" t="str">
        <f>IF(Revv_bike_sales_data[[#This Row],[delivery_days]]&lt;=7, "Yes", "No")</f>
        <v>Yes</v>
      </c>
      <c r="N1113" t="s">
        <v>16</v>
      </c>
      <c r="O1113" s="2">
        <v>-29485</v>
      </c>
    </row>
    <row r="1114" spans="1:15" x14ac:dyDescent="0.3">
      <c r="A1114" s="2">
        <v>1104</v>
      </c>
      <c r="B1114" s="1">
        <v>44972.958333333336</v>
      </c>
      <c r="C1114" s="1" t="str">
        <f t="shared" si="34"/>
        <v>02-2023</v>
      </c>
      <c r="D1114" s="2">
        <f t="shared" si="35"/>
        <v>7</v>
      </c>
      <c r="E1114" t="s">
        <v>18</v>
      </c>
      <c r="F1114" t="s">
        <v>14</v>
      </c>
      <c r="G1114" t="s">
        <v>15</v>
      </c>
      <c r="H1114" s="2">
        <v>63194</v>
      </c>
      <c r="I1114" s="2">
        <v>5</v>
      </c>
      <c r="J1114" s="2">
        <v>53207</v>
      </c>
      <c r="K1114" s="2">
        <v>22670</v>
      </c>
      <c r="L1114" s="2">
        <v>1</v>
      </c>
      <c r="M1114" t="str">
        <f>IF(Revv_bike_sales_data[[#This Row],[delivery_days]]&lt;=7, "Yes", "No")</f>
        <v>Yes</v>
      </c>
      <c r="N1114" t="s">
        <v>16</v>
      </c>
      <c r="O1114" s="2">
        <v>30537</v>
      </c>
    </row>
    <row r="1115" spans="1:15" x14ac:dyDescent="0.3">
      <c r="A1115" s="2">
        <v>1105</v>
      </c>
      <c r="B1115" s="1">
        <v>44973</v>
      </c>
      <c r="C1115" s="1" t="str">
        <f t="shared" si="34"/>
        <v>02-2023</v>
      </c>
      <c r="D1115" s="2">
        <f t="shared" si="35"/>
        <v>7</v>
      </c>
      <c r="E1115" t="s">
        <v>18</v>
      </c>
      <c r="F1115" t="s">
        <v>14</v>
      </c>
      <c r="G1115" t="s">
        <v>19</v>
      </c>
      <c r="H1115" s="2">
        <v>29955</v>
      </c>
      <c r="I1115" s="2">
        <v>2</v>
      </c>
      <c r="J1115" s="2">
        <v>58241</v>
      </c>
      <c r="K1115" s="2">
        <v>101687</v>
      </c>
      <c r="L1115" s="2">
        <v>5</v>
      </c>
      <c r="M1115" t="str">
        <f>IF(Revv_bike_sales_data[[#This Row],[delivery_days]]&lt;=7, "Yes", "No")</f>
        <v>Yes</v>
      </c>
      <c r="N1115" t="s">
        <v>16</v>
      </c>
      <c r="O1115" s="2">
        <v>-43446</v>
      </c>
    </row>
    <row r="1116" spans="1:15" x14ac:dyDescent="0.3">
      <c r="A1116" s="2">
        <v>1106</v>
      </c>
      <c r="B1116" s="1">
        <v>44973.041666666664</v>
      </c>
      <c r="C1116" s="1" t="str">
        <f t="shared" si="34"/>
        <v>02-2023</v>
      </c>
      <c r="D1116" s="2">
        <f t="shared" si="35"/>
        <v>7</v>
      </c>
      <c r="E1116" t="s">
        <v>17</v>
      </c>
      <c r="F1116" t="s">
        <v>14</v>
      </c>
      <c r="G1116" t="s">
        <v>19</v>
      </c>
      <c r="H1116" s="2">
        <v>39235</v>
      </c>
      <c r="I1116" s="2">
        <v>9</v>
      </c>
      <c r="J1116" s="2">
        <v>156130</v>
      </c>
      <c r="K1116" s="2">
        <v>32341</v>
      </c>
      <c r="L1116" s="2">
        <v>7</v>
      </c>
      <c r="M1116" t="str">
        <f>IF(Revv_bike_sales_data[[#This Row],[delivery_days]]&lt;=7, "Yes", "No")</f>
        <v>Yes</v>
      </c>
      <c r="N1116" t="s">
        <v>16</v>
      </c>
      <c r="O1116" s="2">
        <v>123789</v>
      </c>
    </row>
    <row r="1117" spans="1:15" x14ac:dyDescent="0.3">
      <c r="A1117" s="2">
        <v>1107</v>
      </c>
      <c r="B1117" s="1">
        <v>44973.083333333336</v>
      </c>
      <c r="C1117" s="1" t="str">
        <f t="shared" si="34"/>
        <v>02-2023</v>
      </c>
      <c r="D1117" s="2">
        <f t="shared" si="35"/>
        <v>7</v>
      </c>
      <c r="E1117" t="s">
        <v>25</v>
      </c>
      <c r="F1117" t="s">
        <v>14</v>
      </c>
      <c r="G1117" t="s">
        <v>20</v>
      </c>
      <c r="H1117" s="2">
        <v>95202</v>
      </c>
      <c r="I1117" s="2">
        <v>0</v>
      </c>
      <c r="J1117" s="2">
        <v>121171</v>
      </c>
      <c r="K1117" s="2">
        <v>110140</v>
      </c>
      <c r="L1117" s="2">
        <v>1</v>
      </c>
      <c r="M1117" t="str">
        <f>IF(Revv_bike_sales_data[[#This Row],[delivery_days]]&lt;=7, "Yes", "No")</f>
        <v>Yes</v>
      </c>
      <c r="N1117" t="s">
        <v>16</v>
      </c>
      <c r="O1117" s="2">
        <v>11031</v>
      </c>
    </row>
    <row r="1118" spans="1:15" x14ac:dyDescent="0.3">
      <c r="A1118" s="2">
        <v>1108</v>
      </c>
      <c r="B1118" s="1">
        <v>44973.125</v>
      </c>
      <c r="C1118" s="1" t="str">
        <f t="shared" si="34"/>
        <v>02-2023</v>
      </c>
      <c r="D1118" s="2">
        <f t="shared" si="35"/>
        <v>7</v>
      </c>
      <c r="E1118" t="s">
        <v>17</v>
      </c>
      <c r="F1118" t="s">
        <v>14</v>
      </c>
      <c r="G1118" t="s">
        <v>15</v>
      </c>
      <c r="H1118" s="2">
        <v>94108</v>
      </c>
      <c r="I1118" s="2">
        <v>0</v>
      </c>
      <c r="J1118" s="2">
        <v>170906</v>
      </c>
      <c r="K1118" s="2">
        <v>88823</v>
      </c>
      <c r="L1118" s="2">
        <v>13</v>
      </c>
      <c r="M1118" t="str">
        <f>IF(Revv_bike_sales_data[[#This Row],[delivery_days]]&lt;=7, "Yes", "No")</f>
        <v>No</v>
      </c>
      <c r="N1118" t="s">
        <v>24</v>
      </c>
      <c r="O1118" s="2">
        <v>82083</v>
      </c>
    </row>
    <row r="1119" spans="1:15" x14ac:dyDescent="0.3">
      <c r="A1119" s="2">
        <v>1109</v>
      </c>
      <c r="B1119" s="1">
        <v>44973.166666666664</v>
      </c>
      <c r="C1119" s="1" t="str">
        <f t="shared" si="34"/>
        <v>02-2023</v>
      </c>
      <c r="D1119" s="2">
        <f t="shared" si="35"/>
        <v>7</v>
      </c>
      <c r="E1119" t="s">
        <v>18</v>
      </c>
      <c r="F1119" t="s">
        <v>14</v>
      </c>
      <c r="G1119" t="s">
        <v>20</v>
      </c>
      <c r="H1119" s="2">
        <v>12609</v>
      </c>
      <c r="I1119" s="2">
        <v>8</v>
      </c>
      <c r="J1119" s="2">
        <v>142302</v>
      </c>
      <c r="K1119" s="2">
        <v>99074</v>
      </c>
      <c r="L1119" s="2">
        <v>1</v>
      </c>
      <c r="M1119" t="str">
        <f>IF(Revv_bike_sales_data[[#This Row],[delivery_days]]&lt;=7, "Yes", "No")</f>
        <v>Yes</v>
      </c>
      <c r="N1119" t="s">
        <v>16</v>
      </c>
      <c r="O1119" s="2">
        <v>43228</v>
      </c>
    </row>
    <row r="1120" spans="1:15" x14ac:dyDescent="0.3">
      <c r="A1120" s="2">
        <v>1110</v>
      </c>
      <c r="B1120" s="1">
        <v>44973.208333333336</v>
      </c>
      <c r="C1120" s="1" t="str">
        <f t="shared" si="34"/>
        <v>02-2023</v>
      </c>
      <c r="D1120" s="2">
        <f t="shared" si="35"/>
        <v>7</v>
      </c>
      <c r="E1120" t="s">
        <v>18</v>
      </c>
      <c r="F1120" t="s">
        <v>23</v>
      </c>
      <c r="G1120" t="s">
        <v>19</v>
      </c>
      <c r="H1120" s="2">
        <v>46302</v>
      </c>
      <c r="I1120" s="2">
        <v>8</v>
      </c>
      <c r="J1120" s="2">
        <v>97832</v>
      </c>
      <c r="K1120" s="2">
        <v>32015</v>
      </c>
      <c r="L1120" s="2">
        <v>13</v>
      </c>
      <c r="M1120" t="str">
        <f>IF(Revv_bike_sales_data[[#This Row],[delivery_days]]&lt;=7, "Yes", "No")</f>
        <v>No</v>
      </c>
      <c r="N1120" t="s">
        <v>16</v>
      </c>
      <c r="O1120" s="2">
        <v>65817</v>
      </c>
    </row>
    <row r="1121" spans="1:15" x14ac:dyDescent="0.3">
      <c r="A1121" s="2">
        <v>1111</v>
      </c>
      <c r="B1121" s="1">
        <v>44973.25</v>
      </c>
      <c r="C1121" s="1" t="str">
        <f t="shared" si="34"/>
        <v>02-2023</v>
      </c>
      <c r="D1121" s="2">
        <f t="shared" si="35"/>
        <v>7</v>
      </c>
      <c r="E1121" t="s">
        <v>25</v>
      </c>
      <c r="F1121" t="s">
        <v>14</v>
      </c>
      <c r="G1121" t="s">
        <v>21</v>
      </c>
      <c r="H1121" s="2">
        <v>68520</v>
      </c>
      <c r="I1121" s="2">
        <v>4</v>
      </c>
      <c r="J1121" s="2">
        <v>46383</v>
      </c>
      <c r="K1121" s="2">
        <v>125180</v>
      </c>
      <c r="L1121" s="2">
        <v>13</v>
      </c>
      <c r="M1121" t="str">
        <f>IF(Revv_bike_sales_data[[#This Row],[delivery_days]]&lt;=7, "Yes", "No")</f>
        <v>No</v>
      </c>
      <c r="N1121" t="s">
        <v>24</v>
      </c>
      <c r="O1121" s="2">
        <v>-78797</v>
      </c>
    </row>
    <row r="1122" spans="1:15" x14ac:dyDescent="0.3">
      <c r="A1122" s="2">
        <v>1112</v>
      </c>
      <c r="B1122" s="1">
        <v>44973.291666666664</v>
      </c>
      <c r="C1122" s="1" t="str">
        <f t="shared" si="34"/>
        <v>02-2023</v>
      </c>
      <c r="D1122" s="2">
        <f t="shared" si="35"/>
        <v>7</v>
      </c>
      <c r="E1122" t="s">
        <v>13</v>
      </c>
      <c r="F1122" t="s">
        <v>14</v>
      </c>
      <c r="G1122" t="s">
        <v>15</v>
      </c>
      <c r="H1122" s="2">
        <v>35122</v>
      </c>
      <c r="I1122" s="2">
        <v>8</v>
      </c>
      <c r="J1122" s="2">
        <v>149291</v>
      </c>
      <c r="K1122" s="2">
        <v>80126</v>
      </c>
      <c r="L1122" s="2">
        <v>6</v>
      </c>
      <c r="M1122" t="str">
        <f>IF(Revv_bike_sales_data[[#This Row],[delivery_days]]&lt;=7, "Yes", "No")</f>
        <v>Yes</v>
      </c>
      <c r="N1122" t="s">
        <v>16</v>
      </c>
      <c r="O1122" s="2">
        <v>69165</v>
      </c>
    </row>
    <row r="1123" spans="1:15" x14ac:dyDescent="0.3">
      <c r="A1123" s="2">
        <v>1113</v>
      </c>
      <c r="B1123" s="1">
        <v>44973.333333333336</v>
      </c>
      <c r="C1123" s="1" t="str">
        <f t="shared" si="34"/>
        <v>02-2023</v>
      </c>
      <c r="D1123" s="2">
        <f t="shared" si="35"/>
        <v>7</v>
      </c>
      <c r="E1123" t="s">
        <v>22</v>
      </c>
      <c r="F1123" t="s">
        <v>14</v>
      </c>
      <c r="G1123" t="s">
        <v>19</v>
      </c>
      <c r="H1123" s="2">
        <v>3097</v>
      </c>
      <c r="I1123" s="2">
        <v>6</v>
      </c>
      <c r="J1123" s="2">
        <v>27674</v>
      </c>
      <c r="K1123" s="2">
        <v>139581</v>
      </c>
      <c r="L1123" s="2">
        <v>7</v>
      </c>
      <c r="M1123" t="str">
        <f>IF(Revv_bike_sales_data[[#This Row],[delivery_days]]&lt;=7, "Yes", "No")</f>
        <v>Yes</v>
      </c>
      <c r="N1123" t="s">
        <v>16</v>
      </c>
      <c r="O1123" s="2">
        <v>-111907</v>
      </c>
    </row>
    <row r="1124" spans="1:15" x14ac:dyDescent="0.3">
      <c r="A1124" s="2">
        <v>1114</v>
      </c>
      <c r="B1124" s="1">
        <v>44973.375</v>
      </c>
      <c r="C1124" s="1" t="str">
        <f t="shared" si="34"/>
        <v>02-2023</v>
      </c>
      <c r="D1124" s="2">
        <f t="shared" si="35"/>
        <v>7</v>
      </c>
      <c r="E1124" t="s">
        <v>18</v>
      </c>
      <c r="F1124" t="s">
        <v>14</v>
      </c>
      <c r="G1124" t="s">
        <v>19</v>
      </c>
      <c r="H1124" s="2">
        <v>41097</v>
      </c>
      <c r="I1124" s="2">
        <v>8</v>
      </c>
      <c r="J1124" s="2">
        <v>139100</v>
      </c>
      <c r="K1124" s="2">
        <v>70197</v>
      </c>
      <c r="L1124" s="2">
        <v>6</v>
      </c>
      <c r="M1124" t="str">
        <f>IF(Revv_bike_sales_data[[#This Row],[delivery_days]]&lt;=7, "Yes", "No")</f>
        <v>Yes</v>
      </c>
      <c r="N1124" t="s">
        <v>16</v>
      </c>
      <c r="O1124" s="2">
        <v>68903</v>
      </c>
    </row>
    <row r="1125" spans="1:15" x14ac:dyDescent="0.3">
      <c r="A1125" s="2">
        <v>1115</v>
      </c>
      <c r="B1125" s="1">
        <v>44973.416666666664</v>
      </c>
      <c r="C1125" s="1" t="str">
        <f t="shared" si="34"/>
        <v>02-2023</v>
      </c>
      <c r="D1125" s="2">
        <f t="shared" si="35"/>
        <v>7</v>
      </c>
      <c r="E1125" t="s">
        <v>18</v>
      </c>
      <c r="F1125" t="s">
        <v>14</v>
      </c>
      <c r="G1125" t="s">
        <v>21</v>
      </c>
      <c r="H1125" s="2">
        <v>41454</v>
      </c>
      <c r="I1125" s="2">
        <v>6</v>
      </c>
      <c r="J1125" s="2">
        <v>134369</v>
      </c>
      <c r="K1125" s="2">
        <v>64849</v>
      </c>
      <c r="L1125" s="2">
        <v>5</v>
      </c>
      <c r="M1125" t="str">
        <f>IF(Revv_bike_sales_data[[#This Row],[delivery_days]]&lt;=7, "Yes", "No")</f>
        <v>Yes</v>
      </c>
      <c r="N1125" t="s">
        <v>16</v>
      </c>
      <c r="O1125" s="2">
        <v>69520</v>
      </c>
    </row>
    <row r="1126" spans="1:15" x14ac:dyDescent="0.3">
      <c r="A1126" s="2">
        <v>1116</v>
      </c>
      <c r="B1126" s="1">
        <v>44973.458333333336</v>
      </c>
      <c r="C1126" s="1" t="str">
        <f t="shared" si="34"/>
        <v>02-2023</v>
      </c>
      <c r="D1126" s="2">
        <f t="shared" si="35"/>
        <v>7</v>
      </c>
      <c r="E1126" t="s">
        <v>13</v>
      </c>
      <c r="F1126" t="s">
        <v>14</v>
      </c>
      <c r="G1126" t="s">
        <v>19</v>
      </c>
      <c r="H1126" s="2">
        <v>70019</v>
      </c>
      <c r="I1126" s="2">
        <v>8</v>
      </c>
      <c r="J1126" s="2">
        <v>47820</v>
      </c>
      <c r="K1126" s="2">
        <v>129719</v>
      </c>
      <c r="L1126" s="2">
        <v>6</v>
      </c>
      <c r="M1126" t="str">
        <f>IF(Revv_bike_sales_data[[#This Row],[delivery_days]]&lt;=7, "Yes", "No")</f>
        <v>Yes</v>
      </c>
      <c r="N1126" t="s">
        <v>16</v>
      </c>
      <c r="O1126" s="2">
        <v>-81899</v>
      </c>
    </row>
    <row r="1127" spans="1:15" x14ac:dyDescent="0.3">
      <c r="A1127" s="2">
        <v>1117</v>
      </c>
      <c r="B1127" s="1">
        <v>44973.5</v>
      </c>
      <c r="C1127" s="1" t="str">
        <f t="shared" si="34"/>
        <v>02-2023</v>
      </c>
      <c r="D1127" s="2">
        <f t="shared" si="35"/>
        <v>7</v>
      </c>
      <c r="E1127" t="s">
        <v>13</v>
      </c>
      <c r="F1127" t="s">
        <v>14</v>
      </c>
      <c r="G1127" t="s">
        <v>19</v>
      </c>
      <c r="H1127" s="2">
        <v>56615</v>
      </c>
      <c r="I1127" s="2">
        <v>1</v>
      </c>
      <c r="J1127" s="2">
        <v>68794</v>
      </c>
      <c r="K1127" s="2">
        <v>30852</v>
      </c>
      <c r="L1127" s="2">
        <v>13</v>
      </c>
      <c r="M1127" t="str">
        <f>IF(Revv_bike_sales_data[[#This Row],[delivery_days]]&lt;=7, "Yes", "No")</f>
        <v>No</v>
      </c>
      <c r="N1127" t="s">
        <v>16</v>
      </c>
      <c r="O1127" s="2">
        <v>37942</v>
      </c>
    </row>
    <row r="1128" spans="1:15" x14ac:dyDescent="0.3">
      <c r="A1128" s="2">
        <v>1118</v>
      </c>
      <c r="B1128" s="1">
        <v>44973.541666666664</v>
      </c>
      <c r="C1128" s="1" t="str">
        <f t="shared" si="34"/>
        <v>02-2023</v>
      </c>
      <c r="D1128" s="2">
        <f t="shared" si="35"/>
        <v>7</v>
      </c>
      <c r="E1128" t="s">
        <v>17</v>
      </c>
      <c r="F1128" t="s">
        <v>14</v>
      </c>
      <c r="G1128" t="s">
        <v>15</v>
      </c>
      <c r="H1128" s="2">
        <v>43651</v>
      </c>
      <c r="I1128" s="2">
        <v>7</v>
      </c>
      <c r="J1128" s="2">
        <v>158148</v>
      </c>
      <c r="K1128" s="2">
        <v>70361</v>
      </c>
      <c r="L1128" s="2">
        <v>14</v>
      </c>
      <c r="M1128" t="str">
        <f>IF(Revv_bike_sales_data[[#This Row],[delivery_days]]&lt;=7, "Yes", "No")</f>
        <v>No</v>
      </c>
      <c r="N1128" t="s">
        <v>16</v>
      </c>
      <c r="O1128" s="2">
        <v>87787</v>
      </c>
    </row>
    <row r="1129" spans="1:15" x14ac:dyDescent="0.3">
      <c r="A1129" s="2">
        <v>1119</v>
      </c>
      <c r="B1129" s="1">
        <v>44973.583333333336</v>
      </c>
      <c r="C1129" s="1" t="str">
        <f t="shared" si="34"/>
        <v>02-2023</v>
      </c>
      <c r="D1129" s="2">
        <f t="shared" si="35"/>
        <v>7</v>
      </c>
      <c r="E1129" t="s">
        <v>17</v>
      </c>
      <c r="F1129" t="s">
        <v>23</v>
      </c>
      <c r="G1129" t="s">
        <v>15</v>
      </c>
      <c r="H1129" s="2">
        <v>17540</v>
      </c>
      <c r="I1129" s="2">
        <v>6</v>
      </c>
      <c r="J1129" s="2">
        <v>153544</v>
      </c>
      <c r="K1129" s="2">
        <v>126794</v>
      </c>
      <c r="L1129" s="2">
        <v>3</v>
      </c>
      <c r="M1129" t="str">
        <f>IF(Revv_bike_sales_data[[#This Row],[delivery_days]]&lt;=7, "Yes", "No")</f>
        <v>Yes</v>
      </c>
      <c r="N1129" t="s">
        <v>16</v>
      </c>
      <c r="O1129" s="2">
        <v>26750</v>
      </c>
    </row>
    <row r="1130" spans="1:15" x14ac:dyDescent="0.3">
      <c r="A1130" s="2">
        <v>1120</v>
      </c>
      <c r="B1130" s="1">
        <v>44973.625</v>
      </c>
      <c r="C1130" s="1" t="str">
        <f t="shared" si="34"/>
        <v>02-2023</v>
      </c>
      <c r="D1130" s="2">
        <f t="shared" si="35"/>
        <v>7</v>
      </c>
      <c r="E1130" t="s">
        <v>22</v>
      </c>
      <c r="F1130" t="s">
        <v>23</v>
      </c>
      <c r="G1130" t="s">
        <v>15</v>
      </c>
      <c r="H1130" s="2">
        <v>45272</v>
      </c>
      <c r="I1130" s="2">
        <v>5</v>
      </c>
      <c r="J1130" s="2">
        <v>62555</v>
      </c>
      <c r="K1130" s="2">
        <v>36258</v>
      </c>
      <c r="L1130" s="2">
        <v>9</v>
      </c>
      <c r="M1130" t="str">
        <f>IF(Revv_bike_sales_data[[#This Row],[delivery_days]]&lt;=7, "Yes", "No")</f>
        <v>No</v>
      </c>
      <c r="N1130" t="s">
        <v>16</v>
      </c>
      <c r="O1130" s="2">
        <v>26297</v>
      </c>
    </row>
    <row r="1131" spans="1:15" x14ac:dyDescent="0.3">
      <c r="A1131" s="2">
        <v>1121</v>
      </c>
      <c r="B1131" s="1">
        <v>44973.666666666664</v>
      </c>
      <c r="C1131" s="1" t="str">
        <f t="shared" si="34"/>
        <v>02-2023</v>
      </c>
      <c r="D1131" s="2">
        <f t="shared" si="35"/>
        <v>7</v>
      </c>
      <c r="E1131" t="s">
        <v>22</v>
      </c>
      <c r="F1131" t="s">
        <v>14</v>
      </c>
      <c r="G1131" t="s">
        <v>20</v>
      </c>
      <c r="H1131" s="2">
        <v>96590</v>
      </c>
      <c r="I1131" s="2">
        <v>4</v>
      </c>
      <c r="J1131" s="2">
        <v>57406</v>
      </c>
      <c r="K1131" s="2">
        <v>118866</v>
      </c>
      <c r="L1131" s="2">
        <v>5</v>
      </c>
      <c r="M1131" t="str">
        <f>IF(Revv_bike_sales_data[[#This Row],[delivery_days]]&lt;=7, "Yes", "No")</f>
        <v>Yes</v>
      </c>
      <c r="N1131" t="s">
        <v>24</v>
      </c>
      <c r="O1131" s="2">
        <v>-61460</v>
      </c>
    </row>
    <row r="1132" spans="1:15" x14ac:dyDescent="0.3">
      <c r="A1132" s="2">
        <v>1122</v>
      </c>
      <c r="B1132" s="1">
        <v>44973.708333333336</v>
      </c>
      <c r="C1132" s="1" t="str">
        <f t="shared" si="34"/>
        <v>02-2023</v>
      </c>
      <c r="D1132" s="2">
        <f t="shared" si="35"/>
        <v>7</v>
      </c>
      <c r="E1132" t="s">
        <v>25</v>
      </c>
      <c r="F1132" t="s">
        <v>14</v>
      </c>
      <c r="G1132" t="s">
        <v>21</v>
      </c>
      <c r="H1132" s="2">
        <v>64332</v>
      </c>
      <c r="I1132" s="2">
        <v>3</v>
      </c>
      <c r="J1132" s="2">
        <v>65262</v>
      </c>
      <c r="K1132" s="2">
        <v>77355</v>
      </c>
      <c r="L1132" s="2">
        <v>2</v>
      </c>
      <c r="M1132" t="str">
        <f>IF(Revv_bike_sales_data[[#This Row],[delivery_days]]&lt;=7, "Yes", "No")</f>
        <v>Yes</v>
      </c>
      <c r="N1132" t="s">
        <v>16</v>
      </c>
      <c r="O1132" s="2">
        <v>-12093</v>
      </c>
    </row>
    <row r="1133" spans="1:15" x14ac:dyDescent="0.3">
      <c r="A1133" s="2">
        <v>1123</v>
      </c>
      <c r="B1133" s="1">
        <v>44973.75</v>
      </c>
      <c r="C1133" s="1" t="str">
        <f t="shared" si="34"/>
        <v>02-2023</v>
      </c>
      <c r="D1133" s="2">
        <f t="shared" si="35"/>
        <v>7</v>
      </c>
      <c r="E1133" t="s">
        <v>17</v>
      </c>
      <c r="F1133" t="s">
        <v>23</v>
      </c>
      <c r="G1133" t="s">
        <v>15</v>
      </c>
      <c r="H1133" s="2">
        <v>28416</v>
      </c>
      <c r="I1133" s="2">
        <v>6</v>
      </c>
      <c r="J1133" s="2">
        <v>116320</v>
      </c>
      <c r="K1133" s="2">
        <v>56508</v>
      </c>
      <c r="L1133" s="2">
        <v>14</v>
      </c>
      <c r="M1133" t="str">
        <f>IF(Revv_bike_sales_data[[#This Row],[delivery_days]]&lt;=7, "Yes", "No")</f>
        <v>No</v>
      </c>
      <c r="N1133" t="s">
        <v>16</v>
      </c>
      <c r="O1133" s="2">
        <v>59812</v>
      </c>
    </row>
    <row r="1134" spans="1:15" x14ac:dyDescent="0.3">
      <c r="A1134" s="2">
        <v>1124</v>
      </c>
      <c r="B1134" s="1">
        <v>44973.791666666664</v>
      </c>
      <c r="C1134" s="1" t="str">
        <f t="shared" si="34"/>
        <v>02-2023</v>
      </c>
      <c r="D1134" s="2">
        <f t="shared" si="35"/>
        <v>7</v>
      </c>
      <c r="E1134" t="s">
        <v>18</v>
      </c>
      <c r="F1134" t="s">
        <v>23</v>
      </c>
      <c r="G1134" t="s">
        <v>20</v>
      </c>
      <c r="H1134" s="2">
        <v>45371</v>
      </c>
      <c r="I1134" s="2">
        <v>2</v>
      </c>
      <c r="J1134" s="2">
        <v>179288</v>
      </c>
      <c r="K1134" s="2">
        <v>82784</v>
      </c>
      <c r="L1134" s="2">
        <v>14</v>
      </c>
      <c r="M1134" t="str">
        <f>IF(Revv_bike_sales_data[[#This Row],[delivery_days]]&lt;=7, "Yes", "No")</f>
        <v>No</v>
      </c>
      <c r="N1134" t="s">
        <v>16</v>
      </c>
      <c r="O1134" s="2">
        <v>96504</v>
      </c>
    </row>
    <row r="1135" spans="1:15" x14ac:dyDescent="0.3">
      <c r="A1135" s="2">
        <v>1125</v>
      </c>
      <c r="B1135" s="1">
        <v>44973.833333333336</v>
      </c>
      <c r="C1135" s="1" t="str">
        <f t="shared" si="34"/>
        <v>02-2023</v>
      </c>
      <c r="D1135" s="2">
        <f t="shared" si="35"/>
        <v>7</v>
      </c>
      <c r="E1135" t="s">
        <v>17</v>
      </c>
      <c r="F1135" t="s">
        <v>14</v>
      </c>
      <c r="G1135" t="s">
        <v>20</v>
      </c>
      <c r="H1135" s="2">
        <v>26872</v>
      </c>
      <c r="I1135" s="2">
        <v>7</v>
      </c>
      <c r="J1135" s="2">
        <v>55284</v>
      </c>
      <c r="K1135" s="2">
        <v>139773</v>
      </c>
      <c r="L1135" s="2">
        <v>12</v>
      </c>
      <c r="M1135" t="str">
        <f>IF(Revv_bike_sales_data[[#This Row],[delivery_days]]&lt;=7, "Yes", "No")</f>
        <v>No</v>
      </c>
      <c r="N1135" t="s">
        <v>16</v>
      </c>
      <c r="O1135" s="2">
        <v>-84489</v>
      </c>
    </row>
    <row r="1136" spans="1:15" x14ac:dyDescent="0.3">
      <c r="A1136" s="2">
        <v>1126</v>
      </c>
      <c r="B1136" s="1">
        <v>44973.875</v>
      </c>
      <c r="C1136" s="1" t="str">
        <f t="shared" si="34"/>
        <v>02-2023</v>
      </c>
      <c r="D1136" s="2">
        <f t="shared" si="35"/>
        <v>7</v>
      </c>
      <c r="E1136" t="s">
        <v>18</v>
      </c>
      <c r="F1136" t="s">
        <v>14</v>
      </c>
      <c r="G1136" t="s">
        <v>21</v>
      </c>
      <c r="H1136" s="2">
        <v>62207</v>
      </c>
      <c r="I1136" s="2">
        <v>1</v>
      </c>
      <c r="J1136" s="2">
        <v>176243</v>
      </c>
      <c r="K1136" s="2">
        <v>86728</v>
      </c>
      <c r="L1136" s="2">
        <v>10</v>
      </c>
      <c r="M1136" t="str">
        <f>IF(Revv_bike_sales_data[[#This Row],[delivery_days]]&lt;=7, "Yes", "No")</f>
        <v>No</v>
      </c>
      <c r="N1136" t="s">
        <v>24</v>
      </c>
      <c r="O1136" s="2">
        <v>89515</v>
      </c>
    </row>
    <row r="1137" spans="1:15" x14ac:dyDescent="0.3">
      <c r="A1137" s="2">
        <v>1127</v>
      </c>
      <c r="B1137" s="1">
        <v>44973.916666666664</v>
      </c>
      <c r="C1137" s="1" t="str">
        <f t="shared" si="34"/>
        <v>02-2023</v>
      </c>
      <c r="D1137" s="2">
        <f t="shared" si="35"/>
        <v>7</v>
      </c>
      <c r="E1137" t="s">
        <v>13</v>
      </c>
      <c r="F1137" t="s">
        <v>14</v>
      </c>
      <c r="G1137" t="s">
        <v>21</v>
      </c>
      <c r="H1137" s="2">
        <v>39580</v>
      </c>
      <c r="I1137" s="2">
        <v>0</v>
      </c>
      <c r="J1137" s="2">
        <v>115627</v>
      </c>
      <c r="K1137" s="2">
        <v>42410</v>
      </c>
      <c r="L1137" s="2">
        <v>10</v>
      </c>
      <c r="M1137" t="str">
        <f>IF(Revv_bike_sales_data[[#This Row],[delivery_days]]&lt;=7, "Yes", "No")</f>
        <v>No</v>
      </c>
      <c r="N1137" t="s">
        <v>16</v>
      </c>
      <c r="O1137" s="2">
        <v>73217</v>
      </c>
    </row>
    <row r="1138" spans="1:15" x14ac:dyDescent="0.3">
      <c r="A1138" s="2">
        <v>1128</v>
      </c>
      <c r="B1138" s="1">
        <v>44973.958333333336</v>
      </c>
      <c r="C1138" s="1" t="str">
        <f t="shared" si="34"/>
        <v>02-2023</v>
      </c>
      <c r="D1138" s="2">
        <f t="shared" si="35"/>
        <v>7</v>
      </c>
      <c r="E1138" t="s">
        <v>17</v>
      </c>
      <c r="F1138" t="s">
        <v>14</v>
      </c>
      <c r="G1138" t="s">
        <v>19</v>
      </c>
      <c r="H1138" s="2">
        <v>43222</v>
      </c>
      <c r="I1138" s="2">
        <v>1</v>
      </c>
      <c r="J1138" s="2">
        <v>170405</v>
      </c>
      <c r="K1138" s="2">
        <v>24895</v>
      </c>
      <c r="L1138" s="2">
        <v>7</v>
      </c>
      <c r="M1138" t="str">
        <f>IF(Revv_bike_sales_data[[#This Row],[delivery_days]]&lt;=7, "Yes", "No")</f>
        <v>Yes</v>
      </c>
      <c r="N1138" t="s">
        <v>16</v>
      </c>
      <c r="O1138" s="2">
        <v>145510</v>
      </c>
    </row>
    <row r="1139" spans="1:15" x14ac:dyDescent="0.3">
      <c r="A1139" s="2">
        <v>1129</v>
      </c>
      <c r="B1139" s="1">
        <v>44974</v>
      </c>
      <c r="C1139" s="1" t="str">
        <f t="shared" si="34"/>
        <v>02-2023</v>
      </c>
      <c r="D1139" s="2">
        <f t="shared" si="35"/>
        <v>7</v>
      </c>
      <c r="E1139" t="s">
        <v>13</v>
      </c>
      <c r="F1139" t="s">
        <v>23</v>
      </c>
      <c r="G1139" t="s">
        <v>20</v>
      </c>
      <c r="H1139" s="2">
        <v>29548</v>
      </c>
      <c r="I1139" s="2">
        <v>8</v>
      </c>
      <c r="J1139" s="2">
        <v>114023</v>
      </c>
      <c r="K1139" s="2">
        <v>86942</v>
      </c>
      <c r="L1139" s="2">
        <v>3</v>
      </c>
      <c r="M1139" t="str">
        <f>IF(Revv_bike_sales_data[[#This Row],[delivery_days]]&lt;=7, "Yes", "No")</f>
        <v>Yes</v>
      </c>
      <c r="N1139" t="s">
        <v>16</v>
      </c>
      <c r="O1139" s="2">
        <v>27081</v>
      </c>
    </row>
    <row r="1140" spans="1:15" x14ac:dyDescent="0.3">
      <c r="A1140" s="2">
        <v>1130</v>
      </c>
      <c r="B1140" s="1">
        <v>44974.041666666664</v>
      </c>
      <c r="C1140" s="1" t="str">
        <f t="shared" si="34"/>
        <v>02-2023</v>
      </c>
      <c r="D1140" s="2">
        <f t="shared" si="35"/>
        <v>7</v>
      </c>
      <c r="E1140" t="s">
        <v>22</v>
      </c>
      <c r="F1140" t="s">
        <v>14</v>
      </c>
      <c r="G1140" t="s">
        <v>15</v>
      </c>
      <c r="H1140" s="2">
        <v>85705</v>
      </c>
      <c r="I1140" s="2">
        <v>4</v>
      </c>
      <c r="J1140" s="2">
        <v>66516</v>
      </c>
      <c r="K1140" s="2">
        <v>48924</v>
      </c>
      <c r="L1140" s="2">
        <v>1</v>
      </c>
      <c r="M1140" t="str">
        <f>IF(Revv_bike_sales_data[[#This Row],[delivery_days]]&lt;=7, "Yes", "No")</f>
        <v>Yes</v>
      </c>
      <c r="N1140" t="s">
        <v>16</v>
      </c>
      <c r="O1140" s="2">
        <v>17592</v>
      </c>
    </row>
    <row r="1141" spans="1:15" x14ac:dyDescent="0.3">
      <c r="A1141" s="2">
        <v>1131</v>
      </c>
      <c r="B1141" s="1">
        <v>44974.083333333336</v>
      </c>
      <c r="C1141" s="1" t="str">
        <f t="shared" si="34"/>
        <v>02-2023</v>
      </c>
      <c r="D1141" s="2">
        <f t="shared" si="35"/>
        <v>7</v>
      </c>
      <c r="E1141" t="s">
        <v>22</v>
      </c>
      <c r="F1141" t="s">
        <v>23</v>
      </c>
      <c r="G1141" t="s">
        <v>21</v>
      </c>
      <c r="H1141" s="2">
        <v>10277</v>
      </c>
      <c r="I1141" s="2">
        <v>7</v>
      </c>
      <c r="J1141" s="2">
        <v>40577</v>
      </c>
      <c r="K1141" s="2">
        <v>127622</v>
      </c>
      <c r="L1141" s="2">
        <v>3</v>
      </c>
      <c r="M1141" t="str">
        <f>IF(Revv_bike_sales_data[[#This Row],[delivery_days]]&lt;=7, "Yes", "No")</f>
        <v>Yes</v>
      </c>
      <c r="N1141" t="s">
        <v>16</v>
      </c>
      <c r="O1141" s="2">
        <v>-87045</v>
      </c>
    </row>
    <row r="1142" spans="1:15" x14ac:dyDescent="0.3">
      <c r="A1142" s="2">
        <v>1132</v>
      </c>
      <c r="B1142" s="1">
        <v>44974.125</v>
      </c>
      <c r="C1142" s="1" t="str">
        <f t="shared" si="34"/>
        <v>02-2023</v>
      </c>
      <c r="D1142" s="2">
        <f t="shared" si="35"/>
        <v>7</v>
      </c>
      <c r="E1142" t="s">
        <v>25</v>
      </c>
      <c r="F1142" t="s">
        <v>14</v>
      </c>
      <c r="G1142" t="s">
        <v>20</v>
      </c>
      <c r="H1142" s="2">
        <v>55211</v>
      </c>
      <c r="I1142" s="2">
        <v>2</v>
      </c>
      <c r="J1142" s="2">
        <v>40015</v>
      </c>
      <c r="K1142" s="2">
        <v>121839</v>
      </c>
      <c r="L1142" s="2">
        <v>9</v>
      </c>
      <c r="M1142" t="str">
        <f>IF(Revv_bike_sales_data[[#This Row],[delivery_days]]&lt;=7, "Yes", "No")</f>
        <v>No</v>
      </c>
      <c r="N1142" t="s">
        <v>16</v>
      </c>
      <c r="O1142" s="2">
        <v>-81824</v>
      </c>
    </row>
    <row r="1143" spans="1:15" x14ac:dyDescent="0.3">
      <c r="A1143" s="2">
        <v>1133</v>
      </c>
      <c r="B1143" s="1">
        <v>44974.166666666664</v>
      </c>
      <c r="C1143" s="1" t="str">
        <f t="shared" si="34"/>
        <v>02-2023</v>
      </c>
      <c r="D1143" s="2">
        <f t="shared" si="35"/>
        <v>7</v>
      </c>
      <c r="E1143" t="s">
        <v>17</v>
      </c>
      <c r="F1143" t="s">
        <v>23</v>
      </c>
      <c r="G1143" t="s">
        <v>15</v>
      </c>
      <c r="H1143" s="2">
        <v>36831</v>
      </c>
      <c r="I1143" s="2">
        <v>6</v>
      </c>
      <c r="J1143" s="2">
        <v>116104</v>
      </c>
      <c r="K1143" s="2">
        <v>85831</v>
      </c>
      <c r="L1143" s="2">
        <v>5</v>
      </c>
      <c r="M1143" t="str">
        <f>IF(Revv_bike_sales_data[[#This Row],[delivery_days]]&lt;=7, "Yes", "No")</f>
        <v>Yes</v>
      </c>
      <c r="N1143" t="s">
        <v>16</v>
      </c>
      <c r="O1143" s="2">
        <v>30273</v>
      </c>
    </row>
    <row r="1144" spans="1:15" x14ac:dyDescent="0.3">
      <c r="A1144" s="2">
        <v>1134</v>
      </c>
      <c r="B1144" s="1">
        <v>44974.208333333336</v>
      </c>
      <c r="C1144" s="1" t="str">
        <f t="shared" si="34"/>
        <v>02-2023</v>
      </c>
      <c r="D1144" s="2">
        <f t="shared" si="35"/>
        <v>7</v>
      </c>
      <c r="E1144" t="s">
        <v>13</v>
      </c>
      <c r="F1144" t="s">
        <v>14</v>
      </c>
      <c r="G1144" t="s">
        <v>20</v>
      </c>
      <c r="H1144" s="2">
        <v>21468</v>
      </c>
      <c r="I1144" s="2">
        <v>1</v>
      </c>
      <c r="J1144" s="2">
        <v>139412</v>
      </c>
      <c r="K1144" s="2">
        <v>27264</v>
      </c>
      <c r="L1144" s="2">
        <v>7</v>
      </c>
      <c r="M1144" t="str">
        <f>IF(Revv_bike_sales_data[[#This Row],[delivery_days]]&lt;=7, "Yes", "No")</f>
        <v>Yes</v>
      </c>
      <c r="N1144" t="s">
        <v>16</v>
      </c>
      <c r="O1144" s="2">
        <v>112148</v>
      </c>
    </row>
    <row r="1145" spans="1:15" x14ac:dyDescent="0.3">
      <c r="A1145" s="2">
        <v>1135</v>
      </c>
      <c r="B1145" s="1">
        <v>44974.25</v>
      </c>
      <c r="C1145" s="1" t="str">
        <f t="shared" si="34"/>
        <v>02-2023</v>
      </c>
      <c r="D1145" s="2">
        <f t="shared" si="35"/>
        <v>7</v>
      </c>
      <c r="E1145" t="s">
        <v>18</v>
      </c>
      <c r="F1145" t="s">
        <v>14</v>
      </c>
      <c r="G1145" t="s">
        <v>21</v>
      </c>
      <c r="H1145" s="2">
        <v>54469</v>
      </c>
      <c r="I1145" s="2">
        <v>7</v>
      </c>
      <c r="J1145" s="2">
        <v>116740</v>
      </c>
      <c r="K1145" s="2">
        <v>43038</v>
      </c>
      <c r="L1145" s="2">
        <v>3</v>
      </c>
      <c r="M1145" t="str">
        <f>IF(Revv_bike_sales_data[[#This Row],[delivery_days]]&lt;=7, "Yes", "No")</f>
        <v>Yes</v>
      </c>
      <c r="N1145" t="s">
        <v>16</v>
      </c>
      <c r="O1145" s="2">
        <v>73702</v>
      </c>
    </row>
    <row r="1146" spans="1:15" x14ac:dyDescent="0.3">
      <c r="A1146" s="2">
        <v>1136</v>
      </c>
      <c r="B1146" s="1">
        <v>44974.291666666664</v>
      </c>
      <c r="C1146" s="1" t="str">
        <f t="shared" si="34"/>
        <v>02-2023</v>
      </c>
      <c r="D1146" s="2">
        <f t="shared" si="35"/>
        <v>7</v>
      </c>
      <c r="E1146" t="s">
        <v>22</v>
      </c>
      <c r="F1146" t="s">
        <v>14</v>
      </c>
      <c r="G1146" t="s">
        <v>19</v>
      </c>
      <c r="H1146" s="2">
        <v>11792</v>
      </c>
      <c r="I1146" s="2">
        <v>6</v>
      </c>
      <c r="J1146" s="2">
        <v>177308</v>
      </c>
      <c r="K1146" s="2">
        <v>119458</v>
      </c>
      <c r="L1146" s="2">
        <v>4</v>
      </c>
      <c r="M1146" t="str">
        <f>IF(Revv_bike_sales_data[[#This Row],[delivery_days]]&lt;=7, "Yes", "No")</f>
        <v>Yes</v>
      </c>
      <c r="N1146" t="s">
        <v>16</v>
      </c>
      <c r="O1146" s="2">
        <v>57850</v>
      </c>
    </row>
    <row r="1147" spans="1:15" x14ac:dyDescent="0.3">
      <c r="A1147" s="2">
        <v>1137</v>
      </c>
      <c r="B1147" s="1">
        <v>44974.333333333336</v>
      </c>
      <c r="C1147" s="1" t="str">
        <f t="shared" si="34"/>
        <v>02-2023</v>
      </c>
      <c r="D1147" s="2">
        <f t="shared" si="35"/>
        <v>7</v>
      </c>
      <c r="E1147" t="s">
        <v>22</v>
      </c>
      <c r="F1147" t="s">
        <v>14</v>
      </c>
      <c r="G1147" t="s">
        <v>20</v>
      </c>
      <c r="H1147" s="2">
        <v>41294</v>
      </c>
      <c r="I1147" s="2">
        <v>4</v>
      </c>
      <c r="J1147" s="2">
        <v>91640</v>
      </c>
      <c r="K1147" s="2">
        <v>131936</v>
      </c>
      <c r="L1147" s="2">
        <v>1</v>
      </c>
      <c r="M1147" t="str">
        <f>IF(Revv_bike_sales_data[[#This Row],[delivery_days]]&lt;=7, "Yes", "No")</f>
        <v>Yes</v>
      </c>
      <c r="N1147" t="s">
        <v>16</v>
      </c>
      <c r="O1147" s="2">
        <v>-40296</v>
      </c>
    </row>
    <row r="1148" spans="1:15" x14ac:dyDescent="0.3">
      <c r="A1148" s="2">
        <v>1138</v>
      </c>
      <c r="B1148" s="1">
        <v>44974.375</v>
      </c>
      <c r="C1148" s="1" t="str">
        <f t="shared" si="34"/>
        <v>02-2023</v>
      </c>
      <c r="D1148" s="2">
        <f t="shared" si="35"/>
        <v>7</v>
      </c>
      <c r="E1148" t="s">
        <v>18</v>
      </c>
      <c r="F1148" t="s">
        <v>14</v>
      </c>
      <c r="G1148" t="s">
        <v>15</v>
      </c>
      <c r="H1148" s="2">
        <v>79959</v>
      </c>
      <c r="I1148" s="2">
        <v>3</v>
      </c>
      <c r="J1148" s="2">
        <v>108190</v>
      </c>
      <c r="K1148" s="2">
        <v>24136</v>
      </c>
      <c r="L1148" s="2">
        <v>3</v>
      </c>
      <c r="M1148" t="str">
        <f>IF(Revv_bike_sales_data[[#This Row],[delivery_days]]&lt;=7, "Yes", "No")</f>
        <v>Yes</v>
      </c>
      <c r="N1148" t="s">
        <v>16</v>
      </c>
      <c r="O1148" s="2">
        <v>84054</v>
      </c>
    </row>
    <row r="1149" spans="1:15" x14ac:dyDescent="0.3">
      <c r="A1149" s="2">
        <v>1139</v>
      </c>
      <c r="B1149" s="1">
        <v>44974.416666666664</v>
      </c>
      <c r="C1149" s="1" t="str">
        <f t="shared" si="34"/>
        <v>02-2023</v>
      </c>
      <c r="D1149" s="2">
        <f t="shared" si="35"/>
        <v>7</v>
      </c>
      <c r="E1149" t="s">
        <v>13</v>
      </c>
      <c r="F1149" t="s">
        <v>23</v>
      </c>
      <c r="G1149" t="s">
        <v>21</v>
      </c>
      <c r="H1149" s="2">
        <v>50692</v>
      </c>
      <c r="I1149" s="2">
        <v>0</v>
      </c>
      <c r="J1149" s="2">
        <v>154516</v>
      </c>
      <c r="K1149" s="2">
        <v>28213</v>
      </c>
      <c r="L1149" s="2">
        <v>7</v>
      </c>
      <c r="M1149" t="str">
        <f>IF(Revv_bike_sales_data[[#This Row],[delivery_days]]&lt;=7, "Yes", "No")</f>
        <v>Yes</v>
      </c>
      <c r="N1149" t="s">
        <v>16</v>
      </c>
      <c r="O1149" s="2">
        <v>126303</v>
      </c>
    </row>
    <row r="1150" spans="1:15" x14ac:dyDescent="0.3">
      <c r="A1150" s="2">
        <v>1140</v>
      </c>
      <c r="B1150" s="1">
        <v>44974.458333333336</v>
      </c>
      <c r="C1150" s="1" t="str">
        <f t="shared" si="34"/>
        <v>02-2023</v>
      </c>
      <c r="D1150" s="2">
        <f t="shared" si="35"/>
        <v>7</v>
      </c>
      <c r="E1150" t="s">
        <v>13</v>
      </c>
      <c r="F1150" t="s">
        <v>14</v>
      </c>
      <c r="G1150" t="s">
        <v>19</v>
      </c>
      <c r="H1150" s="2">
        <v>28203</v>
      </c>
      <c r="I1150" s="2">
        <v>4</v>
      </c>
      <c r="J1150" s="2">
        <v>159718</v>
      </c>
      <c r="K1150" s="2">
        <v>92608</v>
      </c>
      <c r="L1150" s="2">
        <v>4</v>
      </c>
      <c r="M1150" t="str">
        <f>IF(Revv_bike_sales_data[[#This Row],[delivery_days]]&lt;=7, "Yes", "No")</f>
        <v>Yes</v>
      </c>
      <c r="N1150" t="s">
        <v>16</v>
      </c>
      <c r="O1150" s="2">
        <v>67110</v>
      </c>
    </row>
    <row r="1151" spans="1:15" x14ac:dyDescent="0.3">
      <c r="A1151" s="2">
        <v>1141</v>
      </c>
      <c r="B1151" s="1">
        <v>44974.5</v>
      </c>
      <c r="C1151" s="1" t="str">
        <f t="shared" si="34"/>
        <v>02-2023</v>
      </c>
      <c r="D1151" s="2">
        <f t="shared" si="35"/>
        <v>7</v>
      </c>
      <c r="E1151" t="s">
        <v>17</v>
      </c>
      <c r="F1151" t="s">
        <v>23</v>
      </c>
      <c r="G1151" t="s">
        <v>15</v>
      </c>
      <c r="H1151" s="2">
        <v>84693</v>
      </c>
      <c r="I1151" s="2">
        <v>8</v>
      </c>
      <c r="J1151" s="2">
        <v>112007</v>
      </c>
      <c r="K1151" s="2">
        <v>123546</v>
      </c>
      <c r="L1151" s="2">
        <v>2</v>
      </c>
      <c r="M1151" t="str">
        <f>IF(Revv_bike_sales_data[[#This Row],[delivery_days]]&lt;=7, "Yes", "No")</f>
        <v>Yes</v>
      </c>
      <c r="N1151" t="s">
        <v>16</v>
      </c>
      <c r="O1151" s="2">
        <v>-11539</v>
      </c>
    </row>
    <row r="1152" spans="1:15" x14ac:dyDescent="0.3">
      <c r="A1152" s="2">
        <v>1142</v>
      </c>
      <c r="B1152" s="1">
        <v>44974.541666666664</v>
      </c>
      <c r="C1152" s="1" t="str">
        <f t="shared" si="34"/>
        <v>02-2023</v>
      </c>
      <c r="D1152" s="2">
        <f t="shared" si="35"/>
        <v>7</v>
      </c>
      <c r="E1152" t="s">
        <v>17</v>
      </c>
      <c r="F1152" t="s">
        <v>23</v>
      </c>
      <c r="G1152" t="s">
        <v>15</v>
      </c>
      <c r="H1152" s="2">
        <v>69665</v>
      </c>
      <c r="I1152" s="2">
        <v>9</v>
      </c>
      <c r="J1152" s="2">
        <v>72728</v>
      </c>
      <c r="K1152" s="2">
        <v>116589</v>
      </c>
      <c r="L1152" s="2">
        <v>14</v>
      </c>
      <c r="M1152" t="str">
        <f>IF(Revv_bike_sales_data[[#This Row],[delivery_days]]&lt;=7, "Yes", "No")</f>
        <v>No</v>
      </c>
      <c r="N1152" t="s">
        <v>16</v>
      </c>
      <c r="O1152" s="2">
        <v>-43861</v>
      </c>
    </row>
    <row r="1153" spans="1:15" x14ac:dyDescent="0.3">
      <c r="A1153" s="2">
        <v>1143</v>
      </c>
      <c r="B1153" s="1">
        <v>44974.583333333336</v>
      </c>
      <c r="C1153" s="1" t="str">
        <f t="shared" si="34"/>
        <v>02-2023</v>
      </c>
      <c r="D1153" s="2">
        <f t="shared" si="35"/>
        <v>7</v>
      </c>
      <c r="E1153" t="s">
        <v>25</v>
      </c>
      <c r="F1153" t="s">
        <v>14</v>
      </c>
      <c r="G1153" t="s">
        <v>15</v>
      </c>
      <c r="H1153" s="2">
        <v>68150</v>
      </c>
      <c r="I1153" s="2">
        <v>3</v>
      </c>
      <c r="J1153" s="2">
        <v>39878</v>
      </c>
      <c r="K1153" s="2">
        <v>42431</v>
      </c>
      <c r="L1153" s="2">
        <v>5</v>
      </c>
      <c r="M1153" t="str">
        <f>IF(Revv_bike_sales_data[[#This Row],[delivery_days]]&lt;=7, "Yes", "No")</f>
        <v>Yes</v>
      </c>
      <c r="N1153" t="s">
        <v>16</v>
      </c>
      <c r="O1153" s="2">
        <v>-2553</v>
      </c>
    </row>
    <row r="1154" spans="1:15" x14ac:dyDescent="0.3">
      <c r="A1154" s="2">
        <v>1144</v>
      </c>
      <c r="B1154" s="1">
        <v>44974.625</v>
      </c>
      <c r="C1154" s="1" t="str">
        <f t="shared" si="34"/>
        <v>02-2023</v>
      </c>
      <c r="D1154" s="2">
        <f t="shared" si="35"/>
        <v>7</v>
      </c>
      <c r="E1154" t="s">
        <v>22</v>
      </c>
      <c r="F1154" t="s">
        <v>14</v>
      </c>
      <c r="G1154" t="s">
        <v>20</v>
      </c>
      <c r="H1154" s="2">
        <v>57016</v>
      </c>
      <c r="I1154" s="2">
        <v>8</v>
      </c>
      <c r="J1154" s="2">
        <v>153925</v>
      </c>
      <c r="K1154" s="2">
        <v>57290</v>
      </c>
      <c r="L1154" s="2">
        <v>5</v>
      </c>
      <c r="M1154" t="str">
        <f>IF(Revv_bike_sales_data[[#This Row],[delivery_days]]&lt;=7, "Yes", "No")</f>
        <v>Yes</v>
      </c>
      <c r="N1154" t="s">
        <v>16</v>
      </c>
      <c r="O1154" s="2">
        <v>96635</v>
      </c>
    </row>
    <row r="1155" spans="1:15" x14ac:dyDescent="0.3">
      <c r="A1155" s="2">
        <v>1145</v>
      </c>
      <c r="B1155" s="1">
        <v>44974.666666666664</v>
      </c>
      <c r="C1155" s="1" t="str">
        <f t="shared" si="34"/>
        <v>02-2023</v>
      </c>
      <c r="D1155" s="2">
        <f t="shared" si="35"/>
        <v>7</v>
      </c>
      <c r="E1155" t="s">
        <v>17</v>
      </c>
      <c r="F1155" t="s">
        <v>14</v>
      </c>
      <c r="G1155" t="s">
        <v>21</v>
      </c>
      <c r="H1155" s="2">
        <v>91610</v>
      </c>
      <c r="I1155" s="2">
        <v>1</v>
      </c>
      <c r="J1155" s="2">
        <v>34145</v>
      </c>
      <c r="K1155" s="2">
        <v>82539</v>
      </c>
      <c r="L1155" s="2">
        <v>2</v>
      </c>
      <c r="M1155" t="str">
        <f>IF(Revv_bike_sales_data[[#This Row],[delivery_days]]&lt;=7, "Yes", "No")</f>
        <v>Yes</v>
      </c>
      <c r="N1155" t="s">
        <v>16</v>
      </c>
      <c r="O1155" s="2">
        <v>-48394</v>
      </c>
    </row>
    <row r="1156" spans="1:15" x14ac:dyDescent="0.3">
      <c r="A1156" s="2">
        <v>1146</v>
      </c>
      <c r="B1156" s="1">
        <v>44974.708333333336</v>
      </c>
      <c r="C1156" s="1" t="str">
        <f t="shared" si="34"/>
        <v>02-2023</v>
      </c>
      <c r="D1156" s="2">
        <f t="shared" si="35"/>
        <v>7</v>
      </c>
      <c r="E1156" t="s">
        <v>13</v>
      </c>
      <c r="F1156" t="s">
        <v>14</v>
      </c>
      <c r="G1156" t="s">
        <v>15</v>
      </c>
      <c r="H1156" s="2">
        <v>98385</v>
      </c>
      <c r="I1156" s="2">
        <v>3</v>
      </c>
      <c r="J1156" s="2">
        <v>113578</v>
      </c>
      <c r="K1156" s="2">
        <v>100535</v>
      </c>
      <c r="L1156" s="2">
        <v>11</v>
      </c>
      <c r="M1156" t="str">
        <f>IF(Revv_bike_sales_data[[#This Row],[delivery_days]]&lt;=7, "Yes", "No")</f>
        <v>No</v>
      </c>
      <c r="N1156" t="s">
        <v>16</v>
      </c>
      <c r="O1156" s="2">
        <v>13043</v>
      </c>
    </row>
    <row r="1157" spans="1:15" x14ac:dyDescent="0.3">
      <c r="A1157" s="2">
        <v>1147</v>
      </c>
      <c r="B1157" s="1">
        <v>44974.75</v>
      </c>
      <c r="C1157" s="1" t="str">
        <f t="shared" si="34"/>
        <v>02-2023</v>
      </c>
      <c r="D1157" s="2">
        <f t="shared" si="35"/>
        <v>7</v>
      </c>
      <c r="E1157" t="s">
        <v>18</v>
      </c>
      <c r="F1157" t="s">
        <v>14</v>
      </c>
      <c r="G1157" t="s">
        <v>20</v>
      </c>
      <c r="H1157" s="2">
        <v>22757</v>
      </c>
      <c r="I1157" s="2">
        <v>8</v>
      </c>
      <c r="J1157" s="2">
        <v>43226</v>
      </c>
      <c r="K1157" s="2">
        <v>111815</v>
      </c>
      <c r="L1157" s="2">
        <v>6</v>
      </c>
      <c r="M1157" t="str">
        <f>IF(Revv_bike_sales_data[[#This Row],[delivery_days]]&lt;=7, "Yes", "No")</f>
        <v>Yes</v>
      </c>
      <c r="N1157" t="s">
        <v>16</v>
      </c>
      <c r="O1157" s="2">
        <v>-68589</v>
      </c>
    </row>
    <row r="1158" spans="1:15" x14ac:dyDescent="0.3">
      <c r="A1158" s="2">
        <v>1148</v>
      </c>
      <c r="B1158" s="1">
        <v>44974.791666666664</v>
      </c>
      <c r="C1158" s="1" t="str">
        <f t="shared" si="34"/>
        <v>02-2023</v>
      </c>
      <c r="D1158" s="2">
        <f t="shared" si="35"/>
        <v>7</v>
      </c>
      <c r="E1158" t="s">
        <v>13</v>
      </c>
      <c r="F1158" t="s">
        <v>14</v>
      </c>
      <c r="G1158" t="s">
        <v>21</v>
      </c>
      <c r="H1158" s="2">
        <v>84009</v>
      </c>
      <c r="I1158" s="2">
        <v>3</v>
      </c>
      <c r="J1158" s="2">
        <v>27802</v>
      </c>
      <c r="K1158" s="2">
        <v>57747</v>
      </c>
      <c r="L1158" s="2">
        <v>10</v>
      </c>
      <c r="M1158" t="str">
        <f>IF(Revv_bike_sales_data[[#This Row],[delivery_days]]&lt;=7, "Yes", "No")</f>
        <v>No</v>
      </c>
      <c r="N1158" t="s">
        <v>16</v>
      </c>
      <c r="O1158" s="2">
        <v>-29945</v>
      </c>
    </row>
    <row r="1159" spans="1:15" x14ac:dyDescent="0.3">
      <c r="A1159" s="2">
        <v>1149</v>
      </c>
      <c r="B1159" s="1">
        <v>44974.833333333336</v>
      </c>
      <c r="C1159" s="1" t="str">
        <f t="shared" si="34"/>
        <v>02-2023</v>
      </c>
      <c r="D1159" s="2">
        <f t="shared" si="35"/>
        <v>7</v>
      </c>
      <c r="E1159" t="s">
        <v>22</v>
      </c>
      <c r="F1159" t="s">
        <v>14</v>
      </c>
      <c r="G1159" t="s">
        <v>21</v>
      </c>
      <c r="H1159" s="2">
        <v>91773</v>
      </c>
      <c r="I1159" s="2">
        <v>4</v>
      </c>
      <c r="J1159" s="2">
        <v>49119</v>
      </c>
      <c r="K1159" s="2">
        <v>90974</v>
      </c>
      <c r="L1159" s="2">
        <v>4</v>
      </c>
      <c r="M1159" t="str">
        <f>IF(Revv_bike_sales_data[[#This Row],[delivery_days]]&lt;=7, "Yes", "No")</f>
        <v>Yes</v>
      </c>
      <c r="N1159" t="s">
        <v>16</v>
      </c>
      <c r="O1159" s="2">
        <v>-41855</v>
      </c>
    </row>
    <row r="1160" spans="1:15" x14ac:dyDescent="0.3">
      <c r="A1160" s="2">
        <v>1150</v>
      </c>
      <c r="B1160" s="1">
        <v>44974.875</v>
      </c>
      <c r="C1160" s="1" t="str">
        <f t="shared" si="34"/>
        <v>02-2023</v>
      </c>
      <c r="D1160" s="2">
        <f t="shared" si="35"/>
        <v>7</v>
      </c>
      <c r="E1160" t="s">
        <v>13</v>
      </c>
      <c r="F1160" t="s">
        <v>14</v>
      </c>
      <c r="G1160" t="s">
        <v>20</v>
      </c>
      <c r="H1160" s="2">
        <v>52172</v>
      </c>
      <c r="I1160" s="2">
        <v>7</v>
      </c>
      <c r="J1160" s="2">
        <v>88560</v>
      </c>
      <c r="K1160" s="2">
        <v>94763</v>
      </c>
      <c r="L1160" s="2">
        <v>14</v>
      </c>
      <c r="M1160" t="str">
        <f>IF(Revv_bike_sales_data[[#This Row],[delivery_days]]&lt;=7, "Yes", "No")</f>
        <v>No</v>
      </c>
      <c r="N1160" t="s">
        <v>16</v>
      </c>
      <c r="O1160" s="2">
        <v>-6203</v>
      </c>
    </row>
    <row r="1161" spans="1:15" x14ac:dyDescent="0.3">
      <c r="A1161" s="2">
        <v>1151</v>
      </c>
      <c r="B1161" s="1">
        <v>44974.916666666664</v>
      </c>
      <c r="C1161" s="1" t="str">
        <f t="shared" si="34"/>
        <v>02-2023</v>
      </c>
      <c r="D1161" s="2">
        <f t="shared" si="35"/>
        <v>7</v>
      </c>
      <c r="E1161" t="s">
        <v>25</v>
      </c>
      <c r="F1161" t="s">
        <v>14</v>
      </c>
      <c r="G1161" t="s">
        <v>20</v>
      </c>
      <c r="H1161" s="2">
        <v>63808</v>
      </c>
      <c r="I1161" s="2">
        <v>0</v>
      </c>
      <c r="J1161" s="2">
        <v>82353</v>
      </c>
      <c r="K1161" s="2">
        <v>84208</v>
      </c>
      <c r="L1161" s="2">
        <v>1</v>
      </c>
      <c r="M1161" t="str">
        <f>IF(Revv_bike_sales_data[[#This Row],[delivery_days]]&lt;=7, "Yes", "No")</f>
        <v>Yes</v>
      </c>
      <c r="N1161" t="s">
        <v>16</v>
      </c>
      <c r="O1161" s="2">
        <v>-1855</v>
      </c>
    </row>
    <row r="1162" spans="1:15" x14ac:dyDescent="0.3">
      <c r="A1162" s="2">
        <v>1152</v>
      </c>
      <c r="B1162" s="1">
        <v>44974.958333333336</v>
      </c>
      <c r="C1162" s="1" t="str">
        <f t="shared" si="34"/>
        <v>02-2023</v>
      </c>
      <c r="D1162" s="2">
        <f t="shared" si="35"/>
        <v>7</v>
      </c>
      <c r="E1162" t="s">
        <v>22</v>
      </c>
      <c r="F1162" t="s">
        <v>14</v>
      </c>
      <c r="G1162" t="s">
        <v>15</v>
      </c>
      <c r="H1162" s="2">
        <v>78083</v>
      </c>
      <c r="I1162" s="2">
        <v>0</v>
      </c>
      <c r="J1162" s="2">
        <v>148001</v>
      </c>
      <c r="K1162" s="2">
        <v>87994</v>
      </c>
      <c r="L1162" s="2">
        <v>3</v>
      </c>
      <c r="M1162" t="str">
        <f>IF(Revv_bike_sales_data[[#This Row],[delivery_days]]&lt;=7, "Yes", "No")</f>
        <v>Yes</v>
      </c>
      <c r="N1162" t="s">
        <v>16</v>
      </c>
      <c r="O1162" s="2">
        <v>60007</v>
      </c>
    </row>
    <row r="1163" spans="1:15" x14ac:dyDescent="0.3">
      <c r="A1163" s="2">
        <v>1153</v>
      </c>
      <c r="B1163" s="1">
        <v>44975</v>
      </c>
      <c r="C1163" s="1" t="str">
        <f t="shared" ref="C1163:C1226" si="36">TEXT(B1163,"mm-yyyy")</f>
        <v>02-2023</v>
      </c>
      <c r="D1163" s="2">
        <f t="shared" ref="D1163:D1226" si="37">WEEKNUM(B1163)</f>
        <v>7</v>
      </c>
      <c r="E1163" t="s">
        <v>18</v>
      </c>
      <c r="F1163" t="s">
        <v>23</v>
      </c>
      <c r="G1163" t="s">
        <v>21</v>
      </c>
      <c r="H1163" s="2">
        <v>22613</v>
      </c>
      <c r="I1163" s="2">
        <v>8</v>
      </c>
      <c r="J1163" s="2">
        <v>96641</v>
      </c>
      <c r="K1163" s="2">
        <v>99075</v>
      </c>
      <c r="L1163" s="2">
        <v>14</v>
      </c>
      <c r="M1163" t="str">
        <f>IF(Revv_bike_sales_data[[#This Row],[delivery_days]]&lt;=7, "Yes", "No")</f>
        <v>No</v>
      </c>
      <c r="N1163" t="s">
        <v>16</v>
      </c>
      <c r="O1163" s="2">
        <v>-2434</v>
      </c>
    </row>
    <row r="1164" spans="1:15" x14ac:dyDescent="0.3">
      <c r="A1164" s="2">
        <v>1154</v>
      </c>
      <c r="B1164" s="1">
        <v>44975.041666666664</v>
      </c>
      <c r="C1164" s="1" t="str">
        <f t="shared" si="36"/>
        <v>02-2023</v>
      </c>
      <c r="D1164" s="2">
        <f t="shared" si="37"/>
        <v>7</v>
      </c>
      <c r="E1164" t="s">
        <v>25</v>
      </c>
      <c r="F1164" t="s">
        <v>14</v>
      </c>
      <c r="G1164" t="s">
        <v>19</v>
      </c>
      <c r="H1164" s="2">
        <v>1194</v>
      </c>
      <c r="I1164" s="2">
        <v>8</v>
      </c>
      <c r="J1164" s="2">
        <v>76712</v>
      </c>
      <c r="K1164" s="2">
        <v>84015</v>
      </c>
      <c r="L1164" s="2">
        <v>9</v>
      </c>
      <c r="M1164" t="str">
        <f>IF(Revv_bike_sales_data[[#This Row],[delivery_days]]&lt;=7, "Yes", "No")</f>
        <v>No</v>
      </c>
      <c r="N1164" t="s">
        <v>16</v>
      </c>
      <c r="O1164" s="2">
        <v>-7303</v>
      </c>
    </row>
    <row r="1165" spans="1:15" x14ac:dyDescent="0.3">
      <c r="A1165" s="2">
        <v>1155</v>
      </c>
      <c r="B1165" s="1">
        <v>44975.083333333336</v>
      </c>
      <c r="C1165" s="1" t="str">
        <f t="shared" si="36"/>
        <v>02-2023</v>
      </c>
      <c r="D1165" s="2">
        <f t="shared" si="37"/>
        <v>7</v>
      </c>
      <c r="E1165" t="s">
        <v>22</v>
      </c>
      <c r="F1165" t="s">
        <v>23</v>
      </c>
      <c r="G1165" t="s">
        <v>20</v>
      </c>
      <c r="H1165" s="2">
        <v>16088</v>
      </c>
      <c r="I1165" s="2">
        <v>3</v>
      </c>
      <c r="J1165" s="2">
        <v>155085</v>
      </c>
      <c r="K1165" s="2">
        <v>29887</v>
      </c>
      <c r="L1165" s="2">
        <v>10</v>
      </c>
      <c r="M1165" t="str">
        <f>IF(Revv_bike_sales_data[[#This Row],[delivery_days]]&lt;=7, "Yes", "No")</f>
        <v>No</v>
      </c>
      <c r="N1165" t="s">
        <v>16</v>
      </c>
      <c r="O1165" s="2">
        <v>125198</v>
      </c>
    </row>
    <row r="1166" spans="1:15" x14ac:dyDescent="0.3">
      <c r="A1166" s="2">
        <v>1156</v>
      </c>
      <c r="B1166" s="1">
        <v>44975.125</v>
      </c>
      <c r="C1166" s="1" t="str">
        <f t="shared" si="36"/>
        <v>02-2023</v>
      </c>
      <c r="D1166" s="2">
        <f t="shared" si="37"/>
        <v>7</v>
      </c>
      <c r="E1166" t="s">
        <v>18</v>
      </c>
      <c r="F1166" t="s">
        <v>14</v>
      </c>
      <c r="G1166" t="s">
        <v>21</v>
      </c>
      <c r="H1166" s="2">
        <v>62256</v>
      </c>
      <c r="I1166" s="2">
        <v>1</v>
      </c>
      <c r="J1166" s="2">
        <v>93285</v>
      </c>
      <c r="K1166" s="2">
        <v>15051</v>
      </c>
      <c r="L1166" s="2">
        <v>7</v>
      </c>
      <c r="M1166" t="str">
        <f>IF(Revv_bike_sales_data[[#This Row],[delivery_days]]&lt;=7, "Yes", "No")</f>
        <v>Yes</v>
      </c>
      <c r="N1166" t="s">
        <v>16</v>
      </c>
      <c r="O1166" s="2">
        <v>78234</v>
      </c>
    </row>
    <row r="1167" spans="1:15" x14ac:dyDescent="0.3">
      <c r="A1167" s="2">
        <v>1157</v>
      </c>
      <c r="B1167" s="1">
        <v>44975.166666666664</v>
      </c>
      <c r="C1167" s="1" t="str">
        <f t="shared" si="36"/>
        <v>02-2023</v>
      </c>
      <c r="D1167" s="2">
        <f t="shared" si="37"/>
        <v>7</v>
      </c>
      <c r="E1167" t="s">
        <v>25</v>
      </c>
      <c r="F1167" t="s">
        <v>14</v>
      </c>
      <c r="G1167" t="s">
        <v>21</v>
      </c>
      <c r="H1167" s="2">
        <v>64585</v>
      </c>
      <c r="I1167" s="2">
        <v>8</v>
      </c>
      <c r="J1167" s="2">
        <v>140278</v>
      </c>
      <c r="K1167" s="2">
        <v>82695</v>
      </c>
      <c r="L1167" s="2">
        <v>13</v>
      </c>
      <c r="M1167" t="str">
        <f>IF(Revv_bike_sales_data[[#This Row],[delivery_days]]&lt;=7, "Yes", "No")</f>
        <v>No</v>
      </c>
      <c r="N1167" t="s">
        <v>16</v>
      </c>
      <c r="O1167" s="2">
        <v>57583</v>
      </c>
    </row>
    <row r="1168" spans="1:15" x14ac:dyDescent="0.3">
      <c r="A1168" s="2">
        <v>1158</v>
      </c>
      <c r="B1168" s="1">
        <v>44975.208333333336</v>
      </c>
      <c r="C1168" s="1" t="str">
        <f t="shared" si="36"/>
        <v>02-2023</v>
      </c>
      <c r="D1168" s="2">
        <f t="shared" si="37"/>
        <v>7</v>
      </c>
      <c r="E1168" t="s">
        <v>25</v>
      </c>
      <c r="F1168" t="s">
        <v>14</v>
      </c>
      <c r="G1168" t="s">
        <v>15</v>
      </c>
      <c r="H1168" s="2">
        <v>61642</v>
      </c>
      <c r="I1168" s="2">
        <v>3</v>
      </c>
      <c r="J1168" s="2">
        <v>49512</v>
      </c>
      <c r="K1168" s="2">
        <v>84926</v>
      </c>
      <c r="L1168" s="2">
        <v>6</v>
      </c>
      <c r="M1168" t="str">
        <f>IF(Revv_bike_sales_data[[#This Row],[delivery_days]]&lt;=7, "Yes", "No")</f>
        <v>Yes</v>
      </c>
      <c r="N1168" t="s">
        <v>16</v>
      </c>
      <c r="O1168" s="2">
        <v>-35414</v>
      </c>
    </row>
    <row r="1169" spans="1:15" x14ac:dyDescent="0.3">
      <c r="A1169" s="2">
        <v>1159</v>
      </c>
      <c r="B1169" s="1">
        <v>44975.25</v>
      </c>
      <c r="C1169" s="1" t="str">
        <f t="shared" si="36"/>
        <v>02-2023</v>
      </c>
      <c r="D1169" s="2">
        <f t="shared" si="37"/>
        <v>7</v>
      </c>
      <c r="E1169" t="s">
        <v>22</v>
      </c>
      <c r="F1169" t="s">
        <v>14</v>
      </c>
      <c r="G1169" t="s">
        <v>19</v>
      </c>
      <c r="H1169" s="2">
        <v>64873</v>
      </c>
      <c r="I1169" s="2">
        <v>5</v>
      </c>
      <c r="J1169" s="2">
        <v>127077</v>
      </c>
      <c r="K1169" s="2">
        <v>100571</v>
      </c>
      <c r="L1169" s="2">
        <v>14</v>
      </c>
      <c r="M1169" t="str">
        <f>IF(Revv_bike_sales_data[[#This Row],[delivery_days]]&lt;=7, "Yes", "No")</f>
        <v>No</v>
      </c>
      <c r="N1169" t="s">
        <v>24</v>
      </c>
      <c r="O1169" s="2">
        <v>26506</v>
      </c>
    </row>
    <row r="1170" spans="1:15" x14ac:dyDescent="0.3">
      <c r="A1170" s="2">
        <v>1160</v>
      </c>
      <c r="B1170" s="1">
        <v>44975.291666666664</v>
      </c>
      <c r="C1170" s="1" t="str">
        <f t="shared" si="36"/>
        <v>02-2023</v>
      </c>
      <c r="D1170" s="2">
        <f t="shared" si="37"/>
        <v>7</v>
      </c>
      <c r="E1170" t="s">
        <v>17</v>
      </c>
      <c r="F1170" t="s">
        <v>14</v>
      </c>
      <c r="G1170" t="s">
        <v>15</v>
      </c>
      <c r="H1170" s="2">
        <v>86103</v>
      </c>
      <c r="I1170" s="2">
        <v>0</v>
      </c>
      <c r="J1170" s="2">
        <v>27064</v>
      </c>
      <c r="K1170" s="2">
        <v>137044</v>
      </c>
      <c r="L1170" s="2">
        <v>1</v>
      </c>
      <c r="M1170" t="str">
        <f>IF(Revv_bike_sales_data[[#This Row],[delivery_days]]&lt;=7, "Yes", "No")</f>
        <v>Yes</v>
      </c>
      <c r="N1170" t="s">
        <v>16</v>
      </c>
      <c r="O1170" s="2">
        <v>-109980</v>
      </c>
    </row>
    <row r="1171" spans="1:15" x14ac:dyDescent="0.3">
      <c r="A1171" s="2">
        <v>1161</v>
      </c>
      <c r="B1171" s="1">
        <v>44975.333333333336</v>
      </c>
      <c r="C1171" s="1" t="str">
        <f t="shared" si="36"/>
        <v>02-2023</v>
      </c>
      <c r="D1171" s="2">
        <f t="shared" si="37"/>
        <v>7</v>
      </c>
      <c r="E1171" t="s">
        <v>25</v>
      </c>
      <c r="F1171" t="s">
        <v>14</v>
      </c>
      <c r="G1171" t="s">
        <v>19</v>
      </c>
      <c r="H1171" s="2">
        <v>7204</v>
      </c>
      <c r="I1171" s="2">
        <v>8</v>
      </c>
      <c r="J1171" s="2">
        <v>120614</v>
      </c>
      <c r="K1171" s="2">
        <v>43491</v>
      </c>
      <c r="L1171" s="2">
        <v>9</v>
      </c>
      <c r="M1171" t="str">
        <f>IF(Revv_bike_sales_data[[#This Row],[delivery_days]]&lt;=7, "Yes", "No")</f>
        <v>No</v>
      </c>
      <c r="N1171" t="s">
        <v>16</v>
      </c>
      <c r="O1171" s="2">
        <v>77123</v>
      </c>
    </row>
    <row r="1172" spans="1:15" x14ac:dyDescent="0.3">
      <c r="A1172" s="2">
        <v>1162</v>
      </c>
      <c r="B1172" s="1">
        <v>44975.375</v>
      </c>
      <c r="C1172" s="1" t="str">
        <f t="shared" si="36"/>
        <v>02-2023</v>
      </c>
      <c r="D1172" s="2">
        <f t="shared" si="37"/>
        <v>7</v>
      </c>
      <c r="E1172" t="s">
        <v>25</v>
      </c>
      <c r="F1172" t="s">
        <v>14</v>
      </c>
      <c r="G1172" t="s">
        <v>19</v>
      </c>
      <c r="H1172" s="2">
        <v>40636</v>
      </c>
      <c r="I1172" s="2">
        <v>4</v>
      </c>
      <c r="J1172" s="2">
        <v>142639</v>
      </c>
      <c r="K1172" s="2">
        <v>31080</v>
      </c>
      <c r="L1172" s="2">
        <v>13</v>
      </c>
      <c r="M1172" t="str">
        <f>IF(Revv_bike_sales_data[[#This Row],[delivery_days]]&lt;=7, "Yes", "No")</f>
        <v>No</v>
      </c>
      <c r="N1172" t="s">
        <v>16</v>
      </c>
      <c r="O1172" s="2">
        <v>111559</v>
      </c>
    </row>
    <row r="1173" spans="1:15" x14ac:dyDescent="0.3">
      <c r="A1173" s="2">
        <v>1163</v>
      </c>
      <c r="B1173" s="1">
        <v>44975.416666666664</v>
      </c>
      <c r="C1173" s="1" t="str">
        <f t="shared" si="36"/>
        <v>02-2023</v>
      </c>
      <c r="D1173" s="2">
        <f t="shared" si="37"/>
        <v>7</v>
      </c>
      <c r="E1173" t="s">
        <v>18</v>
      </c>
      <c r="F1173" t="s">
        <v>14</v>
      </c>
      <c r="G1173" t="s">
        <v>20</v>
      </c>
      <c r="H1173" s="2">
        <v>68007</v>
      </c>
      <c r="I1173" s="2">
        <v>2</v>
      </c>
      <c r="J1173" s="2">
        <v>55011</v>
      </c>
      <c r="K1173" s="2">
        <v>49880</v>
      </c>
      <c r="L1173" s="2">
        <v>9</v>
      </c>
      <c r="M1173" t="str">
        <f>IF(Revv_bike_sales_data[[#This Row],[delivery_days]]&lt;=7, "Yes", "No")</f>
        <v>No</v>
      </c>
      <c r="N1173" t="s">
        <v>16</v>
      </c>
      <c r="O1173" s="2">
        <v>5131</v>
      </c>
    </row>
    <row r="1174" spans="1:15" x14ac:dyDescent="0.3">
      <c r="A1174" s="2">
        <v>1164</v>
      </c>
      <c r="B1174" s="1">
        <v>44975.458333333336</v>
      </c>
      <c r="C1174" s="1" t="str">
        <f t="shared" si="36"/>
        <v>02-2023</v>
      </c>
      <c r="D1174" s="2">
        <f t="shared" si="37"/>
        <v>7</v>
      </c>
      <c r="E1174" t="s">
        <v>13</v>
      </c>
      <c r="F1174" t="s">
        <v>14</v>
      </c>
      <c r="G1174" t="s">
        <v>21</v>
      </c>
      <c r="H1174" s="2">
        <v>47861</v>
      </c>
      <c r="I1174" s="2">
        <v>3</v>
      </c>
      <c r="J1174" s="2">
        <v>96152</v>
      </c>
      <c r="K1174" s="2">
        <v>74965</v>
      </c>
      <c r="L1174" s="2">
        <v>1</v>
      </c>
      <c r="M1174" t="str">
        <f>IF(Revv_bike_sales_data[[#This Row],[delivery_days]]&lt;=7, "Yes", "No")</f>
        <v>Yes</v>
      </c>
      <c r="N1174" t="s">
        <v>16</v>
      </c>
      <c r="O1174" s="2">
        <v>21187</v>
      </c>
    </row>
    <row r="1175" spans="1:15" x14ac:dyDescent="0.3">
      <c r="A1175" s="2">
        <v>1165</v>
      </c>
      <c r="B1175" s="1">
        <v>44975.5</v>
      </c>
      <c r="C1175" s="1" t="str">
        <f t="shared" si="36"/>
        <v>02-2023</v>
      </c>
      <c r="D1175" s="2">
        <f t="shared" si="37"/>
        <v>7</v>
      </c>
      <c r="E1175" t="s">
        <v>22</v>
      </c>
      <c r="F1175" t="s">
        <v>14</v>
      </c>
      <c r="G1175" t="s">
        <v>21</v>
      </c>
      <c r="H1175" s="2">
        <v>59347</v>
      </c>
      <c r="I1175" s="2">
        <v>0</v>
      </c>
      <c r="J1175" s="2">
        <v>35960</v>
      </c>
      <c r="K1175" s="2">
        <v>126056</v>
      </c>
      <c r="L1175" s="2">
        <v>14</v>
      </c>
      <c r="M1175" t="str">
        <f>IF(Revv_bike_sales_data[[#This Row],[delivery_days]]&lt;=7, "Yes", "No")</f>
        <v>No</v>
      </c>
      <c r="N1175" t="s">
        <v>16</v>
      </c>
      <c r="O1175" s="2">
        <v>-90096</v>
      </c>
    </row>
    <row r="1176" spans="1:15" x14ac:dyDescent="0.3">
      <c r="A1176" s="2">
        <v>1166</v>
      </c>
      <c r="B1176" s="1">
        <v>44975.541666666664</v>
      </c>
      <c r="C1176" s="1" t="str">
        <f t="shared" si="36"/>
        <v>02-2023</v>
      </c>
      <c r="D1176" s="2">
        <f t="shared" si="37"/>
        <v>7</v>
      </c>
      <c r="E1176" t="s">
        <v>22</v>
      </c>
      <c r="F1176" t="s">
        <v>14</v>
      </c>
      <c r="G1176" t="s">
        <v>21</v>
      </c>
      <c r="H1176" s="2">
        <v>11941</v>
      </c>
      <c r="I1176" s="2">
        <v>8</v>
      </c>
      <c r="J1176" s="2">
        <v>146789</v>
      </c>
      <c r="K1176" s="2">
        <v>62361</v>
      </c>
      <c r="L1176" s="2">
        <v>13</v>
      </c>
      <c r="M1176" t="str">
        <f>IF(Revv_bike_sales_data[[#This Row],[delivery_days]]&lt;=7, "Yes", "No")</f>
        <v>No</v>
      </c>
      <c r="N1176" t="s">
        <v>16</v>
      </c>
      <c r="O1176" s="2">
        <v>84428</v>
      </c>
    </row>
    <row r="1177" spans="1:15" x14ac:dyDescent="0.3">
      <c r="A1177" s="2">
        <v>1167</v>
      </c>
      <c r="B1177" s="1">
        <v>44975.583333333336</v>
      </c>
      <c r="C1177" s="1" t="str">
        <f t="shared" si="36"/>
        <v>02-2023</v>
      </c>
      <c r="D1177" s="2">
        <f t="shared" si="37"/>
        <v>7</v>
      </c>
      <c r="E1177" t="s">
        <v>17</v>
      </c>
      <c r="F1177" t="s">
        <v>14</v>
      </c>
      <c r="G1177" t="s">
        <v>19</v>
      </c>
      <c r="H1177" s="2">
        <v>97512</v>
      </c>
      <c r="I1177" s="2">
        <v>7</v>
      </c>
      <c r="J1177" s="2">
        <v>83920</v>
      </c>
      <c r="K1177" s="2">
        <v>102685</v>
      </c>
      <c r="L1177" s="2">
        <v>13</v>
      </c>
      <c r="M1177" t="str">
        <f>IF(Revv_bike_sales_data[[#This Row],[delivery_days]]&lt;=7, "Yes", "No")</f>
        <v>No</v>
      </c>
      <c r="N1177" t="s">
        <v>24</v>
      </c>
      <c r="O1177" s="2">
        <v>-18765</v>
      </c>
    </row>
    <row r="1178" spans="1:15" x14ac:dyDescent="0.3">
      <c r="A1178" s="2">
        <v>1168</v>
      </c>
      <c r="B1178" s="1">
        <v>44975.625</v>
      </c>
      <c r="C1178" s="1" t="str">
        <f t="shared" si="36"/>
        <v>02-2023</v>
      </c>
      <c r="D1178" s="2">
        <f t="shared" si="37"/>
        <v>7</v>
      </c>
      <c r="E1178" t="s">
        <v>17</v>
      </c>
      <c r="F1178" t="s">
        <v>14</v>
      </c>
      <c r="G1178" t="s">
        <v>21</v>
      </c>
      <c r="H1178" s="2">
        <v>15177</v>
      </c>
      <c r="I1178" s="2">
        <v>3</v>
      </c>
      <c r="J1178" s="2">
        <v>46387</v>
      </c>
      <c r="K1178" s="2">
        <v>95875</v>
      </c>
      <c r="L1178" s="2">
        <v>6</v>
      </c>
      <c r="M1178" t="str">
        <f>IF(Revv_bike_sales_data[[#This Row],[delivery_days]]&lt;=7, "Yes", "No")</f>
        <v>Yes</v>
      </c>
      <c r="N1178" t="s">
        <v>16</v>
      </c>
      <c r="O1178" s="2">
        <v>-49488</v>
      </c>
    </row>
    <row r="1179" spans="1:15" x14ac:dyDescent="0.3">
      <c r="A1179" s="2">
        <v>1169</v>
      </c>
      <c r="B1179" s="1">
        <v>44975.666666666664</v>
      </c>
      <c r="C1179" s="1" t="str">
        <f t="shared" si="36"/>
        <v>02-2023</v>
      </c>
      <c r="D1179" s="2">
        <f t="shared" si="37"/>
        <v>7</v>
      </c>
      <c r="E1179" t="s">
        <v>22</v>
      </c>
      <c r="F1179" t="s">
        <v>14</v>
      </c>
      <c r="G1179" t="s">
        <v>20</v>
      </c>
      <c r="H1179" s="2">
        <v>28318</v>
      </c>
      <c r="I1179" s="2">
        <v>1</v>
      </c>
      <c r="J1179" s="2">
        <v>171396</v>
      </c>
      <c r="K1179" s="2">
        <v>109841</v>
      </c>
      <c r="L1179" s="2">
        <v>7</v>
      </c>
      <c r="M1179" t="str">
        <f>IF(Revv_bike_sales_data[[#This Row],[delivery_days]]&lt;=7, "Yes", "No")</f>
        <v>Yes</v>
      </c>
      <c r="N1179" t="s">
        <v>16</v>
      </c>
      <c r="O1179" s="2">
        <v>61555</v>
      </c>
    </row>
    <row r="1180" spans="1:15" x14ac:dyDescent="0.3">
      <c r="A1180" s="2">
        <v>1170</v>
      </c>
      <c r="B1180" s="1">
        <v>44975.708333333336</v>
      </c>
      <c r="C1180" s="1" t="str">
        <f t="shared" si="36"/>
        <v>02-2023</v>
      </c>
      <c r="D1180" s="2">
        <f t="shared" si="37"/>
        <v>7</v>
      </c>
      <c r="E1180" t="s">
        <v>17</v>
      </c>
      <c r="F1180" t="s">
        <v>14</v>
      </c>
      <c r="G1180" t="s">
        <v>19</v>
      </c>
      <c r="H1180" s="2">
        <v>2368</v>
      </c>
      <c r="I1180" s="2">
        <v>8</v>
      </c>
      <c r="J1180" s="2">
        <v>88960</v>
      </c>
      <c r="K1180" s="2">
        <v>81890</v>
      </c>
      <c r="L1180" s="2">
        <v>2</v>
      </c>
      <c r="M1180" t="str">
        <f>IF(Revv_bike_sales_data[[#This Row],[delivery_days]]&lt;=7, "Yes", "No")</f>
        <v>Yes</v>
      </c>
      <c r="N1180" t="s">
        <v>16</v>
      </c>
      <c r="O1180" s="2">
        <v>7070</v>
      </c>
    </row>
    <row r="1181" spans="1:15" x14ac:dyDescent="0.3">
      <c r="A1181" s="2">
        <v>1171</v>
      </c>
      <c r="B1181" s="1">
        <v>44975.75</v>
      </c>
      <c r="C1181" s="1" t="str">
        <f t="shared" si="36"/>
        <v>02-2023</v>
      </c>
      <c r="D1181" s="2">
        <f t="shared" si="37"/>
        <v>7</v>
      </c>
      <c r="E1181" t="s">
        <v>18</v>
      </c>
      <c r="F1181" t="s">
        <v>23</v>
      </c>
      <c r="G1181" t="s">
        <v>19</v>
      </c>
      <c r="H1181" s="2">
        <v>84091</v>
      </c>
      <c r="I1181" s="2">
        <v>3</v>
      </c>
      <c r="J1181" s="2">
        <v>147994</v>
      </c>
      <c r="K1181" s="2">
        <v>86156</v>
      </c>
      <c r="L1181" s="2">
        <v>10</v>
      </c>
      <c r="M1181" t="str">
        <f>IF(Revv_bike_sales_data[[#This Row],[delivery_days]]&lt;=7, "Yes", "No")</f>
        <v>No</v>
      </c>
      <c r="N1181" t="s">
        <v>24</v>
      </c>
      <c r="O1181" s="2">
        <v>61838</v>
      </c>
    </row>
    <row r="1182" spans="1:15" x14ac:dyDescent="0.3">
      <c r="A1182" s="2">
        <v>1172</v>
      </c>
      <c r="B1182" s="1">
        <v>44975.791666666664</v>
      </c>
      <c r="C1182" s="1" t="str">
        <f t="shared" si="36"/>
        <v>02-2023</v>
      </c>
      <c r="D1182" s="2">
        <f t="shared" si="37"/>
        <v>7</v>
      </c>
      <c r="E1182" t="s">
        <v>22</v>
      </c>
      <c r="F1182" t="s">
        <v>14</v>
      </c>
      <c r="G1182" t="s">
        <v>19</v>
      </c>
      <c r="H1182" s="2">
        <v>67764</v>
      </c>
      <c r="I1182" s="2">
        <v>8</v>
      </c>
      <c r="J1182" s="2">
        <v>57628</v>
      </c>
      <c r="K1182" s="2">
        <v>84290</v>
      </c>
      <c r="L1182" s="2">
        <v>8</v>
      </c>
      <c r="M1182" t="str">
        <f>IF(Revv_bike_sales_data[[#This Row],[delivery_days]]&lt;=7, "Yes", "No")</f>
        <v>No</v>
      </c>
      <c r="N1182" t="s">
        <v>16</v>
      </c>
      <c r="O1182" s="2">
        <v>-26662</v>
      </c>
    </row>
    <row r="1183" spans="1:15" x14ac:dyDescent="0.3">
      <c r="A1183" s="2">
        <v>1173</v>
      </c>
      <c r="B1183" s="1">
        <v>44975.833333333336</v>
      </c>
      <c r="C1183" s="1" t="str">
        <f t="shared" si="36"/>
        <v>02-2023</v>
      </c>
      <c r="D1183" s="2">
        <f t="shared" si="37"/>
        <v>7</v>
      </c>
      <c r="E1183" t="s">
        <v>17</v>
      </c>
      <c r="F1183" t="s">
        <v>14</v>
      </c>
      <c r="G1183" t="s">
        <v>19</v>
      </c>
      <c r="H1183" s="2">
        <v>73668</v>
      </c>
      <c r="I1183" s="2">
        <v>9</v>
      </c>
      <c r="J1183" s="2">
        <v>146269</v>
      </c>
      <c r="K1183" s="2">
        <v>31593</v>
      </c>
      <c r="L1183" s="2">
        <v>8</v>
      </c>
      <c r="M1183" t="str">
        <f>IF(Revv_bike_sales_data[[#This Row],[delivery_days]]&lt;=7, "Yes", "No")</f>
        <v>No</v>
      </c>
      <c r="N1183" t="s">
        <v>16</v>
      </c>
      <c r="O1183" s="2">
        <v>114676</v>
      </c>
    </row>
    <row r="1184" spans="1:15" x14ac:dyDescent="0.3">
      <c r="A1184" s="2">
        <v>1174</v>
      </c>
      <c r="B1184" s="1">
        <v>44975.875</v>
      </c>
      <c r="C1184" s="1" t="str">
        <f t="shared" si="36"/>
        <v>02-2023</v>
      </c>
      <c r="D1184" s="2">
        <f t="shared" si="37"/>
        <v>7</v>
      </c>
      <c r="E1184" t="s">
        <v>22</v>
      </c>
      <c r="F1184" t="s">
        <v>14</v>
      </c>
      <c r="G1184" t="s">
        <v>20</v>
      </c>
      <c r="H1184" s="2">
        <v>12543</v>
      </c>
      <c r="I1184" s="2">
        <v>2</v>
      </c>
      <c r="J1184" s="2">
        <v>72452</v>
      </c>
      <c r="K1184" s="2">
        <v>31167</v>
      </c>
      <c r="L1184" s="2">
        <v>6</v>
      </c>
      <c r="M1184" t="str">
        <f>IF(Revv_bike_sales_data[[#This Row],[delivery_days]]&lt;=7, "Yes", "No")</f>
        <v>Yes</v>
      </c>
      <c r="N1184" t="s">
        <v>16</v>
      </c>
      <c r="O1184" s="2">
        <v>41285</v>
      </c>
    </row>
    <row r="1185" spans="1:15" x14ac:dyDescent="0.3">
      <c r="A1185" s="2">
        <v>1175</v>
      </c>
      <c r="B1185" s="1">
        <v>44975.916666666664</v>
      </c>
      <c r="C1185" s="1" t="str">
        <f t="shared" si="36"/>
        <v>02-2023</v>
      </c>
      <c r="D1185" s="2">
        <f t="shared" si="37"/>
        <v>7</v>
      </c>
      <c r="E1185" t="s">
        <v>13</v>
      </c>
      <c r="F1185" t="s">
        <v>14</v>
      </c>
      <c r="G1185" t="s">
        <v>21</v>
      </c>
      <c r="H1185" s="2">
        <v>72439</v>
      </c>
      <c r="I1185" s="2">
        <v>6</v>
      </c>
      <c r="J1185" s="2">
        <v>66098</v>
      </c>
      <c r="K1185" s="2">
        <v>135920</v>
      </c>
      <c r="L1185" s="2">
        <v>9</v>
      </c>
      <c r="M1185" t="str">
        <f>IF(Revv_bike_sales_data[[#This Row],[delivery_days]]&lt;=7, "Yes", "No")</f>
        <v>No</v>
      </c>
      <c r="N1185" t="s">
        <v>16</v>
      </c>
      <c r="O1185" s="2">
        <v>-69822</v>
      </c>
    </row>
    <row r="1186" spans="1:15" x14ac:dyDescent="0.3">
      <c r="A1186" s="2">
        <v>1176</v>
      </c>
      <c r="B1186" s="1">
        <v>44975.958333333336</v>
      </c>
      <c r="C1186" s="1" t="str">
        <f t="shared" si="36"/>
        <v>02-2023</v>
      </c>
      <c r="D1186" s="2">
        <f t="shared" si="37"/>
        <v>7</v>
      </c>
      <c r="E1186" t="s">
        <v>25</v>
      </c>
      <c r="F1186" t="s">
        <v>14</v>
      </c>
      <c r="G1186" t="s">
        <v>20</v>
      </c>
      <c r="H1186" s="2">
        <v>16232</v>
      </c>
      <c r="I1186" s="2">
        <v>6</v>
      </c>
      <c r="J1186" s="2">
        <v>111861</v>
      </c>
      <c r="K1186" s="2">
        <v>137534</v>
      </c>
      <c r="L1186" s="2">
        <v>3</v>
      </c>
      <c r="M1186" t="str">
        <f>IF(Revv_bike_sales_data[[#This Row],[delivery_days]]&lt;=7, "Yes", "No")</f>
        <v>Yes</v>
      </c>
      <c r="N1186" t="s">
        <v>16</v>
      </c>
      <c r="O1186" s="2">
        <v>-25673</v>
      </c>
    </row>
    <row r="1187" spans="1:15" x14ac:dyDescent="0.3">
      <c r="A1187" s="2">
        <v>1177</v>
      </c>
      <c r="B1187" s="1">
        <v>44976</v>
      </c>
      <c r="C1187" s="1" t="str">
        <f t="shared" si="36"/>
        <v>02-2023</v>
      </c>
      <c r="D1187" s="2">
        <f t="shared" si="37"/>
        <v>8</v>
      </c>
      <c r="E1187" t="s">
        <v>22</v>
      </c>
      <c r="F1187" t="s">
        <v>14</v>
      </c>
      <c r="G1187" t="s">
        <v>21</v>
      </c>
      <c r="H1187" s="2">
        <v>55744</v>
      </c>
      <c r="I1187" s="2">
        <v>9</v>
      </c>
      <c r="J1187" s="2">
        <v>52949</v>
      </c>
      <c r="K1187" s="2">
        <v>103091</v>
      </c>
      <c r="L1187" s="2">
        <v>2</v>
      </c>
      <c r="M1187" t="str">
        <f>IF(Revv_bike_sales_data[[#This Row],[delivery_days]]&lt;=7, "Yes", "No")</f>
        <v>Yes</v>
      </c>
      <c r="N1187" t="s">
        <v>16</v>
      </c>
      <c r="O1187" s="2">
        <v>-50142</v>
      </c>
    </row>
    <row r="1188" spans="1:15" x14ac:dyDescent="0.3">
      <c r="A1188" s="2">
        <v>1178</v>
      </c>
      <c r="B1188" s="1">
        <v>44976.041666666664</v>
      </c>
      <c r="C1188" s="1" t="str">
        <f t="shared" si="36"/>
        <v>02-2023</v>
      </c>
      <c r="D1188" s="2">
        <f t="shared" si="37"/>
        <v>8</v>
      </c>
      <c r="E1188" t="s">
        <v>25</v>
      </c>
      <c r="F1188" t="s">
        <v>14</v>
      </c>
      <c r="G1188" t="s">
        <v>20</v>
      </c>
      <c r="H1188" s="2">
        <v>19026</v>
      </c>
      <c r="I1188" s="2">
        <v>3</v>
      </c>
      <c r="J1188" s="2">
        <v>178893</v>
      </c>
      <c r="K1188" s="2">
        <v>48005</v>
      </c>
      <c r="L1188" s="2">
        <v>2</v>
      </c>
      <c r="M1188" t="str">
        <f>IF(Revv_bike_sales_data[[#This Row],[delivery_days]]&lt;=7, "Yes", "No")</f>
        <v>Yes</v>
      </c>
      <c r="N1188" t="s">
        <v>24</v>
      </c>
      <c r="O1188" s="2">
        <v>130888</v>
      </c>
    </row>
    <row r="1189" spans="1:15" x14ac:dyDescent="0.3">
      <c r="A1189" s="2">
        <v>1179</v>
      </c>
      <c r="B1189" s="1">
        <v>44976.083333333336</v>
      </c>
      <c r="C1189" s="1" t="str">
        <f t="shared" si="36"/>
        <v>02-2023</v>
      </c>
      <c r="D1189" s="2">
        <f t="shared" si="37"/>
        <v>8</v>
      </c>
      <c r="E1189" t="s">
        <v>17</v>
      </c>
      <c r="F1189" t="s">
        <v>14</v>
      </c>
      <c r="G1189" t="s">
        <v>15</v>
      </c>
      <c r="H1189" s="2">
        <v>9840</v>
      </c>
      <c r="I1189" s="2">
        <v>1</v>
      </c>
      <c r="J1189" s="2">
        <v>178104</v>
      </c>
      <c r="K1189" s="2">
        <v>121831</v>
      </c>
      <c r="L1189" s="2">
        <v>6</v>
      </c>
      <c r="M1189" t="str">
        <f>IF(Revv_bike_sales_data[[#This Row],[delivery_days]]&lt;=7, "Yes", "No")</f>
        <v>Yes</v>
      </c>
      <c r="N1189" t="s">
        <v>16</v>
      </c>
      <c r="O1189" s="2">
        <v>56273</v>
      </c>
    </row>
    <row r="1190" spans="1:15" x14ac:dyDescent="0.3">
      <c r="A1190" s="2">
        <v>1180</v>
      </c>
      <c r="B1190" s="1">
        <v>44976.125</v>
      </c>
      <c r="C1190" s="1" t="str">
        <f t="shared" si="36"/>
        <v>02-2023</v>
      </c>
      <c r="D1190" s="2">
        <f t="shared" si="37"/>
        <v>8</v>
      </c>
      <c r="E1190" t="s">
        <v>25</v>
      </c>
      <c r="F1190" t="s">
        <v>14</v>
      </c>
      <c r="G1190" t="s">
        <v>15</v>
      </c>
      <c r="H1190" s="2">
        <v>22894</v>
      </c>
      <c r="I1190" s="2">
        <v>8</v>
      </c>
      <c r="J1190" s="2">
        <v>98537</v>
      </c>
      <c r="K1190" s="2">
        <v>80471</v>
      </c>
      <c r="L1190" s="2">
        <v>7</v>
      </c>
      <c r="M1190" t="str">
        <f>IF(Revv_bike_sales_data[[#This Row],[delivery_days]]&lt;=7, "Yes", "No")</f>
        <v>Yes</v>
      </c>
      <c r="N1190" t="s">
        <v>16</v>
      </c>
      <c r="O1190" s="2">
        <v>18066</v>
      </c>
    </row>
    <row r="1191" spans="1:15" x14ac:dyDescent="0.3">
      <c r="A1191" s="2">
        <v>1181</v>
      </c>
      <c r="B1191" s="1">
        <v>44976.166666666664</v>
      </c>
      <c r="C1191" s="1" t="str">
        <f t="shared" si="36"/>
        <v>02-2023</v>
      </c>
      <c r="D1191" s="2">
        <f t="shared" si="37"/>
        <v>8</v>
      </c>
      <c r="E1191" t="s">
        <v>22</v>
      </c>
      <c r="F1191" t="s">
        <v>14</v>
      </c>
      <c r="G1191" t="s">
        <v>15</v>
      </c>
      <c r="H1191" s="2">
        <v>99057</v>
      </c>
      <c r="I1191" s="2">
        <v>3</v>
      </c>
      <c r="J1191" s="2">
        <v>171375</v>
      </c>
      <c r="K1191" s="2">
        <v>121379</v>
      </c>
      <c r="L1191" s="2">
        <v>6</v>
      </c>
      <c r="M1191" t="str">
        <f>IF(Revv_bike_sales_data[[#This Row],[delivery_days]]&lt;=7, "Yes", "No")</f>
        <v>Yes</v>
      </c>
      <c r="N1191" t="s">
        <v>16</v>
      </c>
      <c r="O1191" s="2">
        <v>49996</v>
      </c>
    </row>
    <row r="1192" spans="1:15" x14ac:dyDescent="0.3">
      <c r="A1192" s="2">
        <v>1182</v>
      </c>
      <c r="B1192" s="1">
        <v>44976.208333333336</v>
      </c>
      <c r="C1192" s="1" t="str">
        <f t="shared" si="36"/>
        <v>02-2023</v>
      </c>
      <c r="D1192" s="2">
        <f t="shared" si="37"/>
        <v>8</v>
      </c>
      <c r="E1192" t="s">
        <v>13</v>
      </c>
      <c r="F1192" t="s">
        <v>14</v>
      </c>
      <c r="G1192" t="s">
        <v>15</v>
      </c>
      <c r="H1192" s="2">
        <v>4602</v>
      </c>
      <c r="I1192" s="2">
        <v>7</v>
      </c>
      <c r="J1192" s="2">
        <v>141003</v>
      </c>
      <c r="K1192" s="2">
        <v>65728</v>
      </c>
      <c r="L1192" s="2">
        <v>11</v>
      </c>
      <c r="M1192" t="str">
        <f>IF(Revv_bike_sales_data[[#This Row],[delivery_days]]&lt;=7, "Yes", "No")</f>
        <v>No</v>
      </c>
      <c r="N1192" t="s">
        <v>16</v>
      </c>
      <c r="O1192" s="2">
        <v>75275</v>
      </c>
    </row>
    <row r="1193" spans="1:15" x14ac:dyDescent="0.3">
      <c r="A1193" s="2">
        <v>1183</v>
      </c>
      <c r="B1193" s="1">
        <v>44976.25</v>
      </c>
      <c r="C1193" s="1" t="str">
        <f t="shared" si="36"/>
        <v>02-2023</v>
      </c>
      <c r="D1193" s="2">
        <f t="shared" si="37"/>
        <v>8</v>
      </c>
      <c r="E1193" t="s">
        <v>17</v>
      </c>
      <c r="F1193" t="s">
        <v>14</v>
      </c>
      <c r="G1193" t="s">
        <v>19</v>
      </c>
      <c r="H1193" s="2">
        <v>19659</v>
      </c>
      <c r="I1193" s="2">
        <v>1</v>
      </c>
      <c r="J1193" s="2">
        <v>168375</v>
      </c>
      <c r="K1193" s="2">
        <v>23691</v>
      </c>
      <c r="L1193" s="2">
        <v>3</v>
      </c>
      <c r="M1193" t="str">
        <f>IF(Revv_bike_sales_data[[#This Row],[delivery_days]]&lt;=7, "Yes", "No")</f>
        <v>Yes</v>
      </c>
      <c r="N1193" t="s">
        <v>16</v>
      </c>
      <c r="O1193" s="2">
        <v>144684</v>
      </c>
    </row>
    <row r="1194" spans="1:15" x14ac:dyDescent="0.3">
      <c r="A1194" s="2">
        <v>1184</v>
      </c>
      <c r="B1194" s="1">
        <v>44976.291666666664</v>
      </c>
      <c r="C1194" s="1" t="str">
        <f t="shared" si="36"/>
        <v>02-2023</v>
      </c>
      <c r="D1194" s="2">
        <f t="shared" si="37"/>
        <v>8</v>
      </c>
      <c r="E1194" t="s">
        <v>22</v>
      </c>
      <c r="F1194" t="s">
        <v>14</v>
      </c>
      <c r="G1194" t="s">
        <v>19</v>
      </c>
      <c r="H1194" s="2">
        <v>65592</v>
      </c>
      <c r="I1194" s="2">
        <v>7</v>
      </c>
      <c r="J1194" s="2">
        <v>75701</v>
      </c>
      <c r="K1194" s="2">
        <v>24756</v>
      </c>
      <c r="L1194" s="2">
        <v>5</v>
      </c>
      <c r="M1194" t="str">
        <f>IF(Revv_bike_sales_data[[#This Row],[delivery_days]]&lt;=7, "Yes", "No")</f>
        <v>Yes</v>
      </c>
      <c r="N1194" t="s">
        <v>16</v>
      </c>
      <c r="O1194" s="2">
        <v>50945</v>
      </c>
    </row>
    <row r="1195" spans="1:15" x14ac:dyDescent="0.3">
      <c r="A1195" s="2">
        <v>1185</v>
      </c>
      <c r="B1195" s="1">
        <v>44976.333333333336</v>
      </c>
      <c r="C1195" s="1" t="str">
        <f t="shared" si="36"/>
        <v>02-2023</v>
      </c>
      <c r="D1195" s="2">
        <f t="shared" si="37"/>
        <v>8</v>
      </c>
      <c r="E1195" t="s">
        <v>17</v>
      </c>
      <c r="F1195" t="s">
        <v>14</v>
      </c>
      <c r="G1195" t="s">
        <v>20</v>
      </c>
      <c r="H1195" s="2">
        <v>6712</v>
      </c>
      <c r="I1195" s="2">
        <v>9</v>
      </c>
      <c r="J1195" s="2">
        <v>75511</v>
      </c>
      <c r="K1195" s="2">
        <v>138670</v>
      </c>
      <c r="L1195" s="2">
        <v>8</v>
      </c>
      <c r="M1195" t="str">
        <f>IF(Revv_bike_sales_data[[#This Row],[delivery_days]]&lt;=7, "Yes", "No")</f>
        <v>No</v>
      </c>
      <c r="N1195" t="s">
        <v>16</v>
      </c>
      <c r="O1195" s="2">
        <v>-63159</v>
      </c>
    </row>
    <row r="1196" spans="1:15" x14ac:dyDescent="0.3">
      <c r="A1196" s="2">
        <v>1186</v>
      </c>
      <c r="B1196" s="1">
        <v>44976.375</v>
      </c>
      <c r="C1196" s="1" t="str">
        <f t="shared" si="36"/>
        <v>02-2023</v>
      </c>
      <c r="D1196" s="2">
        <f t="shared" si="37"/>
        <v>8</v>
      </c>
      <c r="E1196" t="s">
        <v>18</v>
      </c>
      <c r="F1196" t="s">
        <v>14</v>
      </c>
      <c r="G1196" t="s">
        <v>20</v>
      </c>
      <c r="H1196" s="2">
        <v>97860</v>
      </c>
      <c r="I1196" s="2">
        <v>4</v>
      </c>
      <c r="J1196" s="2">
        <v>105664</v>
      </c>
      <c r="K1196" s="2">
        <v>51308</v>
      </c>
      <c r="L1196" s="2">
        <v>6</v>
      </c>
      <c r="M1196" t="str">
        <f>IF(Revv_bike_sales_data[[#This Row],[delivery_days]]&lt;=7, "Yes", "No")</f>
        <v>Yes</v>
      </c>
      <c r="N1196" t="s">
        <v>16</v>
      </c>
      <c r="O1196" s="2">
        <v>54356</v>
      </c>
    </row>
    <row r="1197" spans="1:15" x14ac:dyDescent="0.3">
      <c r="A1197" s="2">
        <v>1187</v>
      </c>
      <c r="B1197" s="1">
        <v>44976.416666666664</v>
      </c>
      <c r="C1197" s="1" t="str">
        <f t="shared" si="36"/>
        <v>02-2023</v>
      </c>
      <c r="D1197" s="2">
        <f t="shared" si="37"/>
        <v>8</v>
      </c>
      <c r="E1197" t="s">
        <v>25</v>
      </c>
      <c r="F1197" t="s">
        <v>14</v>
      </c>
      <c r="G1197" t="s">
        <v>15</v>
      </c>
      <c r="H1197" s="2">
        <v>37905</v>
      </c>
      <c r="I1197" s="2">
        <v>6</v>
      </c>
      <c r="J1197" s="2">
        <v>174352</v>
      </c>
      <c r="K1197" s="2">
        <v>79079</v>
      </c>
      <c r="L1197" s="2">
        <v>2</v>
      </c>
      <c r="M1197" t="str">
        <f>IF(Revv_bike_sales_data[[#This Row],[delivery_days]]&lt;=7, "Yes", "No")</f>
        <v>Yes</v>
      </c>
      <c r="N1197" t="s">
        <v>16</v>
      </c>
      <c r="O1197" s="2">
        <v>95273</v>
      </c>
    </row>
    <row r="1198" spans="1:15" x14ac:dyDescent="0.3">
      <c r="A1198" s="2">
        <v>1188</v>
      </c>
      <c r="B1198" s="1">
        <v>44976.458333333336</v>
      </c>
      <c r="C1198" s="1" t="str">
        <f t="shared" si="36"/>
        <v>02-2023</v>
      </c>
      <c r="D1198" s="2">
        <f t="shared" si="37"/>
        <v>8</v>
      </c>
      <c r="E1198" t="s">
        <v>18</v>
      </c>
      <c r="F1198" t="s">
        <v>14</v>
      </c>
      <c r="G1198" t="s">
        <v>21</v>
      </c>
      <c r="H1198" s="2">
        <v>77561</v>
      </c>
      <c r="I1198" s="2">
        <v>6</v>
      </c>
      <c r="J1198" s="2">
        <v>64427</v>
      </c>
      <c r="K1198" s="2">
        <v>80524</v>
      </c>
      <c r="L1198" s="2">
        <v>7</v>
      </c>
      <c r="M1198" t="str">
        <f>IF(Revv_bike_sales_data[[#This Row],[delivery_days]]&lt;=7, "Yes", "No")</f>
        <v>Yes</v>
      </c>
      <c r="N1198" t="s">
        <v>24</v>
      </c>
      <c r="O1198" s="2">
        <v>-16097</v>
      </c>
    </row>
    <row r="1199" spans="1:15" x14ac:dyDescent="0.3">
      <c r="A1199" s="2">
        <v>1189</v>
      </c>
      <c r="B1199" s="1">
        <v>44976.5</v>
      </c>
      <c r="C1199" s="1" t="str">
        <f t="shared" si="36"/>
        <v>02-2023</v>
      </c>
      <c r="D1199" s="2">
        <f t="shared" si="37"/>
        <v>8</v>
      </c>
      <c r="E1199" t="s">
        <v>22</v>
      </c>
      <c r="F1199" t="s">
        <v>14</v>
      </c>
      <c r="G1199" t="s">
        <v>15</v>
      </c>
      <c r="H1199" s="2">
        <v>94796</v>
      </c>
      <c r="I1199" s="2">
        <v>8</v>
      </c>
      <c r="J1199" s="2">
        <v>122180</v>
      </c>
      <c r="K1199" s="2">
        <v>75466</v>
      </c>
      <c r="L1199" s="2">
        <v>8</v>
      </c>
      <c r="M1199" t="str">
        <f>IF(Revv_bike_sales_data[[#This Row],[delivery_days]]&lt;=7, "Yes", "No")</f>
        <v>No</v>
      </c>
      <c r="N1199" t="s">
        <v>16</v>
      </c>
      <c r="O1199" s="2">
        <v>46714</v>
      </c>
    </row>
    <row r="1200" spans="1:15" x14ac:dyDescent="0.3">
      <c r="A1200" s="2">
        <v>1190</v>
      </c>
      <c r="B1200" s="1">
        <v>44976.541666666664</v>
      </c>
      <c r="C1200" s="1" t="str">
        <f t="shared" si="36"/>
        <v>02-2023</v>
      </c>
      <c r="D1200" s="2">
        <f t="shared" si="37"/>
        <v>8</v>
      </c>
      <c r="E1200" t="s">
        <v>13</v>
      </c>
      <c r="F1200" t="s">
        <v>14</v>
      </c>
      <c r="G1200" t="s">
        <v>20</v>
      </c>
      <c r="H1200" s="2">
        <v>55686</v>
      </c>
      <c r="I1200" s="2">
        <v>2</v>
      </c>
      <c r="J1200" s="2">
        <v>128550</v>
      </c>
      <c r="K1200" s="2">
        <v>24327</v>
      </c>
      <c r="L1200" s="2">
        <v>4</v>
      </c>
      <c r="M1200" t="str">
        <f>IF(Revv_bike_sales_data[[#This Row],[delivery_days]]&lt;=7, "Yes", "No")</f>
        <v>Yes</v>
      </c>
      <c r="N1200" t="s">
        <v>16</v>
      </c>
      <c r="O1200" s="2">
        <v>104223</v>
      </c>
    </row>
    <row r="1201" spans="1:15" x14ac:dyDescent="0.3">
      <c r="A1201" s="2">
        <v>1191</v>
      </c>
      <c r="B1201" s="1">
        <v>44976.583333333336</v>
      </c>
      <c r="C1201" s="1" t="str">
        <f t="shared" si="36"/>
        <v>02-2023</v>
      </c>
      <c r="D1201" s="2">
        <f t="shared" si="37"/>
        <v>8</v>
      </c>
      <c r="E1201" t="s">
        <v>17</v>
      </c>
      <c r="F1201" t="s">
        <v>14</v>
      </c>
      <c r="G1201" t="s">
        <v>15</v>
      </c>
      <c r="H1201" s="2">
        <v>44739</v>
      </c>
      <c r="I1201" s="2">
        <v>9</v>
      </c>
      <c r="J1201" s="2">
        <v>163039</v>
      </c>
      <c r="K1201" s="2">
        <v>43520</v>
      </c>
      <c r="L1201" s="2">
        <v>12</v>
      </c>
      <c r="M1201" t="str">
        <f>IF(Revv_bike_sales_data[[#This Row],[delivery_days]]&lt;=7, "Yes", "No")</f>
        <v>No</v>
      </c>
      <c r="N1201" t="s">
        <v>16</v>
      </c>
      <c r="O1201" s="2">
        <v>119519</v>
      </c>
    </row>
    <row r="1202" spans="1:15" x14ac:dyDescent="0.3">
      <c r="A1202" s="2">
        <v>1192</v>
      </c>
      <c r="B1202" s="1">
        <v>44976.625</v>
      </c>
      <c r="C1202" s="1" t="str">
        <f t="shared" si="36"/>
        <v>02-2023</v>
      </c>
      <c r="D1202" s="2">
        <f t="shared" si="37"/>
        <v>8</v>
      </c>
      <c r="E1202" t="s">
        <v>25</v>
      </c>
      <c r="F1202" t="s">
        <v>14</v>
      </c>
      <c r="G1202" t="s">
        <v>20</v>
      </c>
      <c r="H1202" s="2">
        <v>93493</v>
      </c>
      <c r="I1202" s="2">
        <v>3</v>
      </c>
      <c r="J1202" s="2">
        <v>162733</v>
      </c>
      <c r="K1202" s="2">
        <v>58308</v>
      </c>
      <c r="L1202" s="2">
        <v>1</v>
      </c>
      <c r="M1202" t="str">
        <f>IF(Revv_bike_sales_data[[#This Row],[delivery_days]]&lt;=7, "Yes", "No")</f>
        <v>Yes</v>
      </c>
      <c r="N1202" t="s">
        <v>16</v>
      </c>
      <c r="O1202" s="2">
        <v>104425</v>
      </c>
    </row>
    <row r="1203" spans="1:15" x14ac:dyDescent="0.3">
      <c r="A1203" s="2">
        <v>1193</v>
      </c>
      <c r="B1203" s="1">
        <v>44976.666666666664</v>
      </c>
      <c r="C1203" s="1" t="str">
        <f t="shared" si="36"/>
        <v>02-2023</v>
      </c>
      <c r="D1203" s="2">
        <f t="shared" si="37"/>
        <v>8</v>
      </c>
      <c r="E1203" t="s">
        <v>17</v>
      </c>
      <c r="F1203" t="s">
        <v>14</v>
      </c>
      <c r="G1203" t="s">
        <v>15</v>
      </c>
      <c r="H1203" s="2">
        <v>11032</v>
      </c>
      <c r="I1203" s="2">
        <v>9</v>
      </c>
      <c r="J1203" s="2">
        <v>102952</v>
      </c>
      <c r="K1203" s="2">
        <v>120561</v>
      </c>
      <c r="L1203" s="2">
        <v>2</v>
      </c>
      <c r="M1203" t="str">
        <f>IF(Revv_bike_sales_data[[#This Row],[delivery_days]]&lt;=7, "Yes", "No")</f>
        <v>Yes</v>
      </c>
      <c r="N1203" t="s">
        <v>16</v>
      </c>
      <c r="O1203" s="2">
        <v>-17609</v>
      </c>
    </row>
    <row r="1204" spans="1:15" x14ac:dyDescent="0.3">
      <c r="A1204" s="2">
        <v>1194</v>
      </c>
      <c r="B1204" s="1">
        <v>44976.708333333336</v>
      </c>
      <c r="C1204" s="1" t="str">
        <f t="shared" si="36"/>
        <v>02-2023</v>
      </c>
      <c r="D1204" s="2">
        <f t="shared" si="37"/>
        <v>8</v>
      </c>
      <c r="E1204" t="s">
        <v>22</v>
      </c>
      <c r="F1204" t="s">
        <v>14</v>
      </c>
      <c r="G1204" t="s">
        <v>21</v>
      </c>
      <c r="H1204" s="2">
        <v>79554</v>
      </c>
      <c r="I1204" s="2">
        <v>3</v>
      </c>
      <c r="J1204" s="2">
        <v>91046</v>
      </c>
      <c r="K1204" s="2">
        <v>109436</v>
      </c>
      <c r="L1204" s="2">
        <v>4</v>
      </c>
      <c r="M1204" t="str">
        <f>IF(Revv_bike_sales_data[[#This Row],[delivery_days]]&lt;=7, "Yes", "No")</f>
        <v>Yes</v>
      </c>
      <c r="N1204" t="s">
        <v>16</v>
      </c>
      <c r="O1204" s="2">
        <v>-18390</v>
      </c>
    </row>
    <row r="1205" spans="1:15" x14ac:dyDescent="0.3">
      <c r="A1205" s="2">
        <v>1195</v>
      </c>
      <c r="B1205" s="1">
        <v>44976.75</v>
      </c>
      <c r="C1205" s="1" t="str">
        <f t="shared" si="36"/>
        <v>02-2023</v>
      </c>
      <c r="D1205" s="2">
        <f t="shared" si="37"/>
        <v>8</v>
      </c>
      <c r="E1205" t="s">
        <v>17</v>
      </c>
      <c r="F1205" t="s">
        <v>14</v>
      </c>
      <c r="G1205" t="s">
        <v>15</v>
      </c>
      <c r="H1205" s="2">
        <v>72512</v>
      </c>
      <c r="I1205" s="2">
        <v>9</v>
      </c>
      <c r="J1205" s="2">
        <v>131918</v>
      </c>
      <c r="K1205" s="2">
        <v>31533</v>
      </c>
      <c r="L1205" s="2">
        <v>7</v>
      </c>
      <c r="M1205" t="str">
        <f>IF(Revv_bike_sales_data[[#This Row],[delivery_days]]&lt;=7, "Yes", "No")</f>
        <v>Yes</v>
      </c>
      <c r="N1205" t="s">
        <v>24</v>
      </c>
      <c r="O1205" s="2">
        <v>100385</v>
      </c>
    </row>
    <row r="1206" spans="1:15" x14ac:dyDescent="0.3">
      <c r="A1206" s="2">
        <v>1196</v>
      </c>
      <c r="B1206" s="1">
        <v>44976.791666666664</v>
      </c>
      <c r="C1206" s="1" t="str">
        <f t="shared" si="36"/>
        <v>02-2023</v>
      </c>
      <c r="D1206" s="2">
        <f t="shared" si="37"/>
        <v>8</v>
      </c>
      <c r="E1206" t="s">
        <v>25</v>
      </c>
      <c r="F1206" t="s">
        <v>23</v>
      </c>
      <c r="G1206" t="s">
        <v>21</v>
      </c>
      <c r="H1206" s="2">
        <v>85779</v>
      </c>
      <c r="I1206" s="2">
        <v>4</v>
      </c>
      <c r="J1206" s="2">
        <v>60200</v>
      </c>
      <c r="K1206" s="2">
        <v>112417</v>
      </c>
      <c r="L1206" s="2">
        <v>2</v>
      </c>
      <c r="M1206" t="str">
        <f>IF(Revv_bike_sales_data[[#This Row],[delivery_days]]&lt;=7, "Yes", "No")</f>
        <v>Yes</v>
      </c>
      <c r="N1206" t="s">
        <v>16</v>
      </c>
      <c r="O1206" s="2">
        <v>-52217</v>
      </c>
    </row>
    <row r="1207" spans="1:15" x14ac:dyDescent="0.3">
      <c r="A1207" s="2">
        <v>1197</v>
      </c>
      <c r="B1207" s="1">
        <v>44976.833333333336</v>
      </c>
      <c r="C1207" s="1" t="str">
        <f t="shared" si="36"/>
        <v>02-2023</v>
      </c>
      <c r="D1207" s="2">
        <f t="shared" si="37"/>
        <v>8</v>
      </c>
      <c r="E1207" t="s">
        <v>22</v>
      </c>
      <c r="F1207" t="s">
        <v>14</v>
      </c>
      <c r="G1207" t="s">
        <v>21</v>
      </c>
      <c r="H1207" s="2">
        <v>67040</v>
      </c>
      <c r="I1207" s="2">
        <v>5</v>
      </c>
      <c r="J1207" s="2">
        <v>92442</v>
      </c>
      <c r="K1207" s="2">
        <v>108318</v>
      </c>
      <c r="L1207" s="2">
        <v>6</v>
      </c>
      <c r="M1207" t="str">
        <f>IF(Revv_bike_sales_data[[#This Row],[delivery_days]]&lt;=7, "Yes", "No")</f>
        <v>Yes</v>
      </c>
      <c r="N1207" t="s">
        <v>16</v>
      </c>
      <c r="O1207" s="2">
        <v>-15876</v>
      </c>
    </row>
    <row r="1208" spans="1:15" x14ac:dyDescent="0.3">
      <c r="A1208" s="2">
        <v>1198</v>
      </c>
      <c r="B1208" s="1">
        <v>44976.875</v>
      </c>
      <c r="C1208" s="1" t="str">
        <f t="shared" si="36"/>
        <v>02-2023</v>
      </c>
      <c r="D1208" s="2">
        <f t="shared" si="37"/>
        <v>8</v>
      </c>
      <c r="E1208" t="s">
        <v>17</v>
      </c>
      <c r="F1208" t="s">
        <v>14</v>
      </c>
      <c r="G1208" t="s">
        <v>20</v>
      </c>
      <c r="H1208" s="2">
        <v>3771</v>
      </c>
      <c r="I1208" s="2">
        <v>2</v>
      </c>
      <c r="J1208" s="2">
        <v>116070</v>
      </c>
      <c r="K1208" s="2">
        <v>59488</v>
      </c>
      <c r="L1208" s="2">
        <v>2</v>
      </c>
      <c r="M1208" t="str">
        <f>IF(Revv_bike_sales_data[[#This Row],[delivery_days]]&lt;=7, "Yes", "No")</f>
        <v>Yes</v>
      </c>
      <c r="N1208" t="s">
        <v>16</v>
      </c>
      <c r="O1208" s="2">
        <v>56582</v>
      </c>
    </row>
    <row r="1209" spans="1:15" x14ac:dyDescent="0.3">
      <c r="A1209" s="2">
        <v>1199</v>
      </c>
      <c r="B1209" s="1">
        <v>44976.916666666664</v>
      </c>
      <c r="C1209" s="1" t="str">
        <f t="shared" si="36"/>
        <v>02-2023</v>
      </c>
      <c r="D1209" s="2">
        <f t="shared" si="37"/>
        <v>8</v>
      </c>
      <c r="E1209" t="s">
        <v>13</v>
      </c>
      <c r="F1209" t="s">
        <v>14</v>
      </c>
      <c r="G1209" t="s">
        <v>21</v>
      </c>
      <c r="H1209" s="2">
        <v>45982</v>
      </c>
      <c r="I1209" s="2">
        <v>3</v>
      </c>
      <c r="J1209" s="2">
        <v>83168</v>
      </c>
      <c r="K1209" s="2">
        <v>82160</v>
      </c>
      <c r="L1209" s="2">
        <v>12</v>
      </c>
      <c r="M1209" t="str">
        <f>IF(Revv_bike_sales_data[[#This Row],[delivery_days]]&lt;=7, "Yes", "No")</f>
        <v>No</v>
      </c>
      <c r="N1209" t="s">
        <v>16</v>
      </c>
      <c r="O1209" s="2">
        <v>1008</v>
      </c>
    </row>
    <row r="1210" spans="1:15" x14ac:dyDescent="0.3">
      <c r="A1210" s="2">
        <v>1200</v>
      </c>
      <c r="B1210" s="1">
        <v>44976.958333333336</v>
      </c>
      <c r="C1210" s="1" t="str">
        <f t="shared" si="36"/>
        <v>02-2023</v>
      </c>
      <c r="D1210" s="2">
        <f t="shared" si="37"/>
        <v>8</v>
      </c>
      <c r="E1210" t="s">
        <v>22</v>
      </c>
      <c r="F1210" t="s">
        <v>23</v>
      </c>
      <c r="G1210" t="s">
        <v>19</v>
      </c>
      <c r="H1210" s="2">
        <v>709</v>
      </c>
      <c r="I1210" s="2">
        <v>2</v>
      </c>
      <c r="J1210" s="2">
        <v>73322</v>
      </c>
      <c r="K1210" s="2">
        <v>55429</v>
      </c>
      <c r="L1210" s="2">
        <v>7</v>
      </c>
      <c r="M1210" t="str">
        <f>IF(Revv_bike_sales_data[[#This Row],[delivery_days]]&lt;=7, "Yes", "No")</f>
        <v>Yes</v>
      </c>
      <c r="N1210" t="s">
        <v>16</v>
      </c>
      <c r="O1210" s="2">
        <v>17893</v>
      </c>
    </row>
    <row r="1211" spans="1:15" x14ac:dyDescent="0.3">
      <c r="A1211" s="2">
        <v>1201</v>
      </c>
      <c r="B1211" s="1">
        <v>44977</v>
      </c>
      <c r="C1211" s="1" t="str">
        <f t="shared" si="36"/>
        <v>02-2023</v>
      </c>
      <c r="D1211" s="2">
        <f t="shared" si="37"/>
        <v>8</v>
      </c>
      <c r="E1211" t="s">
        <v>22</v>
      </c>
      <c r="F1211" t="s">
        <v>23</v>
      </c>
      <c r="G1211" t="s">
        <v>19</v>
      </c>
      <c r="H1211" s="2">
        <v>91499</v>
      </c>
      <c r="I1211" s="2">
        <v>1</v>
      </c>
      <c r="J1211" s="2">
        <v>95246</v>
      </c>
      <c r="K1211" s="2">
        <v>66726</v>
      </c>
      <c r="L1211" s="2">
        <v>2</v>
      </c>
      <c r="M1211" t="str">
        <f>IF(Revv_bike_sales_data[[#This Row],[delivery_days]]&lt;=7, "Yes", "No")</f>
        <v>Yes</v>
      </c>
      <c r="N1211" t="s">
        <v>16</v>
      </c>
      <c r="O1211" s="2">
        <v>28520</v>
      </c>
    </row>
    <row r="1212" spans="1:15" x14ac:dyDescent="0.3">
      <c r="A1212" s="2">
        <v>1202</v>
      </c>
      <c r="B1212" s="1">
        <v>44977.041666666664</v>
      </c>
      <c r="C1212" s="1" t="str">
        <f t="shared" si="36"/>
        <v>02-2023</v>
      </c>
      <c r="D1212" s="2">
        <f t="shared" si="37"/>
        <v>8</v>
      </c>
      <c r="E1212" t="s">
        <v>13</v>
      </c>
      <c r="F1212" t="s">
        <v>14</v>
      </c>
      <c r="G1212" t="s">
        <v>19</v>
      </c>
      <c r="H1212" s="2">
        <v>6039</v>
      </c>
      <c r="I1212" s="2">
        <v>9</v>
      </c>
      <c r="J1212" s="2">
        <v>40583</v>
      </c>
      <c r="K1212" s="2">
        <v>101348</v>
      </c>
      <c r="L1212" s="2">
        <v>3</v>
      </c>
      <c r="M1212" t="str">
        <f>IF(Revv_bike_sales_data[[#This Row],[delivery_days]]&lt;=7, "Yes", "No")</f>
        <v>Yes</v>
      </c>
      <c r="N1212" t="s">
        <v>16</v>
      </c>
      <c r="O1212" s="2">
        <v>-60765</v>
      </c>
    </row>
    <row r="1213" spans="1:15" x14ac:dyDescent="0.3">
      <c r="A1213" s="2">
        <v>1203</v>
      </c>
      <c r="B1213" s="1">
        <v>44977.083333333336</v>
      </c>
      <c r="C1213" s="1" t="str">
        <f t="shared" si="36"/>
        <v>02-2023</v>
      </c>
      <c r="D1213" s="2">
        <f t="shared" si="37"/>
        <v>8</v>
      </c>
      <c r="E1213" t="s">
        <v>18</v>
      </c>
      <c r="F1213" t="s">
        <v>14</v>
      </c>
      <c r="G1213" t="s">
        <v>20</v>
      </c>
      <c r="H1213" s="2">
        <v>20477</v>
      </c>
      <c r="I1213" s="2">
        <v>8</v>
      </c>
      <c r="J1213" s="2">
        <v>107720</v>
      </c>
      <c r="K1213" s="2">
        <v>88065</v>
      </c>
      <c r="L1213" s="2">
        <v>9</v>
      </c>
      <c r="M1213" t="str">
        <f>IF(Revv_bike_sales_data[[#This Row],[delivery_days]]&lt;=7, "Yes", "No")</f>
        <v>No</v>
      </c>
      <c r="N1213" t="s">
        <v>16</v>
      </c>
      <c r="O1213" s="2">
        <v>19655</v>
      </c>
    </row>
    <row r="1214" spans="1:15" x14ac:dyDescent="0.3">
      <c r="A1214" s="2">
        <v>1204</v>
      </c>
      <c r="B1214" s="1">
        <v>44977.125</v>
      </c>
      <c r="C1214" s="1" t="str">
        <f t="shared" si="36"/>
        <v>02-2023</v>
      </c>
      <c r="D1214" s="2">
        <f t="shared" si="37"/>
        <v>8</v>
      </c>
      <c r="E1214" t="s">
        <v>25</v>
      </c>
      <c r="F1214" t="s">
        <v>14</v>
      </c>
      <c r="G1214" t="s">
        <v>19</v>
      </c>
      <c r="H1214" s="2">
        <v>74642</v>
      </c>
      <c r="I1214" s="2">
        <v>0</v>
      </c>
      <c r="J1214" s="2">
        <v>162181</v>
      </c>
      <c r="K1214" s="2">
        <v>35653</v>
      </c>
      <c r="L1214" s="2">
        <v>13</v>
      </c>
      <c r="M1214" t="str">
        <f>IF(Revv_bike_sales_data[[#This Row],[delivery_days]]&lt;=7, "Yes", "No")</f>
        <v>No</v>
      </c>
      <c r="N1214" t="s">
        <v>16</v>
      </c>
      <c r="O1214" s="2">
        <v>126528</v>
      </c>
    </row>
    <row r="1215" spans="1:15" x14ac:dyDescent="0.3">
      <c r="A1215" s="2">
        <v>1205</v>
      </c>
      <c r="B1215" s="1">
        <v>44977.166666666664</v>
      </c>
      <c r="C1215" s="1" t="str">
        <f t="shared" si="36"/>
        <v>02-2023</v>
      </c>
      <c r="D1215" s="2">
        <f t="shared" si="37"/>
        <v>8</v>
      </c>
      <c r="E1215" t="s">
        <v>18</v>
      </c>
      <c r="F1215" t="s">
        <v>14</v>
      </c>
      <c r="G1215" t="s">
        <v>20</v>
      </c>
      <c r="H1215" s="2">
        <v>69184</v>
      </c>
      <c r="I1215" s="2">
        <v>1</v>
      </c>
      <c r="J1215" s="2">
        <v>84757</v>
      </c>
      <c r="K1215" s="2">
        <v>71921</v>
      </c>
      <c r="L1215" s="2">
        <v>4</v>
      </c>
      <c r="M1215" t="str">
        <f>IF(Revv_bike_sales_data[[#This Row],[delivery_days]]&lt;=7, "Yes", "No")</f>
        <v>Yes</v>
      </c>
      <c r="N1215" t="s">
        <v>16</v>
      </c>
      <c r="O1215" s="2">
        <v>12836</v>
      </c>
    </row>
    <row r="1216" spans="1:15" x14ac:dyDescent="0.3">
      <c r="A1216" s="2">
        <v>1206</v>
      </c>
      <c r="B1216" s="1">
        <v>44977.208333333336</v>
      </c>
      <c r="C1216" s="1" t="str">
        <f t="shared" si="36"/>
        <v>02-2023</v>
      </c>
      <c r="D1216" s="2">
        <f t="shared" si="37"/>
        <v>8</v>
      </c>
      <c r="E1216" t="s">
        <v>17</v>
      </c>
      <c r="F1216" t="s">
        <v>14</v>
      </c>
      <c r="G1216" t="s">
        <v>20</v>
      </c>
      <c r="H1216" s="2">
        <v>99572</v>
      </c>
      <c r="I1216" s="2">
        <v>7</v>
      </c>
      <c r="J1216" s="2">
        <v>31659</v>
      </c>
      <c r="K1216" s="2">
        <v>108396</v>
      </c>
      <c r="L1216" s="2">
        <v>14</v>
      </c>
      <c r="M1216" t="str">
        <f>IF(Revv_bike_sales_data[[#This Row],[delivery_days]]&lt;=7, "Yes", "No")</f>
        <v>No</v>
      </c>
      <c r="N1216" t="s">
        <v>16</v>
      </c>
      <c r="O1216" s="2">
        <v>-76737</v>
      </c>
    </row>
    <row r="1217" spans="1:15" x14ac:dyDescent="0.3">
      <c r="A1217" s="2">
        <v>1207</v>
      </c>
      <c r="B1217" s="1">
        <v>44977.25</v>
      </c>
      <c r="C1217" s="1" t="str">
        <f t="shared" si="36"/>
        <v>02-2023</v>
      </c>
      <c r="D1217" s="2">
        <f t="shared" si="37"/>
        <v>8</v>
      </c>
      <c r="E1217" t="s">
        <v>13</v>
      </c>
      <c r="F1217" t="s">
        <v>14</v>
      </c>
      <c r="G1217" t="s">
        <v>19</v>
      </c>
      <c r="H1217" s="2">
        <v>6107</v>
      </c>
      <c r="I1217" s="2">
        <v>6</v>
      </c>
      <c r="J1217" s="2">
        <v>26238</v>
      </c>
      <c r="K1217" s="2">
        <v>28654</v>
      </c>
      <c r="L1217" s="2">
        <v>5</v>
      </c>
      <c r="M1217" t="str">
        <f>IF(Revv_bike_sales_data[[#This Row],[delivery_days]]&lt;=7, "Yes", "No")</f>
        <v>Yes</v>
      </c>
      <c r="N1217" t="s">
        <v>24</v>
      </c>
      <c r="O1217" s="2">
        <v>-2416</v>
      </c>
    </row>
    <row r="1218" spans="1:15" x14ac:dyDescent="0.3">
      <c r="A1218" s="2">
        <v>1208</v>
      </c>
      <c r="B1218" s="1">
        <v>44977.291666666664</v>
      </c>
      <c r="C1218" s="1" t="str">
        <f t="shared" si="36"/>
        <v>02-2023</v>
      </c>
      <c r="D1218" s="2">
        <f t="shared" si="37"/>
        <v>8</v>
      </c>
      <c r="E1218" t="s">
        <v>18</v>
      </c>
      <c r="F1218" t="s">
        <v>14</v>
      </c>
      <c r="G1218" t="s">
        <v>21</v>
      </c>
      <c r="H1218" s="2">
        <v>85622</v>
      </c>
      <c r="I1218" s="2">
        <v>0</v>
      </c>
      <c r="J1218" s="2">
        <v>146270</v>
      </c>
      <c r="K1218" s="2">
        <v>17108</v>
      </c>
      <c r="L1218" s="2">
        <v>9</v>
      </c>
      <c r="M1218" t="str">
        <f>IF(Revv_bike_sales_data[[#This Row],[delivery_days]]&lt;=7, "Yes", "No")</f>
        <v>No</v>
      </c>
      <c r="N1218" t="s">
        <v>16</v>
      </c>
      <c r="O1218" s="2">
        <v>129162</v>
      </c>
    </row>
    <row r="1219" spans="1:15" x14ac:dyDescent="0.3">
      <c r="A1219" s="2">
        <v>1209</v>
      </c>
      <c r="B1219" s="1">
        <v>44977.333333333336</v>
      </c>
      <c r="C1219" s="1" t="str">
        <f t="shared" si="36"/>
        <v>02-2023</v>
      </c>
      <c r="D1219" s="2">
        <f t="shared" si="37"/>
        <v>8</v>
      </c>
      <c r="E1219" t="s">
        <v>22</v>
      </c>
      <c r="F1219" t="s">
        <v>14</v>
      </c>
      <c r="G1219" t="s">
        <v>15</v>
      </c>
      <c r="H1219" s="2">
        <v>95286</v>
      </c>
      <c r="I1219" s="2">
        <v>4</v>
      </c>
      <c r="J1219" s="2">
        <v>144211</v>
      </c>
      <c r="K1219" s="2">
        <v>84483</v>
      </c>
      <c r="L1219" s="2">
        <v>7</v>
      </c>
      <c r="M1219" t="str">
        <f>IF(Revv_bike_sales_data[[#This Row],[delivery_days]]&lt;=7, "Yes", "No")</f>
        <v>Yes</v>
      </c>
      <c r="N1219" t="s">
        <v>16</v>
      </c>
      <c r="O1219" s="2">
        <v>59728</v>
      </c>
    </row>
    <row r="1220" spans="1:15" x14ac:dyDescent="0.3">
      <c r="A1220" s="2">
        <v>1210</v>
      </c>
      <c r="B1220" s="1">
        <v>44977.375</v>
      </c>
      <c r="C1220" s="1" t="str">
        <f t="shared" si="36"/>
        <v>02-2023</v>
      </c>
      <c r="D1220" s="2">
        <f t="shared" si="37"/>
        <v>8</v>
      </c>
      <c r="E1220" t="s">
        <v>17</v>
      </c>
      <c r="F1220" t="s">
        <v>23</v>
      </c>
      <c r="G1220" t="s">
        <v>20</v>
      </c>
      <c r="H1220" s="2">
        <v>52439</v>
      </c>
      <c r="I1220" s="2">
        <v>9</v>
      </c>
      <c r="J1220" s="2">
        <v>40064</v>
      </c>
      <c r="K1220" s="2">
        <v>22899</v>
      </c>
      <c r="L1220" s="2">
        <v>8</v>
      </c>
      <c r="M1220" t="str">
        <f>IF(Revv_bike_sales_data[[#This Row],[delivery_days]]&lt;=7, "Yes", "No")</f>
        <v>No</v>
      </c>
      <c r="N1220" t="s">
        <v>16</v>
      </c>
      <c r="O1220" s="2">
        <v>17165</v>
      </c>
    </row>
    <row r="1221" spans="1:15" x14ac:dyDescent="0.3">
      <c r="A1221" s="2">
        <v>1211</v>
      </c>
      <c r="B1221" s="1">
        <v>44977.416666666664</v>
      </c>
      <c r="C1221" s="1" t="str">
        <f t="shared" si="36"/>
        <v>02-2023</v>
      </c>
      <c r="D1221" s="2">
        <f t="shared" si="37"/>
        <v>8</v>
      </c>
      <c r="E1221" t="s">
        <v>17</v>
      </c>
      <c r="F1221" t="s">
        <v>14</v>
      </c>
      <c r="G1221" t="s">
        <v>19</v>
      </c>
      <c r="H1221" s="2">
        <v>19094</v>
      </c>
      <c r="I1221" s="2">
        <v>5</v>
      </c>
      <c r="J1221" s="2">
        <v>161692</v>
      </c>
      <c r="K1221" s="2">
        <v>28372</v>
      </c>
      <c r="L1221" s="2">
        <v>11</v>
      </c>
      <c r="M1221" t="str">
        <f>IF(Revv_bike_sales_data[[#This Row],[delivery_days]]&lt;=7, "Yes", "No")</f>
        <v>No</v>
      </c>
      <c r="N1221" t="s">
        <v>16</v>
      </c>
      <c r="O1221" s="2">
        <v>133320</v>
      </c>
    </row>
    <row r="1222" spans="1:15" x14ac:dyDescent="0.3">
      <c r="A1222" s="2">
        <v>1212</v>
      </c>
      <c r="B1222" s="1">
        <v>44977.458333333336</v>
      </c>
      <c r="C1222" s="1" t="str">
        <f t="shared" si="36"/>
        <v>02-2023</v>
      </c>
      <c r="D1222" s="2">
        <f t="shared" si="37"/>
        <v>8</v>
      </c>
      <c r="E1222" t="s">
        <v>18</v>
      </c>
      <c r="F1222" t="s">
        <v>14</v>
      </c>
      <c r="G1222" t="s">
        <v>20</v>
      </c>
      <c r="H1222" s="2">
        <v>58882</v>
      </c>
      <c r="I1222" s="2">
        <v>4</v>
      </c>
      <c r="J1222" s="2">
        <v>124790</v>
      </c>
      <c r="K1222" s="2">
        <v>52682</v>
      </c>
      <c r="L1222" s="2">
        <v>3</v>
      </c>
      <c r="M1222" t="str">
        <f>IF(Revv_bike_sales_data[[#This Row],[delivery_days]]&lt;=7, "Yes", "No")</f>
        <v>Yes</v>
      </c>
      <c r="N1222" t="s">
        <v>16</v>
      </c>
      <c r="O1222" s="2">
        <v>72108</v>
      </c>
    </row>
    <row r="1223" spans="1:15" x14ac:dyDescent="0.3">
      <c r="A1223" s="2">
        <v>1213</v>
      </c>
      <c r="B1223" s="1">
        <v>44977.5</v>
      </c>
      <c r="C1223" s="1" t="str">
        <f t="shared" si="36"/>
        <v>02-2023</v>
      </c>
      <c r="D1223" s="2">
        <f t="shared" si="37"/>
        <v>8</v>
      </c>
      <c r="E1223" t="s">
        <v>18</v>
      </c>
      <c r="F1223" t="s">
        <v>14</v>
      </c>
      <c r="G1223" t="s">
        <v>21</v>
      </c>
      <c r="H1223" s="2">
        <v>7899</v>
      </c>
      <c r="I1223" s="2">
        <v>3</v>
      </c>
      <c r="J1223" s="2">
        <v>127985</v>
      </c>
      <c r="K1223" s="2">
        <v>110909</v>
      </c>
      <c r="L1223" s="2">
        <v>11</v>
      </c>
      <c r="M1223" t="str">
        <f>IF(Revv_bike_sales_data[[#This Row],[delivery_days]]&lt;=7, "Yes", "No")</f>
        <v>No</v>
      </c>
      <c r="N1223" t="s">
        <v>16</v>
      </c>
      <c r="O1223" s="2">
        <v>17076</v>
      </c>
    </row>
    <row r="1224" spans="1:15" x14ac:dyDescent="0.3">
      <c r="A1224" s="2">
        <v>1214</v>
      </c>
      <c r="B1224" s="1">
        <v>44977.541666666664</v>
      </c>
      <c r="C1224" s="1" t="str">
        <f t="shared" si="36"/>
        <v>02-2023</v>
      </c>
      <c r="D1224" s="2">
        <f t="shared" si="37"/>
        <v>8</v>
      </c>
      <c r="E1224" t="s">
        <v>13</v>
      </c>
      <c r="F1224" t="s">
        <v>14</v>
      </c>
      <c r="G1224" t="s">
        <v>21</v>
      </c>
      <c r="H1224" s="2">
        <v>25617</v>
      </c>
      <c r="I1224" s="2">
        <v>0</v>
      </c>
      <c r="J1224" s="2">
        <v>69258</v>
      </c>
      <c r="K1224" s="2">
        <v>119971</v>
      </c>
      <c r="L1224" s="2">
        <v>11</v>
      </c>
      <c r="M1224" t="str">
        <f>IF(Revv_bike_sales_data[[#This Row],[delivery_days]]&lt;=7, "Yes", "No")</f>
        <v>No</v>
      </c>
      <c r="N1224" t="s">
        <v>16</v>
      </c>
      <c r="O1224" s="2">
        <v>-50713</v>
      </c>
    </row>
    <row r="1225" spans="1:15" x14ac:dyDescent="0.3">
      <c r="A1225" s="2">
        <v>1215</v>
      </c>
      <c r="B1225" s="1">
        <v>44977.583333333336</v>
      </c>
      <c r="C1225" s="1" t="str">
        <f t="shared" si="36"/>
        <v>02-2023</v>
      </c>
      <c r="D1225" s="2">
        <f t="shared" si="37"/>
        <v>8</v>
      </c>
      <c r="E1225" t="s">
        <v>25</v>
      </c>
      <c r="F1225" t="s">
        <v>14</v>
      </c>
      <c r="G1225" t="s">
        <v>19</v>
      </c>
      <c r="H1225" s="2">
        <v>99162</v>
      </c>
      <c r="I1225" s="2">
        <v>6</v>
      </c>
      <c r="J1225" s="2">
        <v>160542</v>
      </c>
      <c r="K1225" s="2">
        <v>82799</v>
      </c>
      <c r="L1225" s="2">
        <v>4</v>
      </c>
      <c r="M1225" t="str">
        <f>IF(Revv_bike_sales_data[[#This Row],[delivery_days]]&lt;=7, "Yes", "No")</f>
        <v>Yes</v>
      </c>
      <c r="N1225" t="s">
        <v>16</v>
      </c>
      <c r="O1225" s="2">
        <v>77743</v>
      </c>
    </row>
    <row r="1226" spans="1:15" x14ac:dyDescent="0.3">
      <c r="A1226" s="2">
        <v>1216</v>
      </c>
      <c r="B1226" s="1">
        <v>44977.625</v>
      </c>
      <c r="C1226" s="1" t="str">
        <f t="shared" si="36"/>
        <v>02-2023</v>
      </c>
      <c r="D1226" s="2">
        <f t="shared" si="37"/>
        <v>8</v>
      </c>
      <c r="E1226" t="s">
        <v>18</v>
      </c>
      <c r="F1226" t="s">
        <v>14</v>
      </c>
      <c r="G1226" t="s">
        <v>20</v>
      </c>
      <c r="H1226" s="2">
        <v>34117</v>
      </c>
      <c r="I1226" s="2">
        <v>8</v>
      </c>
      <c r="J1226" s="2">
        <v>178075</v>
      </c>
      <c r="K1226" s="2">
        <v>106724</v>
      </c>
      <c r="L1226" s="2">
        <v>7</v>
      </c>
      <c r="M1226" t="str">
        <f>IF(Revv_bike_sales_data[[#This Row],[delivery_days]]&lt;=7, "Yes", "No")</f>
        <v>Yes</v>
      </c>
      <c r="N1226" t="s">
        <v>16</v>
      </c>
      <c r="O1226" s="2">
        <v>71351</v>
      </c>
    </row>
    <row r="1227" spans="1:15" x14ac:dyDescent="0.3">
      <c r="A1227" s="2">
        <v>1217</v>
      </c>
      <c r="B1227" s="1">
        <v>44977.666666666664</v>
      </c>
      <c r="C1227" s="1" t="str">
        <f t="shared" ref="C1227:C1290" si="38">TEXT(B1227,"mm-yyyy")</f>
        <v>02-2023</v>
      </c>
      <c r="D1227" s="2">
        <f t="shared" ref="D1227:D1290" si="39">WEEKNUM(B1227)</f>
        <v>8</v>
      </c>
      <c r="E1227" t="s">
        <v>18</v>
      </c>
      <c r="F1227" t="s">
        <v>23</v>
      </c>
      <c r="G1227" t="s">
        <v>15</v>
      </c>
      <c r="H1227" s="2">
        <v>7998</v>
      </c>
      <c r="I1227" s="2">
        <v>5</v>
      </c>
      <c r="J1227" s="2">
        <v>49668</v>
      </c>
      <c r="K1227" s="2">
        <v>51583</v>
      </c>
      <c r="L1227" s="2">
        <v>4</v>
      </c>
      <c r="M1227" t="str">
        <f>IF(Revv_bike_sales_data[[#This Row],[delivery_days]]&lt;=7, "Yes", "No")</f>
        <v>Yes</v>
      </c>
      <c r="N1227" t="s">
        <v>16</v>
      </c>
      <c r="O1227" s="2">
        <v>-1915</v>
      </c>
    </row>
    <row r="1228" spans="1:15" x14ac:dyDescent="0.3">
      <c r="A1228" s="2">
        <v>1218</v>
      </c>
      <c r="B1228" s="1">
        <v>44977.708333333336</v>
      </c>
      <c r="C1228" s="1" t="str">
        <f t="shared" si="38"/>
        <v>02-2023</v>
      </c>
      <c r="D1228" s="2">
        <f t="shared" si="39"/>
        <v>8</v>
      </c>
      <c r="E1228" t="s">
        <v>22</v>
      </c>
      <c r="F1228" t="s">
        <v>14</v>
      </c>
      <c r="G1228" t="s">
        <v>15</v>
      </c>
      <c r="H1228" s="2">
        <v>51124</v>
      </c>
      <c r="I1228" s="2">
        <v>2</v>
      </c>
      <c r="J1228" s="2">
        <v>102259</v>
      </c>
      <c r="K1228" s="2">
        <v>44295</v>
      </c>
      <c r="L1228" s="2">
        <v>2</v>
      </c>
      <c r="M1228" t="str">
        <f>IF(Revv_bike_sales_data[[#This Row],[delivery_days]]&lt;=7, "Yes", "No")</f>
        <v>Yes</v>
      </c>
      <c r="N1228" t="s">
        <v>16</v>
      </c>
      <c r="O1228" s="2">
        <v>57964</v>
      </c>
    </row>
    <row r="1229" spans="1:15" x14ac:dyDescent="0.3">
      <c r="A1229" s="2">
        <v>1219</v>
      </c>
      <c r="B1229" s="1">
        <v>44977.75</v>
      </c>
      <c r="C1229" s="1" t="str">
        <f t="shared" si="38"/>
        <v>02-2023</v>
      </c>
      <c r="D1229" s="2">
        <f t="shared" si="39"/>
        <v>8</v>
      </c>
      <c r="E1229" t="s">
        <v>17</v>
      </c>
      <c r="F1229" t="s">
        <v>14</v>
      </c>
      <c r="G1229" t="s">
        <v>20</v>
      </c>
      <c r="H1229" s="2">
        <v>10128</v>
      </c>
      <c r="I1229" s="2">
        <v>9</v>
      </c>
      <c r="J1229" s="2">
        <v>137192</v>
      </c>
      <c r="K1229" s="2">
        <v>81113</v>
      </c>
      <c r="L1229" s="2">
        <v>14</v>
      </c>
      <c r="M1229" t="str">
        <f>IF(Revv_bike_sales_data[[#This Row],[delivery_days]]&lt;=7, "Yes", "No")</f>
        <v>No</v>
      </c>
      <c r="N1229" t="s">
        <v>16</v>
      </c>
      <c r="O1229" s="2">
        <v>56079</v>
      </c>
    </row>
    <row r="1230" spans="1:15" x14ac:dyDescent="0.3">
      <c r="A1230" s="2">
        <v>1220</v>
      </c>
      <c r="B1230" s="1">
        <v>44977.791666666664</v>
      </c>
      <c r="C1230" s="1" t="str">
        <f t="shared" si="38"/>
        <v>02-2023</v>
      </c>
      <c r="D1230" s="2">
        <f t="shared" si="39"/>
        <v>8</v>
      </c>
      <c r="E1230" t="s">
        <v>25</v>
      </c>
      <c r="F1230" t="s">
        <v>14</v>
      </c>
      <c r="G1230" t="s">
        <v>20</v>
      </c>
      <c r="H1230" s="2">
        <v>829</v>
      </c>
      <c r="I1230" s="2">
        <v>3</v>
      </c>
      <c r="J1230" s="2">
        <v>121576</v>
      </c>
      <c r="K1230" s="2">
        <v>95565</v>
      </c>
      <c r="L1230" s="2">
        <v>10</v>
      </c>
      <c r="M1230" t="str">
        <f>IF(Revv_bike_sales_data[[#This Row],[delivery_days]]&lt;=7, "Yes", "No")</f>
        <v>No</v>
      </c>
      <c r="N1230" t="s">
        <v>16</v>
      </c>
      <c r="O1230" s="2">
        <v>26011</v>
      </c>
    </row>
    <row r="1231" spans="1:15" x14ac:dyDescent="0.3">
      <c r="A1231" s="2">
        <v>1221</v>
      </c>
      <c r="B1231" s="1">
        <v>44977.833333333336</v>
      </c>
      <c r="C1231" s="1" t="str">
        <f t="shared" si="38"/>
        <v>02-2023</v>
      </c>
      <c r="D1231" s="2">
        <f t="shared" si="39"/>
        <v>8</v>
      </c>
      <c r="E1231" t="s">
        <v>22</v>
      </c>
      <c r="F1231" t="s">
        <v>14</v>
      </c>
      <c r="G1231" t="s">
        <v>20</v>
      </c>
      <c r="H1231" s="2">
        <v>39119</v>
      </c>
      <c r="I1231" s="2">
        <v>9</v>
      </c>
      <c r="J1231" s="2">
        <v>130481</v>
      </c>
      <c r="K1231" s="2">
        <v>64574</v>
      </c>
      <c r="L1231" s="2">
        <v>6</v>
      </c>
      <c r="M1231" t="str">
        <f>IF(Revv_bike_sales_data[[#This Row],[delivery_days]]&lt;=7, "Yes", "No")</f>
        <v>Yes</v>
      </c>
      <c r="N1231" t="s">
        <v>16</v>
      </c>
      <c r="O1231" s="2">
        <v>65907</v>
      </c>
    </row>
    <row r="1232" spans="1:15" x14ac:dyDescent="0.3">
      <c r="A1232" s="2">
        <v>1222</v>
      </c>
      <c r="B1232" s="1">
        <v>44977.875</v>
      </c>
      <c r="C1232" s="1" t="str">
        <f t="shared" si="38"/>
        <v>02-2023</v>
      </c>
      <c r="D1232" s="2">
        <f t="shared" si="39"/>
        <v>8</v>
      </c>
      <c r="E1232" t="s">
        <v>13</v>
      </c>
      <c r="F1232" t="s">
        <v>14</v>
      </c>
      <c r="G1232" t="s">
        <v>19</v>
      </c>
      <c r="H1232" s="2">
        <v>7532</v>
      </c>
      <c r="I1232" s="2">
        <v>4</v>
      </c>
      <c r="J1232" s="2">
        <v>136505</v>
      </c>
      <c r="K1232" s="2">
        <v>116067</v>
      </c>
      <c r="L1232" s="2">
        <v>9</v>
      </c>
      <c r="M1232" t="str">
        <f>IF(Revv_bike_sales_data[[#This Row],[delivery_days]]&lt;=7, "Yes", "No")</f>
        <v>No</v>
      </c>
      <c r="N1232" t="s">
        <v>24</v>
      </c>
      <c r="O1232" s="2">
        <v>20438</v>
      </c>
    </row>
    <row r="1233" spans="1:15" x14ac:dyDescent="0.3">
      <c r="A1233" s="2">
        <v>1223</v>
      </c>
      <c r="B1233" s="1">
        <v>44977.916666666664</v>
      </c>
      <c r="C1233" s="1" t="str">
        <f t="shared" si="38"/>
        <v>02-2023</v>
      </c>
      <c r="D1233" s="2">
        <f t="shared" si="39"/>
        <v>8</v>
      </c>
      <c r="E1233" t="s">
        <v>13</v>
      </c>
      <c r="F1233" t="s">
        <v>14</v>
      </c>
      <c r="G1233" t="s">
        <v>21</v>
      </c>
      <c r="H1233" s="2">
        <v>48594</v>
      </c>
      <c r="I1233" s="2">
        <v>0</v>
      </c>
      <c r="J1233" s="2">
        <v>30397</v>
      </c>
      <c r="K1233" s="2">
        <v>79934</v>
      </c>
      <c r="L1233" s="2">
        <v>2</v>
      </c>
      <c r="M1233" t="str">
        <f>IF(Revv_bike_sales_data[[#This Row],[delivery_days]]&lt;=7, "Yes", "No")</f>
        <v>Yes</v>
      </c>
      <c r="N1233" t="s">
        <v>16</v>
      </c>
      <c r="O1233" s="2">
        <v>-49537</v>
      </c>
    </row>
    <row r="1234" spans="1:15" x14ac:dyDescent="0.3">
      <c r="A1234" s="2">
        <v>1224</v>
      </c>
      <c r="B1234" s="1">
        <v>44977.958333333336</v>
      </c>
      <c r="C1234" s="1" t="str">
        <f t="shared" si="38"/>
        <v>02-2023</v>
      </c>
      <c r="D1234" s="2">
        <f t="shared" si="39"/>
        <v>8</v>
      </c>
      <c r="E1234" t="s">
        <v>18</v>
      </c>
      <c r="F1234" t="s">
        <v>14</v>
      </c>
      <c r="G1234" t="s">
        <v>15</v>
      </c>
      <c r="H1234" s="2">
        <v>38534</v>
      </c>
      <c r="I1234" s="2">
        <v>4</v>
      </c>
      <c r="J1234" s="2">
        <v>124925</v>
      </c>
      <c r="K1234" s="2">
        <v>45066</v>
      </c>
      <c r="L1234" s="2">
        <v>1</v>
      </c>
      <c r="M1234" t="str">
        <f>IF(Revv_bike_sales_data[[#This Row],[delivery_days]]&lt;=7, "Yes", "No")</f>
        <v>Yes</v>
      </c>
      <c r="N1234" t="s">
        <v>16</v>
      </c>
      <c r="O1234" s="2">
        <v>79859</v>
      </c>
    </row>
    <row r="1235" spans="1:15" x14ac:dyDescent="0.3">
      <c r="A1235" s="2">
        <v>1225</v>
      </c>
      <c r="B1235" s="1">
        <v>44978</v>
      </c>
      <c r="C1235" s="1" t="str">
        <f t="shared" si="38"/>
        <v>02-2023</v>
      </c>
      <c r="D1235" s="2">
        <f t="shared" si="39"/>
        <v>8</v>
      </c>
      <c r="E1235" t="s">
        <v>18</v>
      </c>
      <c r="F1235" t="s">
        <v>14</v>
      </c>
      <c r="G1235" t="s">
        <v>19</v>
      </c>
      <c r="H1235" s="2">
        <v>86658</v>
      </c>
      <c r="I1235" s="2">
        <v>0</v>
      </c>
      <c r="J1235" s="2">
        <v>108481</v>
      </c>
      <c r="K1235" s="2">
        <v>98149</v>
      </c>
      <c r="L1235" s="2">
        <v>8</v>
      </c>
      <c r="M1235" t="str">
        <f>IF(Revv_bike_sales_data[[#This Row],[delivery_days]]&lt;=7, "Yes", "No")</f>
        <v>No</v>
      </c>
      <c r="N1235" t="s">
        <v>16</v>
      </c>
      <c r="O1235" s="2">
        <v>10332</v>
      </c>
    </row>
    <row r="1236" spans="1:15" x14ac:dyDescent="0.3">
      <c r="A1236" s="2">
        <v>1226</v>
      </c>
      <c r="B1236" s="1">
        <v>44978.041666666664</v>
      </c>
      <c r="C1236" s="1" t="str">
        <f t="shared" si="38"/>
        <v>02-2023</v>
      </c>
      <c r="D1236" s="2">
        <f t="shared" si="39"/>
        <v>8</v>
      </c>
      <c r="E1236" t="s">
        <v>13</v>
      </c>
      <c r="F1236" t="s">
        <v>14</v>
      </c>
      <c r="G1236" t="s">
        <v>20</v>
      </c>
      <c r="H1236" s="2">
        <v>55764</v>
      </c>
      <c r="I1236" s="2">
        <v>8</v>
      </c>
      <c r="J1236" s="2">
        <v>178305</v>
      </c>
      <c r="K1236" s="2">
        <v>128949</v>
      </c>
      <c r="L1236" s="2">
        <v>1</v>
      </c>
      <c r="M1236" t="str">
        <f>IF(Revv_bike_sales_data[[#This Row],[delivery_days]]&lt;=7, "Yes", "No")</f>
        <v>Yes</v>
      </c>
      <c r="N1236" t="s">
        <v>16</v>
      </c>
      <c r="O1236" s="2">
        <v>49356</v>
      </c>
    </row>
    <row r="1237" spans="1:15" x14ac:dyDescent="0.3">
      <c r="A1237" s="2">
        <v>1227</v>
      </c>
      <c r="B1237" s="1">
        <v>44978.083333333336</v>
      </c>
      <c r="C1237" s="1" t="str">
        <f t="shared" si="38"/>
        <v>02-2023</v>
      </c>
      <c r="D1237" s="2">
        <f t="shared" si="39"/>
        <v>8</v>
      </c>
      <c r="E1237" t="s">
        <v>18</v>
      </c>
      <c r="F1237" t="s">
        <v>14</v>
      </c>
      <c r="G1237" t="s">
        <v>20</v>
      </c>
      <c r="H1237" s="2">
        <v>94620</v>
      </c>
      <c r="I1237" s="2">
        <v>6</v>
      </c>
      <c r="J1237" s="2">
        <v>85308</v>
      </c>
      <c r="K1237" s="2">
        <v>100096</v>
      </c>
      <c r="L1237" s="2">
        <v>1</v>
      </c>
      <c r="M1237" t="str">
        <f>IF(Revv_bike_sales_data[[#This Row],[delivery_days]]&lt;=7, "Yes", "No")</f>
        <v>Yes</v>
      </c>
      <c r="N1237" t="s">
        <v>16</v>
      </c>
      <c r="O1237" s="2">
        <v>-14788</v>
      </c>
    </row>
    <row r="1238" spans="1:15" x14ac:dyDescent="0.3">
      <c r="A1238" s="2">
        <v>1228</v>
      </c>
      <c r="B1238" s="1">
        <v>44978.125</v>
      </c>
      <c r="C1238" s="1" t="str">
        <f t="shared" si="38"/>
        <v>02-2023</v>
      </c>
      <c r="D1238" s="2">
        <f t="shared" si="39"/>
        <v>8</v>
      </c>
      <c r="E1238" t="s">
        <v>25</v>
      </c>
      <c r="F1238" t="s">
        <v>14</v>
      </c>
      <c r="G1238" t="s">
        <v>21</v>
      </c>
      <c r="H1238" s="2">
        <v>48350</v>
      </c>
      <c r="I1238" s="2">
        <v>2</v>
      </c>
      <c r="J1238" s="2">
        <v>26130</v>
      </c>
      <c r="K1238" s="2">
        <v>23945</v>
      </c>
      <c r="L1238" s="2">
        <v>3</v>
      </c>
      <c r="M1238" t="str">
        <f>IF(Revv_bike_sales_data[[#This Row],[delivery_days]]&lt;=7, "Yes", "No")</f>
        <v>Yes</v>
      </c>
      <c r="N1238" t="s">
        <v>16</v>
      </c>
      <c r="O1238" s="2">
        <v>2185</v>
      </c>
    </row>
    <row r="1239" spans="1:15" x14ac:dyDescent="0.3">
      <c r="A1239" s="2">
        <v>1229</v>
      </c>
      <c r="B1239" s="1">
        <v>44978.166666666664</v>
      </c>
      <c r="C1239" s="1" t="str">
        <f t="shared" si="38"/>
        <v>02-2023</v>
      </c>
      <c r="D1239" s="2">
        <f t="shared" si="39"/>
        <v>8</v>
      </c>
      <c r="E1239" t="s">
        <v>18</v>
      </c>
      <c r="F1239" t="s">
        <v>14</v>
      </c>
      <c r="G1239" t="s">
        <v>20</v>
      </c>
      <c r="H1239" s="2">
        <v>5222</v>
      </c>
      <c r="I1239" s="2">
        <v>8</v>
      </c>
      <c r="J1239" s="2">
        <v>149293</v>
      </c>
      <c r="K1239" s="2">
        <v>44418</v>
      </c>
      <c r="L1239" s="2">
        <v>5</v>
      </c>
      <c r="M1239" t="str">
        <f>IF(Revv_bike_sales_data[[#This Row],[delivery_days]]&lt;=7, "Yes", "No")</f>
        <v>Yes</v>
      </c>
      <c r="N1239" t="s">
        <v>16</v>
      </c>
      <c r="O1239" s="2">
        <v>104875</v>
      </c>
    </row>
    <row r="1240" spans="1:15" x14ac:dyDescent="0.3">
      <c r="A1240" s="2">
        <v>1230</v>
      </c>
      <c r="B1240" s="1">
        <v>44978.208333333336</v>
      </c>
      <c r="C1240" s="1" t="str">
        <f t="shared" si="38"/>
        <v>02-2023</v>
      </c>
      <c r="D1240" s="2">
        <f t="shared" si="39"/>
        <v>8</v>
      </c>
      <c r="E1240" t="s">
        <v>17</v>
      </c>
      <c r="F1240" t="s">
        <v>14</v>
      </c>
      <c r="G1240" t="s">
        <v>19</v>
      </c>
      <c r="H1240" s="2">
        <v>18272</v>
      </c>
      <c r="I1240" s="2">
        <v>1</v>
      </c>
      <c r="J1240" s="2">
        <v>39071</v>
      </c>
      <c r="K1240" s="2">
        <v>97607</v>
      </c>
      <c r="L1240" s="2">
        <v>13</v>
      </c>
      <c r="M1240" t="str">
        <f>IF(Revv_bike_sales_data[[#This Row],[delivery_days]]&lt;=7, "Yes", "No")</f>
        <v>No</v>
      </c>
      <c r="N1240" t="s">
        <v>16</v>
      </c>
      <c r="O1240" s="2">
        <v>-58536</v>
      </c>
    </row>
    <row r="1241" spans="1:15" x14ac:dyDescent="0.3">
      <c r="A1241" s="2">
        <v>1231</v>
      </c>
      <c r="B1241" s="1">
        <v>44978.25</v>
      </c>
      <c r="C1241" s="1" t="str">
        <f t="shared" si="38"/>
        <v>02-2023</v>
      </c>
      <c r="D1241" s="2">
        <f t="shared" si="39"/>
        <v>8</v>
      </c>
      <c r="E1241" t="s">
        <v>18</v>
      </c>
      <c r="F1241" t="s">
        <v>14</v>
      </c>
      <c r="G1241" t="s">
        <v>19</v>
      </c>
      <c r="H1241" s="2">
        <v>86605</v>
      </c>
      <c r="I1241" s="2">
        <v>6</v>
      </c>
      <c r="J1241" s="2">
        <v>110517</v>
      </c>
      <c r="K1241" s="2">
        <v>64874</v>
      </c>
      <c r="L1241" s="2">
        <v>12</v>
      </c>
      <c r="M1241" t="str">
        <f>IF(Revv_bike_sales_data[[#This Row],[delivery_days]]&lt;=7, "Yes", "No")</f>
        <v>No</v>
      </c>
      <c r="N1241" t="s">
        <v>16</v>
      </c>
      <c r="O1241" s="2">
        <v>45643</v>
      </c>
    </row>
    <row r="1242" spans="1:15" x14ac:dyDescent="0.3">
      <c r="A1242" s="2">
        <v>1232</v>
      </c>
      <c r="B1242" s="1">
        <v>44978.291666666664</v>
      </c>
      <c r="C1242" s="1" t="str">
        <f t="shared" si="38"/>
        <v>02-2023</v>
      </c>
      <c r="D1242" s="2">
        <f t="shared" si="39"/>
        <v>8</v>
      </c>
      <c r="E1242" t="s">
        <v>22</v>
      </c>
      <c r="F1242" t="s">
        <v>14</v>
      </c>
      <c r="G1242" t="s">
        <v>21</v>
      </c>
      <c r="H1242" s="2">
        <v>42179</v>
      </c>
      <c r="I1242" s="2">
        <v>8</v>
      </c>
      <c r="J1242" s="2">
        <v>135240</v>
      </c>
      <c r="K1242" s="2">
        <v>127158</v>
      </c>
      <c r="L1242" s="2">
        <v>9</v>
      </c>
      <c r="M1242" t="str">
        <f>IF(Revv_bike_sales_data[[#This Row],[delivery_days]]&lt;=7, "Yes", "No")</f>
        <v>No</v>
      </c>
      <c r="N1242" t="s">
        <v>16</v>
      </c>
      <c r="O1242" s="2">
        <v>8082</v>
      </c>
    </row>
    <row r="1243" spans="1:15" x14ac:dyDescent="0.3">
      <c r="A1243" s="2">
        <v>1233</v>
      </c>
      <c r="B1243" s="1">
        <v>44978.333333333336</v>
      </c>
      <c r="C1243" s="1" t="str">
        <f t="shared" si="38"/>
        <v>02-2023</v>
      </c>
      <c r="D1243" s="2">
        <f t="shared" si="39"/>
        <v>8</v>
      </c>
      <c r="E1243" t="s">
        <v>25</v>
      </c>
      <c r="F1243" t="s">
        <v>14</v>
      </c>
      <c r="G1243" t="s">
        <v>19</v>
      </c>
      <c r="H1243" s="2">
        <v>69271</v>
      </c>
      <c r="I1243" s="2">
        <v>5</v>
      </c>
      <c r="J1243" s="2">
        <v>27118</v>
      </c>
      <c r="K1243" s="2">
        <v>32130</v>
      </c>
      <c r="L1243" s="2">
        <v>11</v>
      </c>
      <c r="M1243" t="str">
        <f>IF(Revv_bike_sales_data[[#This Row],[delivery_days]]&lt;=7, "Yes", "No")</f>
        <v>No</v>
      </c>
      <c r="N1243" t="s">
        <v>16</v>
      </c>
      <c r="O1243" s="2">
        <v>-5012</v>
      </c>
    </row>
    <row r="1244" spans="1:15" x14ac:dyDescent="0.3">
      <c r="A1244" s="2">
        <v>1234</v>
      </c>
      <c r="B1244" s="1">
        <v>44978.375</v>
      </c>
      <c r="C1244" s="1" t="str">
        <f t="shared" si="38"/>
        <v>02-2023</v>
      </c>
      <c r="D1244" s="2">
        <f t="shared" si="39"/>
        <v>8</v>
      </c>
      <c r="E1244" t="s">
        <v>22</v>
      </c>
      <c r="F1244" t="s">
        <v>14</v>
      </c>
      <c r="G1244" t="s">
        <v>15</v>
      </c>
      <c r="H1244" s="2">
        <v>5076</v>
      </c>
      <c r="I1244" s="2">
        <v>9</v>
      </c>
      <c r="J1244" s="2">
        <v>156735</v>
      </c>
      <c r="K1244" s="2">
        <v>101257</v>
      </c>
      <c r="L1244" s="2">
        <v>10</v>
      </c>
      <c r="M1244" t="str">
        <f>IF(Revv_bike_sales_data[[#This Row],[delivery_days]]&lt;=7, "Yes", "No")</f>
        <v>No</v>
      </c>
      <c r="N1244" t="s">
        <v>16</v>
      </c>
      <c r="O1244" s="2">
        <v>55478</v>
      </c>
    </row>
    <row r="1245" spans="1:15" x14ac:dyDescent="0.3">
      <c r="A1245" s="2">
        <v>1235</v>
      </c>
      <c r="B1245" s="1">
        <v>44978.416666666664</v>
      </c>
      <c r="C1245" s="1" t="str">
        <f t="shared" si="38"/>
        <v>02-2023</v>
      </c>
      <c r="D1245" s="2">
        <f t="shared" si="39"/>
        <v>8</v>
      </c>
      <c r="E1245" t="s">
        <v>22</v>
      </c>
      <c r="F1245" t="s">
        <v>23</v>
      </c>
      <c r="G1245" t="s">
        <v>19</v>
      </c>
      <c r="H1245" s="2">
        <v>27207</v>
      </c>
      <c r="I1245" s="2">
        <v>4</v>
      </c>
      <c r="J1245" s="2">
        <v>87408</v>
      </c>
      <c r="K1245" s="2">
        <v>83248</v>
      </c>
      <c r="L1245" s="2">
        <v>2</v>
      </c>
      <c r="M1245" t="str">
        <f>IF(Revv_bike_sales_data[[#This Row],[delivery_days]]&lt;=7, "Yes", "No")</f>
        <v>Yes</v>
      </c>
      <c r="N1245" t="s">
        <v>16</v>
      </c>
      <c r="O1245" s="2">
        <v>4160</v>
      </c>
    </row>
    <row r="1246" spans="1:15" x14ac:dyDescent="0.3">
      <c r="A1246" s="2">
        <v>1236</v>
      </c>
      <c r="B1246" s="1">
        <v>44978.458333333336</v>
      </c>
      <c r="C1246" s="1" t="str">
        <f t="shared" si="38"/>
        <v>02-2023</v>
      </c>
      <c r="D1246" s="2">
        <f t="shared" si="39"/>
        <v>8</v>
      </c>
      <c r="E1246" t="s">
        <v>17</v>
      </c>
      <c r="F1246" t="s">
        <v>23</v>
      </c>
      <c r="G1246" t="s">
        <v>19</v>
      </c>
      <c r="H1246" s="2">
        <v>99904</v>
      </c>
      <c r="I1246" s="2">
        <v>6</v>
      </c>
      <c r="J1246" s="2">
        <v>76786</v>
      </c>
      <c r="K1246" s="2">
        <v>97627</v>
      </c>
      <c r="L1246" s="2">
        <v>12</v>
      </c>
      <c r="M1246" t="str">
        <f>IF(Revv_bike_sales_data[[#This Row],[delivery_days]]&lt;=7, "Yes", "No")</f>
        <v>No</v>
      </c>
      <c r="N1246" t="s">
        <v>16</v>
      </c>
      <c r="O1246" s="2">
        <v>-20841</v>
      </c>
    </row>
    <row r="1247" spans="1:15" x14ac:dyDescent="0.3">
      <c r="A1247" s="2">
        <v>1237</v>
      </c>
      <c r="B1247" s="1">
        <v>44978.5</v>
      </c>
      <c r="C1247" s="1" t="str">
        <f t="shared" si="38"/>
        <v>02-2023</v>
      </c>
      <c r="D1247" s="2">
        <f t="shared" si="39"/>
        <v>8</v>
      </c>
      <c r="E1247" t="s">
        <v>25</v>
      </c>
      <c r="F1247" t="s">
        <v>14</v>
      </c>
      <c r="G1247" t="s">
        <v>19</v>
      </c>
      <c r="H1247" s="2">
        <v>42132</v>
      </c>
      <c r="I1247" s="2">
        <v>5</v>
      </c>
      <c r="J1247" s="2">
        <v>106271</v>
      </c>
      <c r="K1247" s="2">
        <v>96393</v>
      </c>
      <c r="L1247" s="2">
        <v>12</v>
      </c>
      <c r="M1247" t="str">
        <f>IF(Revv_bike_sales_data[[#This Row],[delivery_days]]&lt;=7, "Yes", "No")</f>
        <v>No</v>
      </c>
      <c r="N1247" t="s">
        <v>16</v>
      </c>
      <c r="O1247" s="2">
        <v>9878</v>
      </c>
    </row>
    <row r="1248" spans="1:15" x14ac:dyDescent="0.3">
      <c r="A1248" s="2">
        <v>1238</v>
      </c>
      <c r="B1248" s="1">
        <v>44978.541666666664</v>
      </c>
      <c r="C1248" s="1" t="str">
        <f t="shared" si="38"/>
        <v>02-2023</v>
      </c>
      <c r="D1248" s="2">
        <f t="shared" si="39"/>
        <v>8</v>
      </c>
      <c r="E1248" t="s">
        <v>25</v>
      </c>
      <c r="F1248" t="s">
        <v>14</v>
      </c>
      <c r="G1248" t="s">
        <v>15</v>
      </c>
      <c r="H1248" s="2">
        <v>41976</v>
      </c>
      <c r="I1248" s="2">
        <v>4</v>
      </c>
      <c r="J1248" s="2">
        <v>44158</v>
      </c>
      <c r="K1248" s="2">
        <v>56394</v>
      </c>
      <c r="L1248" s="2">
        <v>1</v>
      </c>
      <c r="M1248" t="str">
        <f>IF(Revv_bike_sales_data[[#This Row],[delivery_days]]&lt;=7, "Yes", "No")</f>
        <v>Yes</v>
      </c>
      <c r="N1248" t="s">
        <v>16</v>
      </c>
      <c r="O1248" s="2">
        <v>-12236</v>
      </c>
    </row>
    <row r="1249" spans="1:15" x14ac:dyDescent="0.3">
      <c r="A1249" s="2">
        <v>1239</v>
      </c>
      <c r="B1249" s="1">
        <v>44978.583333333336</v>
      </c>
      <c r="C1249" s="1" t="str">
        <f t="shared" si="38"/>
        <v>02-2023</v>
      </c>
      <c r="D1249" s="2">
        <f t="shared" si="39"/>
        <v>8</v>
      </c>
      <c r="E1249" t="s">
        <v>25</v>
      </c>
      <c r="F1249" t="s">
        <v>14</v>
      </c>
      <c r="G1249" t="s">
        <v>20</v>
      </c>
      <c r="H1249" s="2">
        <v>30785</v>
      </c>
      <c r="I1249" s="2">
        <v>1</v>
      </c>
      <c r="J1249" s="2">
        <v>56087</v>
      </c>
      <c r="K1249" s="2">
        <v>126372</v>
      </c>
      <c r="L1249" s="2">
        <v>1</v>
      </c>
      <c r="M1249" t="str">
        <f>IF(Revv_bike_sales_data[[#This Row],[delivery_days]]&lt;=7, "Yes", "No")</f>
        <v>Yes</v>
      </c>
      <c r="N1249" t="s">
        <v>16</v>
      </c>
      <c r="O1249" s="2">
        <v>-70285</v>
      </c>
    </row>
    <row r="1250" spans="1:15" x14ac:dyDescent="0.3">
      <c r="A1250" s="2">
        <v>1240</v>
      </c>
      <c r="B1250" s="1">
        <v>44978.625</v>
      </c>
      <c r="C1250" s="1" t="str">
        <f t="shared" si="38"/>
        <v>02-2023</v>
      </c>
      <c r="D1250" s="2">
        <f t="shared" si="39"/>
        <v>8</v>
      </c>
      <c r="E1250" t="s">
        <v>25</v>
      </c>
      <c r="F1250" t="s">
        <v>14</v>
      </c>
      <c r="G1250" t="s">
        <v>19</v>
      </c>
      <c r="H1250" s="2">
        <v>24654</v>
      </c>
      <c r="I1250" s="2">
        <v>7</v>
      </c>
      <c r="J1250" s="2">
        <v>113114</v>
      </c>
      <c r="K1250" s="2">
        <v>64635</v>
      </c>
      <c r="L1250" s="2">
        <v>8</v>
      </c>
      <c r="M1250" t="str">
        <f>IF(Revv_bike_sales_data[[#This Row],[delivery_days]]&lt;=7, "Yes", "No")</f>
        <v>No</v>
      </c>
      <c r="N1250" t="s">
        <v>16</v>
      </c>
      <c r="O1250" s="2">
        <v>48479</v>
      </c>
    </row>
    <row r="1251" spans="1:15" x14ac:dyDescent="0.3">
      <c r="A1251" s="2">
        <v>1241</v>
      </c>
      <c r="B1251" s="1">
        <v>44978.666666666664</v>
      </c>
      <c r="C1251" s="1" t="str">
        <f t="shared" si="38"/>
        <v>02-2023</v>
      </c>
      <c r="D1251" s="2">
        <f t="shared" si="39"/>
        <v>8</v>
      </c>
      <c r="E1251" t="s">
        <v>25</v>
      </c>
      <c r="F1251" t="s">
        <v>14</v>
      </c>
      <c r="G1251" t="s">
        <v>21</v>
      </c>
      <c r="H1251" s="2">
        <v>20554</v>
      </c>
      <c r="I1251" s="2">
        <v>6</v>
      </c>
      <c r="J1251" s="2">
        <v>44874</v>
      </c>
      <c r="K1251" s="2">
        <v>128023</v>
      </c>
      <c r="L1251" s="2">
        <v>10</v>
      </c>
      <c r="M1251" t="str">
        <f>IF(Revv_bike_sales_data[[#This Row],[delivery_days]]&lt;=7, "Yes", "No")</f>
        <v>No</v>
      </c>
      <c r="N1251" t="s">
        <v>16</v>
      </c>
      <c r="O1251" s="2">
        <v>-83149</v>
      </c>
    </row>
    <row r="1252" spans="1:15" x14ac:dyDescent="0.3">
      <c r="A1252" s="2">
        <v>1242</v>
      </c>
      <c r="B1252" s="1">
        <v>44978.708333333336</v>
      </c>
      <c r="C1252" s="1" t="str">
        <f t="shared" si="38"/>
        <v>02-2023</v>
      </c>
      <c r="D1252" s="2">
        <f t="shared" si="39"/>
        <v>8</v>
      </c>
      <c r="E1252" t="s">
        <v>17</v>
      </c>
      <c r="F1252" t="s">
        <v>14</v>
      </c>
      <c r="G1252" t="s">
        <v>15</v>
      </c>
      <c r="H1252" s="2">
        <v>17665</v>
      </c>
      <c r="I1252" s="2">
        <v>5</v>
      </c>
      <c r="J1252" s="2">
        <v>108443</v>
      </c>
      <c r="K1252" s="2">
        <v>114837</v>
      </c>
      <c r="L1252" s="2">
        <v>10</v>
      </c>
      <c r="M1252" t="str">
        <f>IF(Revv_bike_sales_data[[#This Row],[delivery_days]]&lt;=7, "Yes", "No")</f>
        <v>No</v>
      </c>
      <c r="N1252" t="s">
        <v>16</v>
      </c>
      <c r="O1252" s="2">
        <v>-6394</v>
      </c>
    </row>
    <row r="1253" spans="1:15" x14ac:dyDescent="0.3">
      <c r="A1253" s="2">
        <v>1243</v>
      </c>
      <c r="B1253" s="1">
        <v>44978.75</v>
      </c>
      <c r="C1253" s="1" t="str">
        <f t="shared" si="38"/>
        <v>02-2023</v>
      </c>
      <c r="D1253" s="2">
        <f t="shared" si="39"/>
        <v>8</v>
      </c>
      <c r="E1253" t="s">
        <v>18</v>
      </c>
      <c r="F1253" t="s">
        <v>14</v>
      </c>
      <c r="G1253" t="s">
        <v>21</v>
      </c>
      <c r="H1253" s="2">
        <v>14939</v>
      </c>
      <c r="I1253" s="2">
        <v>4</v>
      </c>
      <c r="J1253" s="2">
        <v>65821</v>
      </c>
      <c r="K1253" s="2">
        <v>97089</v>
      </c>
      <c r="L1253" s="2">
        <v>10</v>
      </c>
      <c r="M1253" t="str">
        <f>IF(Revv_bike_sales_data[[#This Row],[delivery_days]]&lt;=7, "Yes", "No")</f>
        <v>No</v>
      </c>
      <c r="N1253" t="s">
        <v>16</v>
      </c>
      <c r="O1253" s="2">
        <v>-31268</v>
      </c>
    </row>
    <row r="1254" spans="1:15" x14ac:dyDescent="0.3">
      <c r="A1254" s="2">
        <v>1244</v>
      </c>
      <c r="B1254" s="1">
        <v>44978.791666666664</v>
      </c>
      <c r="C1254" s="1" t="str">
        <f t="shared" si="38"/>
        <v>02-2023</v>
      </c>
      <c r="D1254" s="2">
        <f t="shared" si="39"/>
        <v>8</v>
      </c>
      <c r="E1254" t="s">
        <v>22</v>
      </c>
      <c r="F1254" t="s">
        <v>14</v>
      </c>
      <c r="G1254" t="s">
        <v>19</v>
      </c>
      <c r="H1254" s="2">
        <v>45018</v>
      </c>
      <c r="I1254" s="2">
        <v>4</v>
      </c>
      <c r="J1254" s="2">
        <v>140675</v>
      </c>
      <c r="K1254" s="2">
        <v>32404</v>
      </c>
      <c r="L1254" s="2">
        <v>2</v>
      </c>
      <c r="M1254" t="str">
        <f>IF(Revv_bike_sales_data[[#This Row],[delivery_days]]&lt;=7, "Yes", "No")</f>
        <v>Yes</v>
      </c>
      <c r="N1254" t="s">
        <v>16</v>
      </c>
      <c r="O1254" s="2">
        <v>108271</v>
      </c>
    </row>
    <row r="1255" spans="1:15" x14ac:dyDescent="0.3">
      <c r="A1255" s="2">
        <v>1245</v>
      </c>
      <c r="B1255" s="1">
        <v>44978.833333333336</v>
      </c>
      <c r="C1255" s="1" t="str">
        <f t="shared" si="38"/>
        <v>02-2023</v>
      </c>
      <c r="D1255" s="2">
        <f t="shared" si="39"/>
        <v>8</v>
      </c>
      <c r="E1255" t="s">
        <v>25</v>
      </c>
      <c r="F1255" t="s">
        <v>14</v>
      </c>
      <c r="G1255" t="s">
        <v>21</v>
      </c>
      <c r="H1255" s="2">
        <v>88551</v>
      </c>
      <c r="I1255" s="2">
        <v>8</v>
      </c>
      <c r="J1255" s="2">
        <v>85582</v>
      </c>
      <c r="K1255" s="2">
        <v>87629</v>
      </c>
      <c r="L1255" s="2">
        <v>13</v>
      </c>
      <c r="M1255" t="str">
        <f>IF(Revv_bike_sales_data[[#This Row],[delivery_days]]&lt;=7, "Yes", "No")</f>
        <v>No</v>
      </c>
      <c r="N1255" t="s">
        <v>16</v>
      </c>
      <c r="O1255" s="2">
        <v>-2047</v>
      </c>
    </row>
    <row r="1256" spans="1:15" x14ac:dyDescent="0.3">
      <c r="A1256" s="2">
        <v>1246</v>
      </c>
      <c r="B1256" s="1">
        <v>44978.875</v>
      </c>
      <c r="C1256" s="1" t="str">
        <f t="shared" si="38"/>
        <v>02-2023</v>
      </c>
      <c r="D1256" s="2">
        <f t="shared" si="39"/>
        <v>8</v>
      </c>
      <c r="E1256" t="s">
        <v>18</v>
      </c>
      <c r="F1256" t="s">
        <v>14</v>
      </c>
      <c r="G1256" t="s">
        <v>19</v>
      </c>
      <c r="H1256" s="2">
        <v>27462</v>
      </c>
      <c r="I1256" s="2">
        <v>0</v>
      </c>
      <c r="J1256" s="2">
        <v>147603</v>
      </c>
      <c r="K1256" s="2">
        <v>28156</v>
      </c>
      <c r="L1256" s="2">
        <v>9</v>
      </c>
      <c r="M1256" t="str">
        <f>IF(Revv_bike_sales_data[[#This Row],[delivery_days]]&lt;=7, "Yes", "No")</f>
        <v>No</v>
      </c>
      <c r="N1256" t="s">
        <v>16</v>
      </c>
      <c r="O1256" s="2">
        <v>119447</v>
      </c>
    </row>
    <row r="1257" spans="1:15" x14ac:dyDescent="0.3">
      <c r="A1257" s="2">
        <v>1247</v>
      </c>
      <c r="B1257" s="1">
        <v>44978.916666666664</v>
      </c>
      <c r="C1257" s="1" t="str">
        <f t="shared" si="38"/>
        <v>02-2023</v>
      </c>
      <c r="D1257" s="2">
        <f t="shared" si="39"/>
        <v>8</v>
      </c>
      <c r="E1257" t="s">
        <v>18</v>
      </c>
      <c r="F1257" t="s">
        <v>14</v>
      </c>
      <c r="G1257" t="s">
        <v>15</v>
      </c>
      <c r="H1257" s="2">
        <v>54434</v>
      </c>
      <c r="I1257" s="2">
        <v>8</v>
      </c>
      <c r="J1257" s="2">
        <v>178859</v>
      </c>
      <c r="K1257" s="2">
        <v>70618</v>
      </c>
      <c r="L1257" s="2">
        <v>9</v>
      </c>
      <c r="M1257" t="str">
        <f>IF(Revv_bike_sales_data[[#This Row],[delivery_days]]&lt;=7, "Yes", "No")</f>
        <v>No</v>
      </c>
      <c r="N1257" t="s">
        <v>16</v>
      </c>
      <c r="O1257" s="2">
        <v>108241</v>
      </c>
    </row>
    <row r="1258" spans="1:15" x14ac:dyDescent="0.3">
      <c r="A1258" s="2">
        <v>1248</v>
      </c>
      <c r="B1258" s="1">
        <v>44978.958333333336</v>
      </c>
      <c r="C1258" s="1" t="str">
        <f t="shared" si="38"/>
        <v>02-2023</v>
      </c>
      <c r="D1258" s="2">
        <f t="shared" si="39"/>
        <v>8</v>
      </c>
      <c r="E1258" t="s">
        <v>22</v>
      </c>
      <c r="F1258" t="s">
        <v>14</v>
      </c>
      <c r="G1258" t="s">
        <v>21</v>
      </c>
      <c r="H1258" s="2">
        <v>38263</v>
      </c>
      <c r="I1258" s="2">
        <v>5</v>
      </c>
      <c r="J1258" s="2">
        <v>177777</v>
      </c>
      <c r="K1258" s="2">
        <v>64999</v>
      </c>
      <c r="L1258" s="2">
        <v>2</v>
      </c>
      <c r="M1258" t="str">
        <f>IF(Revv_bike_sales_data[[#This Row],[delivery_days]]&lt;=7, "Yes", "No")</f>
        <v>Yes</v>
      </c>
      <c r="N1258" t="s">
        <v>16</v>
      </c>
      <c r="O1258" s="2">
        <v>112778</v>
      </c>
    </row>
    <row r="1259" spans="1:15" x14ac:dyDescent="0.3">
      <c r="A1259" s="2">
        <v>1249</v>
      </c>
      <c r="B1259" s="1">
        <v>44979</v>
      </c>
      <c r="C1259" s="1" t="str">
        <f t="shared" si="38"/>
        <v>02-2023</v>
      </c>
      <c r="D1259" s="2">
        <f t="shared" si="39"/>
        <v>8</v>
      </c>
      <c r="E1259" t="s">
        <v>17</v>
      </c>
      <c r="F1259" t="s">
        <v>14</v>
      </c>
      <c r="G1259" t="s">
        <v>21</v>
      </c>
      <c r="H1259" s="2">
        <v>64594</v>
      </c>
      <c r="I1259" s="2">
        <v>3</v>
      </c>
      <c r="J1259" s="2">
        <v>94381</v>
      </c>
      <c r="K1259" s="2">
        <v>28785</v>
      </c>
      <c r="L1259" s="2">
        <v>3</v>
      </c>
      <c r="M1259" t="str">
        <f>IF(Revv_bike_sales_data[[#This Row],[delivery_days]]&lt;=7, "Yes", "No")</f>
        <v>Yes</v>
      </c>
      <c r="N1259" t="s">
        <v>16</v>
      </c>
      <c r="O1259" s="2">
        <v>65596</v>
      </c>
    </row>
    <row r="1260" spans="1:15" x14ac:dyDescent="0.3">
      <c r="A1260" s="2">
        <v>1250</v>
      </c>
      <c r="B1260" s="1">
        <v>44979.041666666664</v>
      </c>
      <c r="C1260" s="1" t="str">
        <f t="shared" si="38"/>
        <v>02-2023</v>
      </c>
      <c r="D1260" s="2">
        <f t="shared" si="39"/>
        <v>8</v>
      </c>
      <c r="E1260" t="s">
        <v>13</v>
      </c>
      <c r="F1260" t="s">
        <v>23</v>
      </c>
      <c r="G1260" t="s">
        <v>19</v>
      </c>
      <c r="H1260" s="2">
        <v>19964</v>
      </c>
      <c r="I1260" s="2">
        <v>9</v>
      </c>
      <c r="J1260" s="2">
        <v>136800</v>
      </c>
      <c r="K1260" s="2">
        <v>63359</v>
      </c>
      <c r="L1260" s="2">
        <v>2</v>
      </c>
      <c r="M1260" t="str">
        <f>IF(Revv_bike_sales_data[[#This Row],[delivery_days]]&lt;=7, "Yes", "No")</f>
        <v>Yes</v>
      </c>
      <c r="N1260" t="s">
        <v>16</v>
      </c>
      <c r="O1260" s="2">
        <v>73441</v>
      </c>
    </row>
    <row r="1261" spans="1:15" x14ac:dyDescent="0.3">
      <c r="A1261" s="2">
        <v>1251</v>
      </c>
      <c r="B1261" s="1">
        <v>44979.083333333336</v>
      </c>
      <c r="C1261" s="1" t="str">
        <f t="shared" si="38"/>
        <v>02-2023</v>
      </c>
      <c r="D1261" s="2">
        <f t="shared" si="39"/>
        <v>8</v>
      </c>
      <c r="E1261" t="s">
        <v>13</v>
      </c>
      <c r="F1261" t="s">
        <v>14</v>
      </c>
      <c r="G1261" t="s">
        <v>19</v>
      </c>
      <c r="H1261" s="2">
        <v>42536</v>
      </c>
      <c r="I1261" s="2">
        <v>6</v>
      </c>
      <c r="J1261" s="2">
        <v>155805</v>
      </c>
      <c r="K1261" s="2">
        <v>105807</v>
      </c>
      <c r="L1261" s="2">
        <v>6</v>
      </c>
      <c r="M1261" t="str">
        <f>IF(Revv_bike_sales_data[[#This Row],[delivery_days]]&lt;=7, "Yes", "No")</f>
        <v>Yes</v>
      </c>
      <c r="N1261" t="s">
        <v>16</v>
      </c>
      <c r="O1261" s="2">
        <v>49998</v>
      </c>
    </row>
    <row r="1262" spans="1:15" x14ac:dyDescent="0.3">
      <c r="A1262" s="2">
        <v>1252</v>
      </c>
      <c r="B1262" s="1">
        <v>44979.125</v>
      </c>
      <c r="C1262" s="1" t="str">
        <f t="shared" si="38"/>
        <v>02-2023</v>
      </c>
      <c r="D1262" s="2">
        <f t="shared" si="39"/>
        <v>8</v>
      </c>
      <c r="E1262" t="s">
        <v>18</v>
      </c>
      <c r="F1262" t="s">
        <v>14</v>
      </c>
      <c r="G1262" t="s">
        <v>20</v>
      </c>
      <c r="H1262" s="2">
        <v>96449</v>
      </c>
      <c r="I1262" s="2">
        <v>8</v>
      </c>
      <c r="J1262" s="2">
        <v>107018</v>
      </c>
      <c r="K1262" s="2">
        <v>29694</v>
      </c>
      <c r="L1262" s="2">
        <v>7</v>
      </c>
      <c r="M1262" t="str">
        <f>IF(Revv_bike_sales_data[[#This Row],[delivery_days]]&lt;=7, "Yes", "No")</f>
        <v>Yes</v>
      </c>
      <c r="N1262" t="s">
        <v>16</v>
      </c>
      <c r="O1262" s="2">
        <v>77324</v>
      </c>
    </row>
    <row r="1263" spans="1:15" x14ac:dyDescent="0.3">
      <c r="A1263" s="2">
        <v>1253</v>
      </c>
      <c r="B1263" s="1">
        <v>44979.166666666664</v>
      </c>
      <c r="C1263" s="1" t="str">
        <f t="shared" si="38"/>
        <v>02-2023</v>
      </c>
      <c r="D1263" s="2">
        <f t="shared" si="39"/>
        <v>8</v>
      </c>
      <c r="E1263" t="s">
        <v>22</v>
      </c>
      <c r="F1263" t="s">
        <v>14</v>
      </c>
      <c r="G1263" t="s">
        <v>19</v>
      </c>
      <c r="H1263" s="2">
        <v>33770</v>
      </c>
      <c r="I1263" s="2">
        <v>4</v>
      </c>
      <c r="J1263" s="2">
        <v>125592</v>
      </c>
      <c r="K1263" s="2">
        <v>51114</v>
      </c>
      <c r="L1263" s="2">
        <v>12</v>
      </c>
      <c r="M1263" t="str">
        <f>IF(Revv_bike_sales_data[[#This Row],[delivery_days]]&lt;=7, "Yes", "No")</f>
        <v>No</v>
      </c>
      <c r="N1263" t="s">
        <v>16</v>
      </c>
      <c r="O1263" s="2">
        <v>74478</v>
      </c>
    </row>
    <row r="1264" spans="1:15" x14ac:dyDescent="0.3">
      <c r="A1264" s="2">
        <v>1254</v>
      </c>
      <c r="B1264" s="1">
        <v>44979.208333333336</v>
      </c>
      <c r="C1264" s="1" t="str">
        <f t="shared" si="38"/>
        <v>02-2023</v>
      </c>
      <c r="D1264" s="2">
        <f t="shared" si="39"/>
        <v>8</v>
      </c>
      <c r="E1264" t="s">
        <v>13</v>
      </c>
      <c r="F1264" t="s">
        <v>23</v>
      </c>
      <c r="G1264" t="s">
        <v>19</v>
      </c>
      <c r="H1264" s="2">
        <v>42799</v>
      </c>
      <c r="I1264" s="2">
        <v>4</v>
      </c>
      <c r="J1264" s="2">
        <v>116626</v>
      </c>
      <c r="K1264" s="2">
        <v>84549</v>
      </c>
      <c r="L1264" s="2">
        <v>6</v>
      </c>
      <c r="M1264" t="str">
        <f>IF(Revv_bike_sales_data[[#This Row],[delivery_days]]&lt;=7, "Yes", "No")</f>
        <v>Yes</v>
      </c>
      <c r="N1264" t="s">
        <v>16</v>
      </c>
      <c r="O1264" s="2">
        <v>32077</v>
      </c>
    </row>
    <row r="1265" spans="1:15" x14ac:dyDescent="0.3">
      <c r="A1265" s="2">
        <v>1255</v>
      </c>
      <c r="B1265" s="1">
        <v>44979.25</v>
      </c>
      <c r="C1265" s="1" t="str">
        <f t="shared" si="38"/>
        <v>02-2023</v>
      </c>
      <c r="D1265" s="2">
        <f t="shared" si="39"/>
        <v>8</v>
      </c>
      <c r="E1265" t="s">
        <v>18</v>
      </c>
      <c r="F1265" t="s">
        <v>14</v>
      </c>
      <c r="G1265" t="s">
        <v>20</v>
      </c>
      <c r="H1265" s="2">
        <v>86305</v>
      </c>
      <c r="I1265" s="2">
        <v>7</v>
      </c>
      <c r="J1265" s="2">
        <v>111217</v>
      </c>
      <c r="K1265" s="2">
        <v>72230</v>
      </c>
      <c r="L1265" s="2">
        <v>3</v>
      </c>
      <c r="M1265" t="str">
        <f>IF(Revv_bike_sales_data[[#This Row],[delivery_days]]&lt;=7, "Yes", "No")</f>
        <v>Yes</v>
      </c>
      <c r="N1265" t="s">
        <v>16</v>
      </c>
      <c r="O1265" s="2">
        <v>38987</v>
      </c>
    </row>
    <row r="1266" spans="1:15" x14ac:dyDescent="0.3">
      <c r="A1266" s="2">
        <v>1256</v>
      </c>
      <c r="B1266" s="1">
        <v>44979.291666666664</v>
      </c>
      <c r="C1266" s="1" t="str">
        <f t="shared" si="38"/>
        <v>02-2023</v>
      </c>
      <c r="D1266" s="2">
        <f t="shared" si="39"/>
        <v>8</v>
      </c>
      <c r="E1266" t="s">
        <v>17</v>
      </c>
      <c r="F1266" t="s">
        <v>14</v>
      </c>
      <c r="G1266" t="s">
        <v>19</v>
      </c>
      <c r="H1266" s="2">
        <v>32041</v>
      </c>
      <c r="I1266" s="2">
        <v>6</v>
      </c>
      <c r="J1266" s="2">
        <v>97799</v>
      </c>
      <c r="K1266" s="2">
        <v>47799</v>
      </c>
      <c r="L1266" s="2">
        <v>12</v>
      </c>
      <c r="M1266" t="str">
        <f>IF(Revv_bike_sales_data[[#This Row],[delivery_days]]&lt;=7, "Yes", "No")</f>
        <v>No</v>
      </c>
      <c r="N1266" t="s">
        <v>16</v>
      </c>
      <c r="O1266" s="2">
        <v>50000</v>
      </c>
    </row>
    <row r="1267" spans="1:15" x14ac:dyDescent="0.3">
      <c r="A1267" s="2">
        <v>1257</v>
      </c>
      <c r="B1267" s="1">
        <v>44979.333333333336</v>
      </c>
      <c r="C1267" s="1" t="str">
        <f t="shared" si="38"/>
        <v>02-2023</v>
      </c>
      <c r="D1267" s="2">
        <f t="shared" si="39"/>
        <v>8</v>
      </c>
      <c r="E1267" t="s">
        <v>13</v>
      </c>
      <c r="F1267" t="s">
        <v>14</v>
      </c>
      <c r="G1267" t="s">
        <v>19</v>
      </c>
      <c r="H1267" s="2">
        <v>74045</v>
      </c>
      <c r="I1267" s="2">
        <v>7</v>
      </c>
      <c r="J1267" s="2">
        <v>87185</v>
      </c>
      <c r="K1267" s="2">
        <v>105288</v>
      </c>
      <c r="L1267" s="2">
        <v>3</v>
      </c>
      <c r="M1267" t="str">
        <f>IF(Revv_bike_sales_data[[#This Row],[delivery_days]]&lt;=7, "Yes", "No")</f>
        <v>Yes</v>
      </c>
      <c r="N1267" t="s">
        <v>16</v>
      </c>
      <c r="O1267" s="2">
        <v>-18103</v>
      </c>
    </row>
    <row r="1268" spans="1:15" x14ac:dyDescent="0.3">
      <c r="A1268" s="2">
        <v>1258</v>
      </c>
      <c r="B1268" s="1">
        <v>44979.375</v>
      </c>
      <c r="C1268" s="1" t="str">
        <f t="shared" si="38"/>
        <v>02-2023</v>
      </c>
      <c r="D1268" s="2">
        <f t="shared" si="39"/>
        <v>8</v>
      </c>
      <c r="E1268" t="s">
        <v>18</v>
      </c>
      <c r="F1268" t="s">
        <v>14</v>
      </c>
      <c r="G1268" t="s">
        <v>20</v>
      </c>
      <c r="H1268" s="2">
        <v>83043</v>
      </c>
      <c r="I1268" s="2">
        <v>9</v>
      </c>
      <c r="J1268" s="2">
        <v>66538</v>
      </c>
      <c r="K1268" s="2">
        <v>26156</v>
      </c>
      <c r="L1268" s="2">
        <v>12</v>
      </c>
      <c r="M1268" t="str">
        <f>IF(Revv_bike_sales_data[[#This Row],[delivery_days]]&lt;=7, "Yes", "No")</f>
        <v>No</v>
      </c>
      <c r="N1268" t="s">
        <v>16</v>
      </c>
      <c r="O1268" s="2">
        <v>40382</v>
      </c>
    </row>
    <row r="1269" spans="1:15" x14ac:dyDescent="0.3">
      <c r="A1269" s="2">
        <v>1259</v>
      </c>
      <c r="B1269" s="1">
        <v>44979.416666666664</v>
      </c>
      <c r="C1269" s="1" t="str">
        <f t="shared" si="38"/>
        <v>02-2023</v>
      </c>
      <c r="D1269" s="2">
        <f t="shared" si="39"/>
        <v>8</v>
      </c>
      <c r="E1269" t="s">
        <v>18</v>
      </c>
      <c r="F1269" t="s">
        <v>14</v>
      </c>
      <c r="G1269" t="s">
        <v>15</v>
      </c>
      <c r="H1269" s="2">
        <v>92498</v>
      </c>
      <c r="I1269" s="2">
        <v>1</v>
      </c>
      <c r="J1269" s="2">
        <v>45343</v>
      </c>
      <c r="K1269" s="2">
        <v>25304</v>
      </c>
      <c r="L1269" s="2">
        <v>2</v>
      </c>
      <c r="M1269" t="str">
        <f>IF(Revv_bike_sales_data[[#This Row],[delivery_days]]&lt;=7, "Yes", "No")</f>
        <v>Yes</v>
      </c>
      <c r="N1269" t="s">
        <v>16</v>
      </c>
      <c r="O1269" s="2">
        <v>20039</v>
      </c>
    </row>
    <row r="1270" spans="1:15" x14ac:dyDescent="0.3">
      <c r="A1270" s="2">
        <v>1260</v>
      </c>
      <c r="B1270" s="1">
        <v>44979.458333333336</v>
      </c>
      <c r="C1270" s="1" t="str">
        <f t="shared" si="38"/>
        <v>02-2023</v>
      </c>
      <c r="D1270" s="2">
        <f t="shared" si="39"/>
        <v>8</v>
      </c>
      <c r="E1270" t="s">
        <v>25</v>
      </c>
      <c r="F1270" t="s">
        <v>14</v>
      </c>
      <c r="G1270" t="s">
        <v>15</v>
      </c>
      <c r="H1270" s="2">
        <v>77578</v>
      </c>
      <c r="I1270" s="2">
        <v>8</v>
      </c>
      <c r="J1270" s="2">
        <v>145026</v>
      </c>
      <c r="K1270" s="2">
        <v>55645</v>
      </c>
      <c r="L1270" s="2">
        <v>2</v>
      </c>
      <c r="M1270" t="str">
        <f>IF(Revv_bike_sales_data[[#This Row],[delivery_days]]&lt;=7, "Yes", "No")</f>
        <v>Yes</v>
      </c>
      <c r="N1270" t="s">
        <v>16</v>
      </c>
      <c r="O1270" s="2">
        <v>89381</v>
      </c>
    </row>
    <row r="1271" spans="1:15" x14ac:dyDescent="0.3">
      <c r="A1271" s="2">
        <v>1261</v>
      </c>
      <c r="B1271" s="1">
        <v>44979.5</v>
      </c>
      <c r="C1271" s="1" t="str">
        <f t="shared" si="38"/>
        <v>02-2023</v>
      </c>
      <c r="D1271" s="2">
        <f t="shared" si="39"/>
        <v>8</v>
      </c>
      <c r="E1271" t="s">
        <v>17</v>
      </c>
      <c r="F1271" t="s">
        <v>14</v>
      </c>
      <c r="G1271" t="s">
        <v>19</v>
      </c>
      <c r="H1271" s="2">
        <v>83470</v>
      </c>
      <c r="I1271" s="2">
        <v>2</v>
      </c>
      <c r="J1271" s="2">
        <v>78106</v>
      </c>
      <c r="K1271" s="2">
        <v>53938</v>
      </c>
      <c r="L1271" s="2">
        <v>11</v>
      </c>
      <c r="M1271" t="str">
        <f>IF(Revv_bike_sales_data[[#This Row],[delivery_days]]&lt;=7, "Yes", "No")</f>
        <v>No</v>
      </c>
      <c r="N1271" t="s">
        <v>16</v>
      </c>
      <c r="O1271" s="2">
        <v>24168</v>
      </c>
    </row>
    <row r="1272" spans="1:15" x14ac:dyDescent="0.3">
      <c r="A1272" s="2">
        <v>1262</v>
      </c>
      <c r="B1272" s="1">
        <v>44979.541666666664</v>
      </c>
      <c r="C1272" s="1" t="str">
        <f t="shared" si="38"/>
        <v>02-2023</v>
      </c>
      <c r="D1272" s="2">
        <f t="shared" si="39"/>
        <v>8</v>
      </c>
      <c r="E1272" t="s">
        <v>25</v>
      </c>
      <c r="F1272" t="s">
        <v>14</v>
      </c>
      <c r="G1272" t="s">
        <v>19</v>
      </c>
      <c r="H1272" s="2">
        <v>30265</v>
      </c>
      <c r="I1272" s="2">
        <v>5</v>
      </c>
      <c r="J1272" s="2">
        <v>139322</v>
      </c>
      <c r="K1272" s="2">
        <v>71982</v>
      </c>
      <c r="L1272" s="2">
        <v>12</v>
      </c>
      <c r="M1272" t="str">
        <f>IF(Revv_bike_sales_data[[#This Row],[delivery_days]]&lt;=7, "Yes", "No")</f>
        <v>No</v>
      </c>
      <c r="N1272" t="s">
        <v>24</v>
      </c>
      <c r="O1272" s="2">
        <v>67340</v>
      </c>
    </row>
    <row r="1273" spans="1:15" x14ac:dyDescent="0.3">
      <c r="A1273" s="2">
        <v>1263</v>
      </c>
      <c r="B1273" s="1">
        <v>44979.583333333336</v>
      </c>
      <c r="C1273" s="1" t="str">
        <f t="shared" si="38"/>
        <v>02-2023</v>
      </c>
      <c r="D1273" s="2">
        <f t="shared" si="39"/>
        <v>8</v>
      </c>
      <c r="E1273" t="s">
        <v>22</v>
      </c>
      <c r="F1273" t="s">
        <v>23</v>
      </c>
      <c r="G1273" t="s">
        <v>20</v>
      </c>
      <c r="H1273" s="2">
        <v>24269</v>
      </c>
      <c r="I1273" s="2">
        <v>5</v>
      </c>
      <c r="J1273" s="2">
        <v>106227</v>
      </c>
      <c r="K1273" s="2">
        <v>92614</v>
      </c>
      <c r="L1273" s="2">
        <v>5</v>
      </c>
      <c r="M1273" t="str">
        <f>IF(Revv_bike_sales_data[[#This Row],[delivery_days]]&lt;=7, "Yes", "No")</f>
        <v>Yes</v>
      </c>
      <c r="N1273" t="s">
        <v>16</v>
      </c>
      <c r="O1273" s="2">
        <v>13613</v>
      </c>
    </row>
    <row r="1274" spans="1:15" x14ac:dyDescent="0.3">
      <c r="A1274" s="2">
        <v>1264</v>
      </c>
      <c r="B1274" s="1">
        <v>44979.625</v>
      </c>
      <c r="C1274" s="1" t="str">
        <f t="shared" si="38"/>
        <v>02-2023</v>
      </c>
      <c r="D1274" s="2">
        <f t="shared" si="39"/>
        <v>8</v>
      </c>
      <c r="E1274" t="s">
        <v>25</v>
      </c>
      <c r="F1274" t="s">
        <v>14</v>
      </c>
      <c r="G1274" t="s">
        <v>20</v>
      </c>
      <c r="H1274" s="2">
        <v>88501</v>
      </c>
      <c r="I1274" s="2">
        <v>1</v>
      </c>
      <c r="J1274" s="2">
        <v>67135</v>
      </c>
      <c r="K1274" s="2">
        <v>106614</v>
      </c>
      <c r="L1274" s="2">
        <v>11</v>
      </c>
      <c r="M1274" t="str">
        <f>IF(Revv_bike_sales_data[[#This Row],[delivery_days]]&lt;=7, "Yes", "No")</f>
        <v>No</v>
      </c>
      <c r="N1274" t="s">
        <v>24</v>
      </c>
      <c r="O1274" s="2">
        <v>-39479</v>
      </c>
    </row>
    <row r="1275" spans="1:15" x14ac:dyDescent="0.3">
      <c r="A1275" s="2">
        <v>1265</v>
      </c>
      <c r="B1275" s="1">
        <v>44979.666666666664</v>
      </c>
      <c r="C1275" s="1" t="str">
        <f t="shared" si="38"/>
        <v>02-2023</v>
      </c>
      <c r="D1275" s="2">
        <f t="shared" si="39"/>
        <v>8</v>
      </c>
      <c r="E1275" t="s">
        <v>25</v>
      </c>
      <c r="F1275" t="s">
        <v>14</v>
      </c>
      <c r="G1275" t="s">
        <v>15</v>
      </c>
      <c r="H1275" s="2">
        <v>87904</v>
      </c>
      <c r="I1275" s="2">
        <v>6</v>
      </c>
      <c r="J1275" s="2">
        <v>144599</v>
      </c>
      <c r="K1275" s="2">
        <v>17315</v>
      </c>
      <c r="L1275" s="2">
        <v>11</v>
      </c>
      <c r="M1275" t="str">
        <f>IF(Revv_bike_sales_data[[#This Row],[delivery_days]]&lt;=7, "Yes", "No")</f>
        <v>No</v>
      </c>
      <c r="N1275" t="s">
        <v>16</v>
      </c>
      <c r="O1275" s="2">
        <v>127284</v>
      </c>
    </row>
    <row r="1276" spans="1:15" x14ac:dyDescent="0.3">
      <c r="A1276" s="2">
        <v>1266</v>
      </c>
      <c r="B1276" s="1">
        <v>44979.708333333336</v>
      </c>
      <c r="C1276" s="1" t="str">
        <f t="shared" si="38"/>
        <v>02-2023</v>
      </c>
      <c r="D1276" s="2">
        <f t="shared" si="39"/>
        <v>8</v>
      </c>
      <c r="E1276" t="s">
        <v>13</v>
      </c>
      <c r="F1276" t="s">
        <v>14</v>
      </c>
      <c r="G1276" t="s">
        <v>21</v>
      </c>
      <c r="H1276" s="2">
        <v>20656</v>
      </c>
      <c r="I1276" s="2">
        <v>8</v>
      </c>
      <c r="J1276" s="2">
        <v>108470</v>
      </c>
      <c r="K1276" s="2">
        <v>107756</v>
      </c>
      <c r="L1276" s="2">
        <v>8</v>
      </c>
      <c r="M1276" t="str">
        <f>IF(Revv_bike_sales_data[[#This Row],[delivery_days]]&lt;=7, "Yes", "No")</f>
        <v>No</v>
      </c>
      <c r="N1276" t="s">
        <v>16</v>
      </c>
      <c r="O1276" s="2">
        <v>714</v>
      </c>
    </row>
    <row r="1277" spans="1:15" x14ac:dyDescent="0.3">
      <c r="A1277" s="2">
        <v>1267</v>
      </c>
      <c r="B1277" s="1">
        <v>44979.75</v>
      </c>
      <c r="C1277" s="1" t="str">
        <f t="shared" si="38"/>
        <v>02-2023</v>
      </c>
      <c r="D1277" s="2">
        <f t="shared" si="39"/>
        <v>8</v>
      </c>
      <c r="E1277" t="s">
        <v>18</v>
      </c>
      <c r="F1277" t="s">
        <v>14</v>
      </c>
      <c r="G1277" t="s">
        <v>19</v>
      </c>
      <c r="H1277" s="2">
        <v>86336</v>
      </c>
      <c r="I1277" s="2">
        <v>9</v>
      </c>
      <c r="J1277" s="2">
        <v>45910</v>
      </c>
      <c r="K1277" s="2">
        <v>112267</v>
      </c>
      <c r="L1277" s="2">
        <v>6</v>
      </c>
      <c r="M1277" t="str">
        <f>IF(Revv_bike_sales_data[[#This Row],[delivery_days]]&lt;=7, "Yes", "No")</f>
        <v>Yes</v>
      </c>
      <c r="N1277" t="s">
        <v>16</v>
      </c>
      <c r="O1277" s="2">
        <v>-66357</v>
      </c>
    </row>
    <row r="1278" spans="1:15" x14ac:dyDescent="0.3">
      <c r="A1278" s="2">
        <v>1268</v>
      </c>
      <c r="B1278" s="1">
        <v>44979.791666666664</v>
      </c>
      <c r="C1278" s="1" t="str">
        <f t="shared" si="38"/>
        <v>02-2023</v>
      </c>
      <c r="D1278" s="2">
        <f t="shared" si="39"/>
        <v>8</v>
      </c>
      <c r="E1278" t="s">
        <v>17</v>
      </c>
      <c r="F1278" t="s">
        <v>23</v>
      </c>
      <c r="G1278" t="s">
        <v>21</v>
      </c>
      <c r="H1278" s="2">
        <v>50981</v>
      </c>
      <c r="I1278" s="2">
        <v>0</v>
      </c>
      <c r="J1278" s="2">
        <v>163213</v>
      </c>
      <c r="K1278" s="2">
        <v>113369</v>
      </c>
      <c r="L1278" s="2">
        <v>9</v>
      </c>
      <c r="M1278" t="str">
        <f>IF(Revv_bike_sales_data[[#This Row],[delivery_days]]&lt;=7, "Yes", "No")</f>
        <v>No</v>
      </c>
      <c r="N1278" t="s">
        <v>16</v>
      </c>
      <c r="O1278" s="2">
        <v>49844</v>
      </c>
    </row>
    <row r="1279" spans="1:15" x14ac:dyDescent="0.3">
      <c r="A1279" s="2">
        <v>1269</v>
      </c>
      <c r="B1279" s="1">
        <v>44979.833333333336</v>
      </c>
      <c r="C1279" s="1" t="str">
        <f t="shared" si="38"/>
        <v>02-2023</v>
      </c>
      <c r="D1279" s="2">
        <f t="shared" si="39"/>
        <v>8</v>
      </c>
      <c r="E1279" t="s">
        <v>25</v>
      </c>
      <c r="F1279" t="s">
        <v>14</v>
      </c>
      <c r="G1279" t="s">
        <v>21</v>
      </c>
      <c r="H1279" s="2">
        <v>13935</v>
      </c>
      <c r="I1279" s="2">
        <v>7</v>
      </c>
      <c r="J1279" s="2">
        <v>70950</v>
      </c>
      <c r="K1279" s="2">
        <v>27420</v>
      </c>
      <c r="L1279" s="2">
        <v>11</v>
      </c>
      <c r="M1279" t="str">
        <f>IF(Revv_bike_sales_data[[#This Row],[delivery_days]]&lt;=7, "Yes", "No")</f>
        <v>No</v>
      </c>
      <c r="N1279" t="s">
        <v>16</v>
      </c>
      <c r="O1279" s="2">
        <v>43530</v>
      </c>
    </row>
    <row r="1280" spans="1:15" x14ac:dyDescent="0.3">
      <c r="A1280" s="2">
        <v>1270</v>
      </c>
      <c r="B1280" s="1">
        <v>44979.875</v>
      </c>
      <c r="C1280" s="1" t="str">
        <f t="shared" si="38"/>
        <v>02-2023</v>
      </c>
      <c r="D1280" s="2">
        <f t="shared" si="39"/>
        <v>8</v>
      </c>
      <c r="E1280" t="s">
        <v>17</v>
      </c>
      <c r="F1280" t="s">
        <v>14</v>
      </c>
      <c r="G1280" t="s">
        <v>20</v>
      </c>
      <c r="H1280" s="2">
        <v>70150</v>
      </c>
      <c r="I1280" s="2">
        <v>1</v>
      </c>
      <c r="J1280" s="2">
        <v>41225</v>
      </c>
      <c r="K1280" s="2">
        <v>33312</v>
      </c>
      <c r="L1280" s="2">
        <v>5</v>
      </c>
      <c r="M1280" t="str">
        <f>IF(Revv_bike_sales_data[[#This Row],[delivery_days]]&lt;=7, "Yes", "No")</f>
        <v>Yes</v>
      </c>
      <c r="N1280" t="s">
        <v>16</v>
      </c>
      <c r="O1280" s="2">
        <v>7913</v>
      </c>
    </row>
    <row r="1281" spans="1:15" x14ac:dyDescent="0.3">
      <c r="A1281" s="2">
        <v>1271</v>
      </c>
      <c r="B1281" s="1">
        <v>44979.916666666664</v>
      </c>
      <c r="C1281" s="1" t="str">
        <f t="shared" si="38"/>
        <v>02-2023</v>
      </c>
      <c r="D1281" s="2">
        <f t="shared" si="39"/>
        <v>8</v>
      </c>
      <c r="E1281" t="s">
        <v>25</v>
      </c>
      <c r="F1281" t="s">
        <v>14</v>
      </c>
      <c r="G1281" t="s">
        <v>19</v>
      </c>
      <c r="H1281" s="2">
        <v>46836</v>
      </c>
      <c r="I1281" s="2">
        <v>0</v>
      </c>
      <c r="J1281" s="2">
        <v>57959</v>
      </c>
      <c r="K1281" s="2">
        <v>36395</v>
      </c>
      <c r="L1281" s="2">
        <v>10</v>
      </c>
      <c r="M1281" t="str">
        <f>IF(Revv_bike_sales_data[[#This Row],[delivery_days]]&lt;=7, "Yes", "No")</f>
        <v>No</v>
      </c>
      <c r="N1281" t="s">
        <v>24</v>
      </c>
      <c r="O1281" s="2">
        <v>21564</v>
      </c>
    </row>
    <row r="1282" spans="1:15" x14ac:dyDescent="0.3">
      <c r="A1282" s="2">
        <v>1272</v>
      </c>
      <c r="B1282" s="1">
        <v>44979.958333333336</v>
      </c>
      <c r="C1282" s="1" t="str">
        <f t="shared" si="38"/>
        <v>02-2023</v>
      </c>
      <c r="D1282" s="2">
        <f t="shared" si="39"/>
        <v>8</v>
      </c>
      <c r="E1282" t="s">
        <v>22</v>
      </c>
      <c r="F1282" t="s">
        <v>14</v>
      </c>
      <c r="G1282" t="s">
        <v>19</v>
      </c>
      <c r="H1282" s="2">
        <v>36635</v>
      </c>
      <c r="I1282" s="2">
        <v>7</v>
      </c>
      <c r="J1282" s="2">
        <v>74192</v>
      </c>
      <c r="K1282" s="2">
        <v>55301</v>
      </c>
      <c r="L1282" s="2">
        <v>4</v>
      </c>
      <c r="M1282" t="str">
        <f>IF(Revv_bike_sales_data[[#This Row],[delivery_days]]&lt;=7, "Yes", "No")</f>
        <v>Yes</v>
      </c>
      <c r="N1282" t="s">
        <v>16</v>
      </c>
      <c r="O1282" s="2">
        <v>18891</v>
      </c>
    </row>
    <row r="1283" spans="1:15" x14ac:dyDescent="0.3">
      <c r="A1283" s="2">
        <v>1273</v>
      </c>
      <c r="B1283" s="1">
        <v>44980</v>
      </c>
      <c r="C1283" s="1" t="str">
        <f t="shared" si="38"/>
        <v>02-2023</v>
      </c>
      <c r="D1283" s="2">
        <f t="shared" si="39"/>
        <v>8</v>
      </c>
      <c r="E1283" t="s">
        <v>25</v>
      </c>
      <c r="F1283" t="s">
        <v>14</v>
      </c>
      <c r="G1283" t="s">
        <v>20</v>
      </c>
      <c r="H1283" s="2">
        <v>74131</v>
      </c>
      <c r="I1283" s="2">
        <v>1</v>
      </c>
      <c r="J1283" s="2">
        <v>104711</v>
      </c>
      <c r="K1283" s="2">
        <v>135913</v>
      </c>
      <c r="L1283" s="2">
        <v>9</v>
      </c>
      <c r="M1283" t="str">
        <f>IF(Revv_bike_sales_data[[#This Row],[delivery_days]]&lt;=7, "Yes", "No")</f>
        <v>No</v>
      </c>
      <c r="N1283" t="s">
        <v>16</v>
      </c>
      <c r="O1283" s="2">
        <v>-31202</v>
      </c>
    </row>
    <row r="1284" spans="1:15" x14ac:dyDescent="0.3">
      <c r="A1284" s="2">
        <v>1274</v>
      </c>
      <c r="B1284" s="1">
        <v>44980.041666666664</v>
      </c>
      <c r="C1284" s="1" t="str">
        <f t="shared" si="38"/>
        <v>02-2023</v>
      </c>
      <c r="D1284" s="2">
        <f t="shared" si="39"/>
        <v>8</v>
      </c>
      <c r="E1284" t="s">
        <v>13</v>
      </c>
      <c r="F1284" t="s">
        <v>14</v>
      </c>
      <c r="G1284" t="s">
        <v>21</v>
      </c>
      <c r="H1284" s="2">
        <v>38409</v>
      </c>
      <c r="I1284" s="2">
        <v>5</v>
      </c>
      <c r="J1284" s="2">
        <v>166123</v>
      </c>
      <c r="K1284" s="2">
        <v>61972</v>
      </c>
      <c r="L1284" s="2">
        <v>12</v>
      </c>
      <c r="M1284" t="str">
        <f>IF(Revv_bike_sales_data[[#This Row],[delivery_days]]&lt;=7, "Yes", "No")</f>
        <v>No</v>
      </c>
      <c r="N1284" t="s">
        <v>16</v>
      </c>
      <c r="O1284" s="2">
        <v>104151</v>
      </c>
    </row>
    <row r="1285" spans="1:15" x14ac:dyDescent="0.3">
      <c r="A1285" s="2">
        <v>1275</v>
      </c>
      <c r="B1285" s="1">
        <v>44980.083333333336</v>
      </c>
      <c r="C1285" s="1" t="str">
        <f t="shared" si="38"/>
        <v>02-2023</v>
      </c>
      <c r="D1285" s="2">
        <f t="shared" si="39"/>
        <v>8</v>
      </c>
      <c r="E1285" t="s">
        <v>18</v>
      </c>
      <c r="F1285" t="s">
        <v>14</v>
      </c>
      <c r="G1285" t="s">
        <v>20</v>
      </c>
      <c r="H1285" s="2">
        <v>69987</v>
      </c>
      <c r="I1285" s="2">
        <v>5</v>
      </c>
      <c r="J1285" s="2">
        <v>28449</v>
      </c>
      <c r="K1285" s="2">
        <v>78294</v>
      </c>
      <c r="L1285" s="2">
        <v>10</v>
      </c>
      <c r="M1285" t="str">
        <f>IF(Revv_bike_sales_data[[#This Row],[delivery_days]]&lt;=7, "Yes", "No")</f>
        <v>No</v>
      </c>
      <c r="N1285" t="s">
        <v>16</v>
      </c>
      <c r="O1285" s="2">
        <v>-49845</v>
      </c>
    </row>
    <row r="1286" spans="1:15" x14ac:dyDescent="0.3">
      <c r="A1286" s="2">
        <v>1276</v>
      </c>
      <c r="B1286" s="1">
        <v>44980.125</v>
      </c>
      <c r="C1286" s="1" t="str">
        <f t="shared" si="38"/>
        <v>02-2023</v>
      </c>
      <c r="D1286" s="2">
        <f t="shared" si="39"/>
        <v>8</v>
      </c>
      <c r="E1286" t="s">
        <v>22</v>
      </c>
      <c r="F1286" t="s">
        <v>23</v>
      </c>
      <c r="G1286" t="s">
        <v>15</v>
      </c>
      <c r="H1286" s="2">
        <v>21968</v>
      </c>
      <c r="I1286" s="2">
        <v>4</v>
      </c>
      <c r="J1286" s="2">
        <v>129213</v>
      </c>
      <c r="K1286" s="2">
        <v>95853</v>
      </c>
      <c r="L1286" s="2">
        <v>11</v>
      </c>
      <c r="M1286" t="str">
        <f>IF(Revv_bike_sales_data[[#This Row],[delivery_days]]&lt;=7, "Yes", "No")</f>
        <v>No</v>
      </c>
      <c r="N1286" t="s">
        <v>16</v>
      </c>
      <c r="O1286" s="2">
        <v>33360</v>
      </c>
    </row>
    <row r="1287" spans="1:15" x14ac:dyDescent="0.3">
      <c r="A1287" s="2">
        <v>1277</v>
      </c>
      <c r="B1287" s="1">
        <v>44980.166666666664</v>
      </c>
      <c r="C1287" s="1" t="str">
        <f t="shared" si="38"/>
        <v>02-2023</v>
      </c>
      <c r="D1287" s="2">
        <f t="shared" si="39"/>
        <v>8</v>
      </c>
      <c r="E1287" t="s">
        <v>25</v>
      </c>
      <c r="F1287" t="s">
        <v>14</v>
      </c>
      <c r="G1287" t="s">
        <v>19</v>
      </c>
      <c r="H1287" s="2">
        <v>93109</v>
      </c>
      <c r="I1287" s="2">
        <v>7</v>
      </c>
      <c r="J1287" s="2">
        <v>125245</v>
      </c>
      <c r="K1287" s="2">
        <v>135135</v>
      </c>
      <c r="L1287" s="2">
        <v>14</v>
      </c>
      <c r="M1287" t="str">
        <f>IF(Revv_bike_sales_data[[#This Row],[delivery_days]]&lt;=7, "Yes", "No")</f>
        <v>No</v>
      </c>
      <c r="N1287" t="s">
        <v>16</v>
      </c>
      <c r="O1287" s="2">
        <v>-9890</v>
      </c>
    </row>
    <row r="1288" spans="1:15" x14ac:dyDescent="0.3">
      <c r="A1288" s="2">
        <v>1278</v>
      </c>
      <c r="B1288" s="1">
        <v>44980.208333333336</v>
      </c>
      <c r="C1288" s="1" t="str">
        <f t="shared" si="38"/>
        <v>02-2023</v>
      </c>
      <c r="D1288" s="2">
        <f t="shared" si="39"/>
        <v>8</v>
      </c>
      <c r="E1288" t="s">
        <v>17</v>
      </c>
      <c r="F1288" t="s">
        <v>14</v>
      </c>
      <c r="G1288" t="s">
        <v>15</v>
      </c>
      <c r="H1288" s="2">
        <v>48155</v>
      </c>
      <c r="I1288" s="2">
        <v>2</v>
      </c>
      <c r="J1288" s="2">
        <v>122069</v>
      </c>
      <c r="K1288" s="2">
        <v>63225</v>
      </c>
      <c r="L1288" s="2">
        <v>5</v>
      </c>
      <c r="M1288" t="str">
        <f>IF(Revv_bike_sales_data[[#This Row],[delivery_days]]&lt;=7, "Yes", "No")</f>
        <v>Yes</v>
      </c>
      <c r="N1288" t="s">
        <v>16</v>
      </c>
      <c r="O1288" s="2">
        <v>58844</v>
      </c>
    </row>
    <row r="1289" spans="1:15" x14ac:dyDescent="0.3">
      <c r="A1289" s="2">
        <v>1279</v>
      </c>
      <c r="B1289" s="1">
        <v>44980.25</v>
      </c>
      <c r="C1289" s="1" t="str">
        <f t="shared" si="38"/>
        <v>02-2023</v>
      </c>
      <c r="D1289" s="2">
        <f t="shared" si="39"/>
        <v>8</v>
      </c>
      <c r="E1289" t="s">
        <v>22</v>
      </c>
      <c r="F1289" t="s">
        <v>14</v>
      </c>
      <c r="G1289" t="s">
        <v>20</v>
      </c>
      <c r="H1289" s="2">
        <v>34841</v>
      </c>
      <c r="I1289" s="2">
        <v>9</v>
      </c>
      <c r="J1289" s="2">
        <v>48908</v>
      </c>
      <c r="K1289" s="2">
        <v>97504</v>
      </c>
      <c r="L1289" s="2">
        <v>1</v>
      </c>
      <c r="M1289" t="str">
        <f>IF(Revv_bike_sales_data[[#This Row],[delivery_days]]&lt;=7, "Yes", "No")</f>
        <v>Yes</v>
      </c>
      <c r="N1289" t="s">
        <v>16</v>
      </c>
      <c r="O1289" s="2">
        <v>-48596</v>
      </c>
    </row>
    <row r="1290" spans="1:15" x14ac:dyDescent="0.3">
      <c r="A1290" s="2">
        <v>1280</v>
      </c>
      <c r="B1290" s="1">
        <v>44980.291666666664</v>
      </c>
      <c r="C1290" s="1" t="str">
        <f t="shared" si="38"/>
        <v>02-2023</v>
      </c>
      <c r="D1290" s="2">
        <f t="shared" si="39"/>
        <v>8</v>
      </c>
      <c r="E1290" t="s">
        <v>22</v>
      </c>
      <c r="F1290" t="s">
        <v>14</v>
      </c>
      <c r="G1290" t="s">
        <v>19</v>
      </c>
      <c r="H1290" s="2">
        <v>64682</v>
      </c>
      <c r="I1290" s="2">
        <v>3</v>
      </c>
      <c r="J1290" s="2">
        <v>129847</v>
      </c>
      <c r="K1290" s="2">
        <v>37854</v>
      </c>
      <c r="L1290" s="2">
        <v>5</v>
      </c>
      <c r="M1290" t="str">
        <f>IF(Revv_bike_sales_data[[#This Row],[delivery_days]]&lt;=7, "Yes", "No")</f>
        <v>Yes</v>
      </c>
      <c r="N1290" t="s">
        <v>16</v>
      </c>
      <c r="O1290" s="2">
        <v>91993</v>
      </c>
    </row>
    <row r="1291" spans="1:15" x14ac:dyDescent="0.3">
      <c r="A1291" s="2">
        <v>1281</v>
      </c>
      <c r="B1291" s="1">
        <v>44980.333333333336</v>
      </c>
      <c r="C1291" s="1" t="str">
        <f t="shared" ref="C1291:C1354" si="40">TEXT(B1291,"mm-yyyy")</f>
        <v>02-2023</v>
      </c>
      <c r="D1291" s="2">
        <f t="shared" ref="D1291:D1354" si="41">WEEKNUM(B1291)</f>
        <v>8</v>
      </c>
      <c r="E1291" t="s">
        <v>25</v>
      </c>
      <c r="F1291" t="s">
        <v>14</v>
      </c>
      <c r="G1291" t="s">
        <v>15</v>
      </c>
      <c r="H1291" s="2">
        <v>52286</v>
      </c>
      <c r="I1291" s="2">
        <v>6</v>
      </c>
      <c r="J1291" s="2">
        <v>145910</v>
      </c>
      <c r="K1291" s="2">
        <v>136373</v>
      </c>
      <c r="L1291" s="2">
        <v>5</v>
      </c>
      <c r="M1291" t="str">
        <f>IF(Revv_bike_sales_data[[#This Row],[delivery_days]]&lt;=7, "Yes", "No")</f>
        <v>Yes</v>
      </c>
      <c r="N1291" t="s">
        <v>16</v>
      </c>
      <c r="O1291" s="2">
        <v>9537</v>
      </c>
    </row>
    <row r="1292" spans="1:15" x14ac:dyDescent="0.3">
      <c r="A1292" s="2">
        <v>1282</v>
      </c>
      <c r="B1292" s="1">
        <v>44980.375</v>
      </c>
      <c r="C1292" s="1" t="str">
        <f t="shared" si="40"/>
        <v>02-2023</v>
      </c>
      <c r="D1292" s="2">
        <f t="shared" si="41"/>
        <v>8</v>
      </c>
      <c r="E1292" t="s">
        <v>22</v>
      </c>
      <c r="F1292" t="s">
        <v>14</v>
      </c>
      <c r="G1292" t="s">
        <v>15</v>
      </c>
      <c r="H1292" s="2">
        <v>68804</v>
      </c>
      <c r="I1292" s="2">
        <v>6</v>
      </c>
      <c r="J1292" s="2">
        <v>39012</v>
      </c>
      <c r="K1292" s="2">
        <v>85780</v>
      </c>
      <c r="L1292" s="2">
        <v>5</v>
      </c>
      <c r="M1292" t="str">
        <f>IF(Revv_bike_sales_data[[#This Row],[delivery_days]]&lt;=7, "Yes", "No")</f>
        <v>Yes</v>
      </c>
      <c r="N1292" t="s">
        <v>16</v>
      </c>
      <c r="O1292" s="2">
        <v>-46768</v>
      </c>
    </row>
    <row r="1293" spans="1:15" x14ac:dyDescent="0.3">
      <c r="A1293" s="2">
        <v>1283</v>
      </c>
      <c r="B1293" s="1">
        <v>44980.416666666664</v>
      </c>
      <c r="C1293" s="1" t="str">
        <f t="shared" si="40"/>
        <v>02-2023</v>
      </c>
      <c r="D1293" s="2">
        <f t="shared" si="41"/>
        <v>8</v>
      </c>
      <c r="E1293" t="s">
        <v>17</v>
      </c>
      <c r="F1293" t="s">
        <v>14</v>
      </c>
      <c r="G1293" t="s">
        <v>21</v>
      </c>
      <c r="H1293" s="2">
        <v>47014</v>
      </c>
      <c r="I1293" s="2">
        <v>7</v>
      </c>
      <c r="J1293" s="2">
        <v>42412</v>
      </c>
      <c r="K1293" s="2">
        <v>45929</v>
      </c>
      <c r="L1293" s="2">
        <v>13</v>
      </c>
      <c r="M1293" t="str">
        <f>IF(Revv_bike_sales_data[[#This Row],[delivery_days]]&lt;=7, "Yes", "No")</f>
        <v>No</v>
      </c>
      <c r="N1293" t="s">
        <v>16</v>
      </c>
      <c r="O1293" s="2">
        <v>-3517</v>
      </c>
    </row>
    <row r="1294" spans="1:15" x14ac:dyDescent="0.3">
      <c r="A1294" s="2">
        <v>1284</v>
      </c>
      <c r="B1294" s="1">
        <v>44980.458333333336</v>
      </c>
      <c r="C1294" s="1" t="str">
        <f t="shared" si="40"/>
        <v>02-2023</v>
      </c>
      <c r="D1294" s="2">
        <f t="shared" si="41"/>
        <v>8</v>
      </c>
      <c r="E1294" t="s">
        <v>22</v>
      </c>
      <c r="F1294" t="s">
        <v>14</v>
      </c>
      <c r="G1294" t="s">
        <v>19</v>
      </c>
      <c r="H1294" s="2">
        <v>34479</v>
      </c>
      <c r="I1294" s="2">
        <v>1</v>
      </c>
      <c r="J1294" s="2">
        <v>135030</v>
      </c>
      <c r="K1294" s="2">
        <v>121458</v>
      </c>
      <c r="L1294" s="2">
        <v>2</v>
      </c>
      <c r="M1294" t="str">
        <f>IF(Revv_bike_sales_data[[#This Row],[delivery_days]]&lt;=7, "Yes", "No")</f>
        <v>Yes</v>
      </c>
      <c r="N1294" t="s">
        <v>24</v>
      </c>
      <c r="O1294" s="2">
        <v>13572</v>
      </c>
    </row>
    <row r="1295" spans="1:15" x14ac:dyDescent="0.3">
      <c r="A1295" s="2">
        <v>1285</v>
      </c>
      <c r="B1295" s="1">
        <v>44980.5</v>
      </c>
      <c r="C1295" s="1" t="str">
        <f t="shared" si="40"/>
        <v>02-2023</v>
      </c>
      <c r="D1295" s="2">
        <f t="shared" si="41"/>
        <v>8</v>
      </c>
      <c r="E1295" t="s">
        <v>17</v>
      </c>
      <c r="F1295" t="s">
        <v>14</v>
      </c>
      <c r="G1295" t="s">
        <v>15</v>
      </c>
      <c r="H1295" s="2">
        <v>91387</v>
      </c>
      <c r="I1295" s="2">
        <v>1</v>
      </c>
      <c r="J1295" s="2">
        <v>49657</v>
      </c>
      <c r="K1295" s="2">
        <v>72103</v>
      </c>
      <c r="L1295" s="2">
        <v>13</v>
      </c>
      <c r="M1295" t="str">
        <f>IF(Revv_bike_sales_data[[#This Row],[delivery_days]]&lt;=7, "Yes", "No")</f>
        <v>No</v>
      </c>
      <c r="N1295" t="s">
        <v>16</v>
      </c>
      <c r="O1295" s="2">
        <v>-22446</v>
      </c>
    </row>
    <row r="1296" spans="1:15" x14ac:dyDescent="0.3">
      <c r="A1296" s="2">
        <v>1286</v>
      </c>
      <c r="B1296" s="1">
        <v>44980.541666666664</v>
      </c>
      <c r="C1296" s="1" t="str">
        <f t="shared" si="40"/>
        <v>02-2023</v>
      </c>
      <c r="D1296" s="2">
        <f t="shared" si="41"/>
        <v>8</v>
      </c>
      <c r="E1296" t="s">
        <v>25</v>
      </c>
      <c r="F1296" t="s">
        <v>23</v>
      </c>
      <c r="G1296" t="s">
        <v>15</v>
      </c>
      <c r="H1296" s="2">
        <v>81481</v>
      </c>
      <c r="I1296" s="2">
        <v>3</v>
      </c>
      <c r="J1296" s="2">
        <v>30656</v>
      </c>
      <c r="K1296" s="2">
        <v>131436</v>
      </c>
      <c r="L1296" s="2">
        <v>6</v>
      </c>
      <c r="M1296" t="str">
        <f>IF(Revv_bike_sales_data[[#This Row],[delivery_days]]&lt;=7, "Yes", "No")</f>
        <v>Yes</v>
      </c>
      <c r="N1296" t="s">
        <v>16</v>
      </c>
      <c r="O1296" s="2">
        <v>-100780</v>
      </c>
    </row>
    <row r="1297" spans="1:15" x14ac:dyDescent="0.3">
      <c r="A1297" s="2">
        <v>1287</v>
      </c>
      <c r="B1297" s="1">
        <v>44980.583333333336</v>
      </c>
      <c r="C1297" s="1" t="str">
        <f t="shared" si="40"/>
        <v>02-2023</v>
      </c>
      <c r="D1297" s="2">
        <f t="shared" si="41"/>
        <v>8</v>
      </c>
      <c r="E1297" t="s">
        <v>18</v>
      </c>
      <c r="F1297" t="s">
        <v>14</v>
      </c>
      <c r="G1297" t="s">
        <v>21</v>
      </c>
      <c r="H1297" s="2">
        <v>55607</v>
      </c>
      <c r="I1297" s="2">
        <v>9</v>
      </c>
      <c r="J1297" s="2">
        <v>165039</v>
      </c>
      <c r="K1297" s="2">
        <v>78620</v>
      </c>
      <c r="L1297" s="2">
        <v>5</v>
      </c>
      <c r="M1297" t="str">
        <f>IF(Revv_bike_sales_data[[#This Row],[delivery_days]]&lt;=7, "Yes", "No")</f>
        <v>Yes</v>
      </c>
      <c r="N1297" t="s">
        <v>16</v>
      </c>
      <c r="O1297" s="2">
        <v>86419</v>
      </c>
    </row>
    <row r="1298" spans="1:15" x14ac:dyDescent="0.3">
      <c r="A1298" s="2">
        <v>1288</v>
      </c>
      <c r="B1298" s="1">
        <v>44980.625</v>
      </c>
      <c r="C1298" s="1" t="str">
        <f t="shared" si="40"/>
        <v>02-2023</v>
      </c>
      <c r="D1298" s="2">
        <f t="shared" si="41"/>
        <v>8</v>
      </c>
      <c r="E1298" t="s">
        <v>22</v>
      </c>
      <c r="F1298" t="s">
        <v>14</v>
      </c>
      <c r="G1298" t="s">
        <v>15</v>
      </c>
      <c r="H1298" s="2">
        <v>1660</v>
      </c>
      <c r="I1298" s="2">
        <v>8</v>
      </c>
      <c r="J1298" s="2">
        <v>171836</v>
      </c>
      <c r="K1298" s="2">
        <v>104590</v>
      </c>
      <c r="L1298" s="2">
        <v>2</v>
      </c>
      <c r="M1298" t="str">
        <f>IF(Revv_bike_sales_data[[#This Row],[delivery_days]]&lt;=7, "Yes", "No")</f>
        <v>Yes</v>
      </c>
      <c r="N1298" t="s">
        <v>16</v>
      </c>
      <c r="O1298" s="2">
        <v>67246</v>
      </c>
    </row>
    <row r="1299" spans="1:15" x14ac:dyDescent="0.3">
      <c r="A1299" s="2">
        <v>1289</v>
      </c>
      <c r="B1299" s="1">
        <v>44980.666666666664</v>
      </c>
      <c r="C1299" s="1" t="str">
        <f t="shared" si="40"/>
        <v>02-2023</v>
      </c>
      <c r="D1299" s="2">
        <f t="shared" si="41"/>
        <v>8</v>
      </c>
      <c r="E1299" t="s">
        <v>18</v>
      </c>
      <c r="F1299" t="s">
        <v>14</v>
      </c>
      <c r="G1299" t="s">
        <v>15</v>
      </c>
      <c r="H1299" s="2">
        <v>88397</v>
      </c>
      <c r="I1299" s="2">
        <v>9</v>
      </c>
      <c r="J1299" s="2">
        <v>40873</v>
      </c>
      <c r="K1299" s="2">
        <v>99124</v>
      </c>
      <c r="L1299" s="2">
        <v>12</v>
      </c>
      <c r="M1299" t="str">
        <f>IF(Revv_bike_sales_data[[#This Row],[delivery_days]]&lt;=7, "Yes", "No")</f>
        <v>No</v>
      </c>
      <c r="N1299" t="s">
        <v>16</v>
      </c>
      <c r="O1299" s="2">
        <v>-58251</v>
      </c>
    </row>
    <row r="1300" spans="1:15" x14ac:dyDescent="0.3">
      <c r="A1300" s="2">
        <v>1290</v>
      </c>
      <c r="B1300" s="1">
        <v>44980.708333333336</v>
      </c>
      <c r="C1300" s="1" t="str">
        <f t="shared" si="40"/>
        <v>02-2023</v>
      </c>
      <c r="D1300" s="2">
        <f t="shared" si="41"/>
        <v>8</v>
      </c>
      <c r="E1300" t="s">
        <v>17</v>
      </c>
      <c r="F1300" t="s">
        <v>14</v>
      </c>
      <c r="G1300" t="s">
        <v>15</v>
      </c>
      <c r="H1300" s="2">
        <v>73077</v>
      </c>
      <c r="I1300" s="2">
        <v>8</v>
      </c>
      <c r="J1300" s="2">
        <v>119485</v>
      </c>
      <c r="K1300" s="2">
        <v>59590</v>
      </c>
      <c r="L1300" s="2">
        <v>10</v>
      </c>
      <c r="M1300" t="str">
        <f>IF(Revv_bike_sales_data[[#This Row],[delivery_days]]&lt;=7, "Yes", "No")</f>
        <v>No</v>
      </c>
      <c r="N1300" t="s">
        <v>24</v>
      </c>
      <c r="O1300" s="2">
        <v>59895</v>
      </c>
    </row>
    <row r="1301" spans="1:15" x14ac:dyDescent="0.3">
      <c r="A1301" s="2">
        <v>1291</v>
      </c>
      <c r="B1301" s="1">
        <v>44980.75</v>
      </c>
      <c r="C1301" s="1" t="str">
        <f t="shared" si="40"/>
        <v>02-2023</v>
      </c>
      <c r="D1301" s="2">
        <f t="shared" si="41"/>
        <v>8</v>
      </c>
      <c r="E1301" t="s">
        <v>22</v>
      </c>
      <c r="F1301" t="s">
        <v>14</v>
      </c>
      <c r="G1301" t="s">
        <v>21</v>
      </c>
      <c r="H1301" s="2">
        <v>84803</v>
      </c>
      <c r="I1301" s="2">
        <v>3</v>
      </c>
      <c r="J1301" s="2">
        <v>134383</v>
      </c>
      <c r="K1301" s="2">
        <v>115196</v>
      </c>
      <c r="L1301" s="2">
        <v>14</v>
      </c>
      <c r="M1301" t="str">
        <f>IF(Revv_bike_sales_data[[#This Row],[delivery_days]]&lt;=7, "Yes", "No")</f>
        <v>No</v>
      </c>
      <c r="N1301" t="s">
        <v>16</v>
      </c>
      <c r="O1301" s="2">
        <v>19187</v>
      </c>
    </row>
    <row r="1302" spans="1:15" x14ac:dyDescent="0.3">
      <c r="A1302" s="2">
        <v>1292</v>
      </c>
      <c r="B1302" s="1">
        <v>44980.791666666664</v>
      </c>
      <c r="C1302" s="1" t="str">
        <f t="shared" si="40"/>
        <v>02-2023</v>
      </c>
      <c r="D1302" s="2">
        <f t="shared" si="41"/>
        <v>8</v>
      </c>
      <c r="E1302" t="s">
        <v>13</v>
      </c>
      <c r="F1302" t="s">
        <v>14</v>
      </c>
      <c r="G1302" t="s">
        <v>15</v>
      </c>
      <c r="H1302" s="2">
        <v>11346</v>
      </c>
      <c r="I1302" s="2">
        <v>8</v>
      </c>
      <c r="J1302" s="2">
        <v>26607</v>
      </c>
      <c r="K1302" s="2">
        <v>87554</v>
      </c>
      <c r="L1302" s="2">
        <v>8</v>
      </c>
      <c r="M1302" t="str">
        <f>IF(Revv_bike_sales_data[[#This Row],[delivery_days]]&lt;=7, "Yes", "No")</f>
        <v>No</v>
      </c>
      <c r="N1302" t="s">
        <v>16</v>
      </c>
      <c r="O1302" s="2">
        <v>-60947</v>
      </c>
    </row>
    <row r="1303" spans="1:15" x14ac:dyDescent="0.3">
      <c r="A1303" s="2">
        <v>1293</v>
      </c>
      <c r="B1303" s="1">
        <v>44980.833333333336</v>
      </c>
      <c r="C1303" s="1" t="str">
        <f t="shared" si="40"/>
        <v>02-2023</v>
      </c>
      <c r="D1303" s="2">
        <f t="shared" si="41"/>
        <v>8</v>
      </c>
      <c r="E1303" t="s">
        <v>18</v>
      </c>
      <c r="F1303" t="s">
        <v>14</v>
      </c>
      <c r="G1303" t="s">
        <v>15</v>
      </c>
      <c r="H1303" s="2">
        <v>20424</v>
      </c>
      <c r="I1303" s="2">
        <v>2</v>
      </c>
      <c r="J1303" s="2">
        <v>175595</v>
      </c>
      <c r="K1303" s="2">
        <v>25621</v>
      </c>
      <c r="L1303" s="2">
        <v>6</v>
      </c>
      <c r="M1303" t="str">
        <f>IF(Revv_bike_sales_data[[#This Row],[delivery_days]]&lt;=7, "Yes", "No")</f>
        <v>Yes</v>
      </c>
      <c r="N1303" t="s">
        <v>16</v>
      </c>
      <c r="O1303" s="2">
        <v>149974</v>
      </c>
    </row>
    <row r="1304" spans="1:15" x14ac:dyDescent="0.3">
      <c r="A1304" s="2">
        <v>1294</v>
      </c>
      <c r="B1304" s="1">
        <v>44980.875</v>
      </c>
      <c r="C1304" s="1" t="str">
        <f t="shared" si="40"/>
        <v>02-2023</v>
      </c>
      <c r="D1304" s="2">
        <f t="shared" si="41"/>
        <v>8</v>
      </c>
      <c r="E1304" t="s">
        <v>22</v>
      </c>
      <c r="F1304" t="s">
        <v>14</v>
      </c>
      <c r="G1304" t="s">
        <v>19</v>
      </c>
      <c r="H1304" s="2">
        <v>14382</v>
      </c>
      <c r="I1304" s="2">
        <v>4</v>
      </c>
      <c r="J1304" s="2">
        <v>73447</v>
      </c>
      <c r="K1304" s="2">
        <v>132781</v>
      </c>
      <c r="L1304" s="2">
        <v>11</v>
      </c>
      <c r="M1304" t="str">
        <f>IF(Revv_bike_sales_data[[#This Row],[delivery_days]]&lt;=7, "Yes", "No")</f>
        <v>No</v>
      </c>
      <c r="N1304" t="s">
        <v>16</v>
      </c>
      <c r="O1304" s="2">
        <v>-59334</v>
      </c>
    </row>
    <row r="1305" spans="1:15" x14ac:dyDescent="0.3">
      <c r="A1305" s="2">
        <v>1295</v>
      </c>
      <c r="B1305" s="1">
        <v>44980.916666666664</v>
      </c>
      <c r="C1305" s="1" t="str">
        <f t="shared" si="40"/>
        <v>02-2023</v>
      </c>
      <c r="D1305" s="2">
        <f t="shared" si="41"/>
        <v>8</v>
      </c>
      <c r="E1305" t="s">
        <v>18</v>
      </c>
      <c r="F1305" t="s">
        <v>14</v>
      </c>
      <c r="G1305" t="s">
        <v>19</v>
      </c>
      <c r="H1305" s="2">
        <v>80774</v>
      </c>
      <c r="I1305" s="2">
        <v>9</v>
      </c>
      <c r="J1305" s="2">
        <v>74757</v>
      </c>
      <c r="K1305" s="2">
        <v>15973</v>
      </c>
      <c r="L1305" s="2">
        <v>10</v>
      </c>
      <c r="M1305" t="str">
        <f>IF(Revv_bike_sales_data[[#This Row],[delivery_days]]&lt;=7, "Yes", "No")</f>
        <v>No</v>
      </c>
      <c r="N1305" t="s">
        <v>16</v>
      </c>
      <c r="O1305" s="2">
        <v>58784</v>
      </c>
    </row>
    <row r="1306" spans="1:15" x14ac:dyDescent="0.3">
      <c r="A1306" s="2">
        <v>1296</v>
      </c>
      <c r="B1306" s="1">
        <v>44980.958333333336</v>
      </c>
      <c r="C1306" s="1" t="str">
        <f t="shared" si="40"/>
        <v>02-2023</v>
      </c>
      <c r="D1306" s="2">
        <f t="shared" si="41"/>
        <v>8</v>
      </c>
      <c r="E1306" t="s">
        <v>22</v>
      </c>
      <c r="F1306" t="s">
        <v>14</v>
      </c>
      <c r="G1306" t="s">
        <v>21</v>
      </c>
      <c r="H1306" s="2">
        <v>87055</v>
      </c>
      <c r="I1306" s="2">
        <v>8</v>
      </c>
      <c r="J1306" s="2">
        <v>94201</v>
      </c>
      <c r="K1306" s="2">
        <v>133712</v>
      </c>
      <c r="L1306" s="2">
        <v>12</v>
      </c>
      <c r="M1306" t="str">
        <f>IF(Revv_bike_sales_data[[#This Row],[delivery_days]]&lt;=7, "Yes", "No")</f>
        <v>No</v>
      </c>
      <c r="N1306" t="s">
        <v>16</v>
      </c>
      <c r="O1306" s="2">
        <v>-39511</v>
      </c>
    </row>
    <row r="1307" spans="1:15" x14ac:dyDescent="0.3">
      <c r="A1307" s="2">
        <v>1297</v>
      </c>
      <c r="B1307" s="1">
        <v>44981</v>
      </c>
      <c r="C1307" s="1" t="str">
        <f t="shared" si="40"/>
        <v>02-2023</v>
      </c>
      <c r="D1307" s="2">
        <f t="shared" si="41"/>
        <v>8</v>
      </c>
      <c r="E1307" t="s">
        <v>25</v>
      </c>
      <c r="F1307" t="s">
        <v>14</v>
      </c>
      <c r="G1307" t="s">
        <v>20</v>
      </c>
      <c r="H1307" s="2">
        <v>1595</v>
      </c>
      <c r="I1307" s="2">
        <v>5</v>
      </c>
      <c r="J1307" s="2">
        <v>153765</v>
      </c>
      <c r="K1307" s="2">
        <v>124138</v>
      </c>
      <c r="L1307" s="2">
        <v>11</v>
      </c>
      <c r="M1307" t="str">
        <f>IF(Revv_bike_sales_data[[#This Row],[delivery_days]]&lt;=7, "Yes", "No")</f>
        <v>No</v>
      </c>
      <c r="N1307" t="s">
        <v>16</v>
      </c>
      <c r="O1307" s="2">
        <v>29627</v>
      </c>
    </row>
    <row r="1308" spans="1:15" x14ac:dyDescent="0.3">
      <c r="A1308" s="2">
        <v>1298</v>
      </c>
      <c r="B1308" s="1">
        <v>44981.041666666664</v>
      </c>
      <c r="C1308" s="1" t="str">
        <f t="shared" si="40"/>
        <v>02-2023</v>
      </c>
      <c r="D1308" s="2">
        <f t="shared" si="41"/>
        <v>8</v>
      </c>
      <c r="E1308" t="s">
        <v>18</v>
      </c>
      <c r="F1308" t="s">
        <v>14</v>
      </c>
      <c r="G1308" t="s">
        <v>19</v>
      </c>
      <c r="H1308" s="2">
        <v>41483</v>
      </c>
      <c r="I1308" s="2">
        <v>2</v>
      </c>
      <c r="J1308" s="2">
        <v>30462</v>
      </c>
      <c r="K1308" s="2">
        <v>73786</v>
      </c>
      <c r="L1308" s="2">
        <v>3</v>
      </c>
      <c r="M1308" t="str">
        <f>IF(Revv_bike_sales_data[[#This Row],[delivery_days]]&lt;=7, "Yes", "No")</f>
        <v>Yes</v>
      </c>
      <c r="N1308" t="s">
        <v>16</v>
      </c>
      <c r="O1308" s="2">
        <v>-43324</v>
      </c>
    </row>
    <row r="1309" spans="1:15" x14ac:dyDescent="0.3">
      <c r="A1309" s="2">
        <v>1299</v>
      </c>
      <c r="B1309" s="1">
        <v>44981.083333333336</v>
      </c>
      <c r="C1309" s="1" t="str">
        <f t="shared" si="40"/>
        <v>02-2023</v>
      </c>
      <c r="D1309" s="2">
        <f t="shared" si="41"/>
        <v>8</v>
      </c>
      <c r="E1309" t="s">
        <v>13</v>
      </c>
      <c r="F1309" t="s">
        <v>14</v>
      </c>
      <c r="G1309" t="s">
        <v>21</v>
      </c>
      <c r="H1309" s="2">
        <v>14623</v>
      </c>
      <c r="I1309" s="2">
        <v>9</v>
      </c>
      <c r="J1309" s="2">
        <v>141832</v>
      </c>
      <c r="K1309" s="2">
        <v>119919</v>
      </c>
      <c r="L1309" s="2">
        <v>9</v>
      </c>
      <c r="M1309" t="str">
        <f>IF(Revv_bike_sales_data[[#This Row],[delivery_days]]&lt;=7, "Yes", "No")</f>
        <v>No</v>
      </c>
      <c r="N1309" t="s">
        <v>16</v>
      </c>
      <c r="O1309" s="2">
        <v>21913</v>
      </c>
    </row>
    <row r="1310" spans="1:15" x14ac:dyDescent="0.3">
      <c r="A1310" s="2">
        <v>1300</v>
      </c>
      <c r="B1310" s="1">
        <v>44981.125</v>
      </c>
      <c r="C1310" s="1" t="str">
        <f t="shared" si="40"/>
        <v>02-2023</v>
      </c>
      <c r="D1310" s="2">
        <f t="shared" si="41"/>
        <v>8</v>
      </c>
      <c r="E1310" t="s">
        <v>13</v>
      </c>
      <c r="F1310" t="s">
        <v>14</v>
      </c>
      <c r="G1310" t="s">
        <v>15</v>
      </c>
      <c r="H1310" s="2">
        <v>94168</v>
      </c>
      <c r="I1310" s="2">
        <v>8</v>
      </c>
      <c r="J1310" s="2">
        <v>73465</v>
      </c>
      <c r="K1310" s="2">
        <v>52097</v>
      </c>
      <c r="L1310" s="2">
        <v>13</v>
      </c>
      <c r="M1310" t="str">
        <f>IF(Revv_bike_sales_data[[#This Row],[delivery_days]]&lt;=7, "Yes", "No")</f>
        <v>No</v>
      </c>
      <c r="N1310" t="s">
        <v>16</v>
      </c>
      <c r="O1310" s="2">
        <v>21368</v>
      </c>
    </row>
    <row r="1311" spans="1:15" x14ac:dyDescent="0.3">
      <c r="A1311" s="2">
        <v>1301</v>
      </c>
      <c r="B1311" s="1">
        <v>44981.166666666664</v>
      </c>
      <c r="C1311" s="1" t="str">
        <f t="shared" si="40"/>
        <v>02-2023</v>
      </c>
      <c r="D1311" s="2">
        <f t="shared" si="41"/>
        <v>8</v>
      </c>
      <c r="E1311" t="s">
        <v>17</v>
      </c>
      <c r="F1311" t="s">
        <v>14</v>
      </c>
      <c r="G1311" t="s">
        <v>15</v>
      </c>
      <c r="H1311" s="2">
        <v>67115</v>
      </c>
      <c r="I1311" s="2">
        <v>5</v>
      </c>
      <c r="J1311" s="2">
        <v>115027</v>
      </c>
      <c r="K1311" s="2">
        <v>136403</v>
      </c>
      <c r="L1311" s="2">
        <v>11</v>
      </c>
      <c r="M1311" t="str">
        <f>IF(Revv_bike_sales_data[[#This Row],[delivery_days]]&lt;=7, "Yes", "No")</f>
        <v>No</v>
      </c>
      <c r="N1311" t="s">
        <v>16</v>
      </c>
      <c r="O1311" s="2">
        <v>-21376</v>
      </c>
    </row>
    <row r="1312" spans="1:15" x14ac:dyDescent="0.3">
      <c r="A1312" s="2">
        <v>1302</v>
      </c>
      <c r="B1312" s="1">
        <v>44981.208333333336</v>
      </c>
      <c r="C1312" s="1" t="str">
        <f t="shared" si="40"/>
        <v>02-2023</v>
      </c>
      <c r="D1312" s="2">
        <f t="shared" si="41"/>
        <v>8</v>
      </c>
      <c r="E1312" t="s">
        <v>22</v>
      </c>
      <c r="F1312" t="s">
        <v>14</v>
      </c>
      <c r="G1312" t="s">
        <v>21</v>
      </c>
      <c r="H1312" s="2">
        <v>95693</v>
      </c>
      <c r="I1312" s="2">
        <v>3</v>
      </c>
      <c r="J1312" s="2">
        <v>75528</v>
      </c>
      <c r="K1312" s="2">
        <v>49245</v>
      </c>
      <c r="L1312" s="2">
        <v>11</v>
      </c>
      <c r="M1312" t="str">
        <f>IF(Revv_bike_sales_data[[#This Row],[delivery_days]]&lt;=7, "Yes", "No")</f>
        <v>No</v>
      </c>
      <c r="N1312" t="s">
        <v>16</v>
      </c>
      <c r="O1312" s="2">
        <v>26283</v>
      </c>
    </row>
    <row r="1313" spans="1:15" x14ac:dyDescent="0.3">
      <c r="A1313" s="2">
        <v>1303</v>
      </c>
      <c r="B1313" s="1">
        <v>44981.25</v>
      </c>
      <c r="C1313" s="1" t="str">
        <f t="shared" si="40"/>
        <v>02-2023</v>
      </c>
      <c r="D1313" s="2">
        <f t="shared" si="41"/>
        <v>8</v>
      </c>
      <c r="E1313" t="s">
        <v>18</v>
      </c>
      <c r="F1313" t="s">
        <v>14</v>
      </c>
      <c r="G1313" t="s">
        <v>15</v>
      </c>
      <c r="H1313" s="2">
        <v>45778</v>
      </c>
      <c r="I1313" s="2">
        <v>3</v>
      </c>
      <c r="J1313" s="2">
        <v>61230</v>
      </c>
      <c r="K1313" s="2">
        <v>80211</v>
      </c>
      <c r="L1313" s="2">
        <v>14</v>
      </c>
      <c r="M1313" t="str">
        <f>IF(Revv_bike_sales_data[[#This Row],[delivery_days]]&lt;=7, "Yes", "No")</f>
        <v>No</v>
      </c>
      <c r="N1313" t="s">
        <v>24</v>
      </c>
      <c r="O1313" s="2">
        <v>-18981</v>
      </c>
    </row>
    <row r="1314" spans="1:15" x14ac:dyDescent="0.3">
      <c r="A1314" s="2">
        <v>1304</v>
      </c>
      <c r="B1314" s="1">
        <v>44981.291666666664</v>
      </c>
      <c r="C1314" s="1" t="str">
        <f t="shared" si="40"/>
        <v>02-2023</v>
      </c>
      <c r="D1314" s="2">
        <f t="shared" si="41"/>
        <v>8</v>
      </c>
      <c r="E1314" t="s">
        <v>17</v>
      </c>
      <c r="F1314" t="s">
        <v>14</v>
      </c>
      <c r="G1314" t="s">
        <v>15</v>
      </c>
      <c r="H1314" s="2">
        <v>98411</v>
      </c>
      <c r="I1314" s="2">
        <v>7</v>
      </c>
      <c r="J1314" s="2">
        <v>73242</v>
      </c>
      <c r="K1314" s="2">
        <v>69841</v>
      </c>
      <c r="L1314" s="2">
        <v>4</v>
      </c>
      <c r="M1314" t="str">
        <f>IF(Revv_bike_sales_data[[#This Row],[delivery_days]]&lt;=7, "Yes", "No")</f>
        <v>Yes</v>
      </c>
      <c r="N1314" t="s">
        <v>16</v>
      </c>
      <c r="O1314" s="2">
        <v>3401</v>
      </c>
    </row>
    <row r="1315" spans="1:15" x14ac:dyDescent="0.3">
      <c r="A1315" s="2">
        <v>1305</v>
      </c>
      <c r="B1315" s="1">
        <v>44981.333333333336</v>
      </c>
      <c r="C1315" s="1" t="str">
        <f t="shared" si="40"/>
        <v>02-2023</v>
      </c>
      <c r="D1315" s="2">
        <f t="shared" si="41"/>
        <v>8</v>
      </c>
      <c r="E1315" t="s">
        <v>18</v>
      </c>
      <c r="F1315" t="s">
        <v>14</v>
      </c>
      <c r="G1315" t="s">
        <v>20</v>
      </c>
      <c r="H1315" s="2">
        <v>90790</v>
      </c>
      <c r="I1315" s="2">
        <v>6</v>
      </c>
      <c r="J1315" s="2">
        <v>139688</v>
      </c>
      <c r="K1315" s="2">
        <v>40346</v>
      </c>
      <c r="L1315" s="2">
        <v>3</v>
      </c>
      <c r="M1315" t="str">
        <f>IF(Revv_bike_sales_data[[#This Row],[delivery_days]]&lt;=7, "Yes", "No")</f>
        <v>Yes</v>
      </c>
      <c r="N1315" t="s">
        <v>16</v>
      </c>
      <c r="O1315" s="2">
        <v>99342</v>
      </c>
    </row>
    <row r="1316" spans="1:15" x14ac:dyDescent="0.3">
      <c r="A1316" s="2">
        <v>1306</v>
      </c>
      <c r="B1316" s="1">
        <v>44981.375</v>
      </c>
      <c r="C1316" s="1" t="str">
        <f t="shared" si="40"/>
        <v>02-2023</v>
      </c>
      <c r="D1316" s="2">
        <f t="shared" si="41"/>
        <v>8</v>
      </c>
      <c r="E1316" t="s">
        <v>22</v>
      </c>
      <c r="F1316" t="s">
        <v>14</v>
      </c>
      <c r="G1316" t="s">
        <v>15</v>
      </c>
      <c r="H1316" s="2">
        <v>52499</v>
      </c>
      <c r="I1316" s="2">
        <v>0</v>
      </c>
      <c r="J1316" s="2">
        <v>26783</v>
      </c>
      <c r="K1316" s="2">
        <v>120633</v>
      </c>
      <c r="L1316" s="2">
        <v>7</v>
      </c>
      <c r="M1316" t="str">
        <f>IF(Revv_bike_sales_data[[#This Row],[delivery_days]]&lt;=7, "Yes", "No")</f>
        <v>Yes</v>
      </c>
      <c r="N1316" t="s">
        <v>16</v>
      </c>
      <c r="O1316" s="2">
        <v>-93850</v>
      </c>
    </row>
    <row r="1317" spans="1:15" x14ac:dyDescent="0.3">
      <c r="A1317" s="2">
        <v>1307</v>
      </c>
      <c r="B1317" s="1">
        <v>44981.416666666664</v>
      </c>
      <c r="C1317" s="1" t="str">
        <f t="shared" si="40"/>
        <v>02-2023</v>
      </c>
      <c r="D1317" s="2">
        <f t="shared" si="41"/>
        <v>8</v>
      </c>
      <c r="E1317" t="s">
        <v>13</v>
      </c>
      <c r="F1317" t="s">
        <v>14</v>
      </c>
      <c r="G1317" t="s">
        <v>19</v>
      </c>
      <c r="H1317" s="2">
        <v>31653</v>
      </c>
      <c r="I1317" s="2">
        <v>5</v>
      </c>
      <c r="J1317" s="2">
        <v>53390</v>
      </c>
      <c r="K1317" s="2">
        <v>86980</v>
      </c>
      <c r="L1317" s="2">
        <v>12</v>
      </c>
      <c r="M1317" t="str">
        <f>IF(Revv_bike_sales_data[[#This Row],[delivery_days]]&lt;=7, "Yes", "No")</f>
        <v>No</v>
      </c>
      <c r="N1317" t="s">
        <v>16</v>
      </c>
      <c r="O1317" s="2">
        <v>-33590</v>
      </c>
    </row>
    <row r="1318" spans="1:15" x14ac:dyDescent="0.3">
      <c r="A1318" s="2">
        <v>1308</v>
      </c>
      <c r="B1318" s="1">
        <v>44981.458333333336</v>
      </c>
      <c r="C1318" s="1" t="str">
        <f t="shared" si="40"/>
        <v>02-2023</v>
      </c>
      <c r="D1318" s="2">
        <f t="shared" si="41"/>
        <v>8</v>
      </c>
      <c r="E1318" t="s">
        <v>25</v>
      </c>
      <c r="F1318" t="s">
        <v>14</v>
      </c>
      <c r="G1318" t="s">
        <v>15</v>
      </c>
      <c r="H1318" s="2">
        <v>18844</v>
      </c>
      <c r="I1318" s="2">
        <v>7</v>
      </c>
      <c r="J1318" s="2">
        <v>164489</v>
      </c>
      <c r="K1318" s="2">
        <v>105417</v>
      </c>
      <c r="L1318" s="2">
        <v>13</v>
      </c>
      <c r="M1318" t="str">
        <f>IF(Revv_bike_sales_data[[#This Row],[delivery_days]]&lt;=7, "Yes", "No")</f>
        <v>No</v>
      </c>
      <c r="N1318" t="s">
        <v>16</v>
      </c>
      <c r="O1318" s="2">
        <v>59072</v>
      </c>
    </row>
    <row r="1319" spans="1:15" x14ac:dyDescent="0.3">
      <c r="A1319" s="2">
        <v>1309</v>
      </c>
      <c r="B1319" s="1">
        <v>44981.5</v>
      </c>
      <c r="C1319" s="1" t="str">
        <f t="shared" si="40"/>
        <v>02-2023</v>
      </c>
      <c r="D1319" s="2">
        <f t="shared" si="41"/>
        <v>8</v>
      </c>
      <c r="E1319" t="s">
        <v>13</v>
      </c>
      <c r="F1319" t="s">
        <v>14</v>
      </c>
      <c r="G1319" t="s">
        <v>21</v>
      </c>
      <c r="H1319" s="2">
        <v>38156</v>
      </c>
      <c r="I1319" s="2">
        <v>2</v>
      </c>
      <c r="J1319" s="2">
        <v>97102</v>
      </c>
      <c r="K1319" s="2">
        <v>64153</v>
      </c>
      <c r="L1319" s="2">
        <v>14</v>
      </c>
      <c r="M1319" t="str">
        <f>IF(Revv_bike_sales_data[[#This Row],[delivery_days]]&lt;=7, "Yes", "No")</f>
        <v>No</v>
      </c>
      <c r="N1319" t="s">
        <v>16</v>
      </c>
      <c r="O1319" s="2">
        <v>32949</v>
      </c>
    </row>
    <row r="1320" spans="1:15" x14ac:dyDescent="0.3">
      <c r="A1320" s="2">
        <v>1310</v>
      </c>
      <c r="B1320" s="1">
        <v>44981.541666666664</v>
      </c>
      <c r="C1320" s="1" t="str">
        <f t="shared" si="40"/>
        <v>02-2023</v>
      </c>
      <c r="D1320" s="2">
        <f t="shared" si="41"/>
        <v>8</v>
      </c>
      <c r="E1320" t="s">
        <v>17</v>
      </c>
      <c r="F1320" t="s">
        <v>14</v>
      </c>
      <c r="G1320" t="s">
        <v>20</v>
      </c>
      <c r="H1320" s="2">
        <v>71015</v>
      </c>
      <c r="I1320" s="2">
        <v>8</v>
      </c>
      <c r="J1320" s="2">
        <v>42426</v>
      </c>
      <c r="K1320" s="2">
        <v>105382</v>
      </c>
      <c r="L1320" s="2">
        <v>8</v>
      </c>
      <c r="M1320" t="str">
        <f>IF(Revv_bike_sales_data[[#This Row],[delivery_days]]&lt;=7, "Yes", "No")</f>
        <v>No</v>
      </c>
      <c r="N1320" t="s">
        <v>16</v>
      </c>
      <c r="O1320" s="2">
        <v>-62956</v>
      </c>
    </row>
    <row r="1321" spans="1:15" x14ac:dyDescent="0.3">
      <c r="A1321" s="2">
        <v>1311</v>
      </c>
      <c r="B1321" s="1">
        <v>44981.583333333336</v>
      </c>
      <c r="C1321" s="1" t="str">
        <f t="shared" si="40"/>
        <v>02-2023</v>
      </c>
      <c r="D1321" s="2">
        <f t="shared" si="41"/>
        <v>8</v>
      </c>
      <c r="E1321" t="s">
        <v>25</v>
      </c>
      <c r="F1321" t="s">
        <v>14</v>
      </c>
      <c r="G1321" t="s">
        <v>15</v>
      </c>
      <c r="H1321" s="2">
        <v>1712</v>
      </c>
      <c r="I1321" s="2">
        <v>9</v>
      </c>
      <c r="J1321" s="2">
        <v>55750</v>
      </c>
      <c r="K1321" s="2">
        <v>91942</v>
      </c>
      <c r="L1321" s="2">
        <v>7</v>
      </c>
      <c r="M1321" t="str">
        <f>IF(Revv_bike_sales_data[[#This Row],[delivery_days]]&lt;=7, "Yes", "No")</f>
        <v>Yes</v>
      </c>
      <c r="N1321" t="s">
        <v>16</v>
      </c>
      <c r="O1321" s="2">
        <v>-36192</v>
      </c>
    </row>
    <row r="1322" spans="1:15" x14ac:dyDescent="0.3">
      <c r="A1322" s="2">
        <v>1312</v>
      </c>
      <c r="B1322" s="1">
        <v>44981.625</v>
      </c>
      <c r="C1322" s="1" t="str">
        <f t="shared" si="40"/>
        <v>02-2023</v>
      </c>
      <c r="D1322" s="2">
        <f t="shared" si="41"/>
        <v>8</v>
      </c>
      <c r="E1322" t="s">
        <v>17</v>
      </c>
      <c r="F1322" t="s">
        <v>14</v>
      </c>
      <c r="G1322" t="s">
        <v>21</v>
      </c>
      <c r="H1322" s="2">
        <v>9501</v>
      </c>
      <c r="I1322" s="2">
        <v>1</v>
      </c>
      <c r="J1322" s="2">
        <v>83188</v>
      </c>
      <c r="K1322" s="2">
        <v>120147</v>
      </c>
      <c r="L1322" s="2">
        <v>1</v>
      </c>
      <c r="M1322" t="str">
        <f>IF(Revv_bike_sales_data[[#This Row],[delivery_days]]&lt;=7, "Yes", "No")</f>
        <v>Yes</v>
      </c>
      <c r="N1322" t="s">
        <v>16</v>
      </c>
      <c r="O1322" s="2">
        <v>-36959</v>
      </c>
    </row>
    <row r="1323" spans="1:15" x14ac:dyDescent="0.3">
      <c r="A1323" s="2">
        <v>1313</v>
      </c>
      <c r="B1323" s="1">
        <v>44981.666666666664</v>
      </c>
      <c r="C1323" s="1" t="str">
        <f t="shared" si="40"/>
        <v>02-2023</v>
      </c>
      <c r="D1323" s="2">
        <f t="shared" si="41"/>
        <v>8</v>
      </c>
      <c r="E1323" t="s">
        <v>22</v>
      </c>
      <c r="F1323" t="s">
        <v>23</v>
      </c>
      <c r="G1323" t="s">
        <v>19</v>
      </c>
      <c r="H1323" s="2">
        <v>79284</v>
      </c>
      <c r="I1323" s="2">
        <v>5</v>
      </c>
      <c r="J1323" s="2">
        <v>35872</v>
      </c>
      <c r="K1323" s="2">
        <v>105975</v>
      </c>
      <c r="L1323" s="2">
        <v>1</v>
      </c>
      <c r="M1323" t="str">
        <f>IF(Revv_bike_sales_data[[#This Row],[delivery_days]]&lt;=7, "Yes", "No")</f>
        <v>Yes</v>
      </c>
      <c r="N1323" t="s">
        <v>16</v>
      </c>
      <c r="O1323" s="2">
        <v>-70103</v>
      </c>
    </row>
    <row r="1324" spans="1:15" x14ac:dyDescent="0.3">
      <c r="A1324" s="2">
        <v>1314</v>
      </c>
      <c r="B1324" s="1">
        <v>44981.708333333336</v>
      </c>
      <c r="C1324" s="1" t="str">
        <f t="shared" si="40"/>
        <v>02-2023</v>
      </c>
      <c r="D1324" s="2">
        <f t="shared" si="41"/>
        <v>8</v>
      </c>
      <c r="E1324" t="s">
        <v>25</v>
      </c>
      <c r="F1324" t="s">
        <v>14</v>
      </c>
      <c r="G1324" t="s">
        <v>15</v>
      </c>
      <c r="H1324" s="2">
        <v>99223</v>
      </c>
      <c r="I1324" s="2">
        <v>0</v>
      </c>
      <c r="J1324" s="2">
        <v>119231</v>
      </c>
      <c r="K1324" s="2">
        <v>20972</v>
      </c>
      <c r="L1324" s="2">
        <v>13</v>
      </c>
      <c r="M1324" t="str">
        <f>IF(Revv_bike_sales_data[[#This Row],[delivery_days]]&lt;=7, "Yes", "No")</f>
        <v>No</v>
      </c>
      <c r="N1324" t="s">
        <v>16</v>
      </c>
      <c r="O1324" s="2">
        <v>98259</v>
      </c>
    </row>
    <row r="1325" spans="1:15" x14ac:dyDescent="0.3">
      <c r="A1325" s="2">
        <v>1315</v>
      </c>
      <c r="B1325" s="1">
        <v>44981.75</v>
      </c>
      <c r="C1325" s="1" t="str">
        <f t="shared" si="40"/>
        <v>02-2023</v>
      </c>
      <c r="D1325" s="2">
        <f t="shared" si="41"/>
        <v>8</v>
      </c>
      <c r="E1325" t="s">
        <v>17</v>
      </c>
      <c r="F1325" t="s">
        <v>14</v>
      </c>
      <c r="G1325" t="s">
        <v>20</v>
      </c>
      <c r="H1325" s="2">
        <v>81644</v>
      </c>
      <c r="I1325" s="2">
        <v>1</v>
      </c>
      <c r="J1325" s="2">
        <v>154860</v>
      </c>
      <c r="K1325" s="2">
        <v>63063</v>
      </c>
      <c r="L1325" s="2">
        <v>5</v>
      </c>
      <c r="M1325" t="str">
        <f>IF(Revv_bike_sales_data[[#This Row],[delivery_days]]&lt;=7, "Yes", "No")</f>
        <v>Yes</v>
      </c>
      <c r="N1325" t="s">
        <v>16</v>
      </c>
      <c r="O1325" s="2">
        <v>91797</v>
      </c>
    </row>
    <row r="1326" spans="1:15" x14ac:dyDescent="0.3">
      <c r="A1326" s="2">
        <v>1316</v>
      </c>
      <c r="B1326" s="1">
        <v>44981.791666666664</v>
      </c>
      <c r="C1326" s="1" t="str">
        <f t="shared" si="40"/>
        <v>02-2023</v>
      </c>
      <c r="D1326" s="2">
        <f t="shared" si="41"/>
        <v>8</v>
      </c>
      <c r="E1326" t="s">
        <v>22</v>
      </c>
      <c r="F1326" t="s">
        <v>14</v>
      </c>
      <c r="G1326" t="s">
        <v>15</v>
      </c>
      <c r="H1326" s="2">
        <v>36927</v>
      </c>
      <c r="I1326" s="2">
        <v>4</v>
      </c>
      <c r="J1326" s="2">
        <v>91770</v>
      </c>
      <c r="K1326" s="2">
        <v>80488</v>
      </c>
      <c r="L1326" s="2">
        <v>14</v>
      </c>
      <c r="M1326" t="str">
        <f>IF(Revv_bike_sales_data[[#This Row],[delivery_days]]&lt;=7, "Yes", "No")</f>
        <v>No</v>
      </c>
      <c r="N1326" t="s">
        <v>16</v>
      </c>
      <c r="O1326" s="2">
        <v>11282</v>
      </c>
    </row>
    <row r="1327" spans="1:15" x14ac:dyDescent="0.3">
      <c r="A1327" s="2">
        <v>1317</v>
      </c>
      <c r="B1327" s="1">
        <v>44981.833333333336</v>
      </c>
      <c r="C1327" s="1" t="str">
        <f t="shared" si="40"/>
        <v>02-2023</v>
      </c>
      <c r="D1327" s="2">
        <f t="shared" si="41"/>
        <v>8</v>
      </c>
      <c r="E1327" t="s">
        <v>13</v>
      </c>
      <c r="F1327" t="s">
        <v>14</v>
      </c>
      <c r="G1327" t="s">
        <v>21</v>
      </c>
      <c r="H1327" s="2">
        <v>31868</v>
      </c>
      <c r="I1327" s="2">
        <v>0</v>
      </c>
      <c r="J1327" s="2">
        <v>149158</v>
      </c>
      <c r="K1327" s="2">
        <v>72055</v>
      </c>
      <c r="L1327" s="2">
        <v>8</v>
      </c>
      <c r="M1327" t="str">
        <f>IF(Revv_bike_sales_data[[#This Row],[delivery_days]]&lt;=7, "Yes", "No")</f>
        <v>No</v>
      </c>
      <c r="N1327" t="s">
        <v>16</v>
      </c>
      <c r="O1327" s="2">
        <v>77103</v>
      </c>
    </row>
    <row r="1328" spans="1:15" x14ac:dyDescent="0.3">
      <c r="A1328" s="2">
        <v>1318</v>
      </c>
      <c r="B1328" s="1">
        <v>44981.875</v>
      </c>
      <c r="C1328" s="1" t="str">
        <f t="shared" si="40"/>
        <v>02-2023</v>
      </c>
      <c r="D1328" s="2">
        <f t="shared" si="41"/>
        <v>8</v>
      </c>
      <c r="E1328" t="s">
        <v>22</v>
      </c>
      <c r="F1328" t="s">
        <v>14</v>
      </c>
      <c r="G1328" t="s">
        <v>20</v>
      </c>
      <c r="H1328" s="2">
        <v>71319</v>
      </c>
      <c r="I1328" s="2">
        <v>7</v>
      </c>
      <c r="J1328" s="2">
        <v>108514</v>
      </c>
      <c r="K1328" s="2">
        <v>118409</v>
      </c>
      <c r="L1328" s="2">
        <v>14</v>
      </c>
      <c r="M1328" t="str">
        <f>IF(Revv_bike_sales_data[[#This Row],[delivery_days]]&lt;=7, "Yes", "No")</f>
        <v>No</v>
      </c>
      <c r="N1328" t="s">
        <v>24</v>
      </c>
      <c r="O1328" s="2">
        <v>-9895</v>
      </c>
    </row>
    <row r="1329" spans="1:15" x14ac:dyDescent="0.3">
      <c r="A1329" s="2">
        <v>1319</v>
      </c>
      <c r="B1329" s="1">
        <v>44981.916666666664</v>
      </c>
      <c r="C1329" s="1" t="str">
        <f t="shared" si="40"/>
        <v>02-2023</v>
      </c>
      <c r="D1329" s="2">
        <f t="shared" si="41"/>
        <v>8</v>
      </c>
      <c r="E1329" t="s">
        <v>18</v>
      </c>
      <c r="F1329" t="s">
        <v>14</v>
      </c>
      <c r="G1329" t="s">
        <v>15</v>
      </c>
      <c r="H1329" s="2">
        <v>61660</v>
      </c>
      <c r="I1329" s="2">
        <v>0</v>
      </c>
      <c r="J1329" s="2">
        <v>117663</v>
      </c>
      <c r="K1329" s="2">
        <v>79366</v>
      </c>
      <c r="L1329" s="2">
        <v>10</v>
      </c>
      <c r="M1329" t="str">
        <f>IF(Revv_bike_sales_data[[#This Row],[delivery_days]]&lt;=7, "Yes", "No")</f>
        <v>No</v>
      </c>
      <c r="N1329" t="s">
        <v>16</v>
      </c>
      <c r="O1329" s="2">
        <v>38297</v>
      </c>
    </row>
    <row r="1330" spans="1:15" x14ac:dyDescent="0.3">
      <c r="A1330" s="2">
        <v>1320</v>
      </c>
      <c r="B1330" s="1">
        <v>44981.958333333336</v>
      </c>
      <c r="C1330" s="1" t="str">
        <f t="shared" si="40"/>
        <v>02-2023</v>
      </c>
      <c r="D1330" s="2">
        <f t="shared" si="41"/>
        <v>8</v>
      </c>
      <c r="E1330" t="s">
        <v>22</v>
      </c>
      <c r="F1330" t="s">
        <v>14</v>
      </c>
      <c r="G1330" t="s">
        <v>19</v>
      </c>
      <c r="H1330" s="2">
        <v>26354</v>
      </c>
      <c r="I1330" s="2">
        <v>8</v>
      </c>
      <c r="J1330" s="2">
        <v>174151</v>
      </c>
      <c r="K1330" s="2">
        <v>25931</v>
      </c>
      <c r="L1330" s="2">
        <v>11</v>
      </c>
      <c r="M1330" t="str">
        <f>IF(Revv_bike_sales_data[[#This Row],[delivery_days]]&lt;=7, "Yes", "No")</f>
        <v>No</v>
      </c>
      <c r="N1330" t="s">
        <v>16</v>
      </c>
      <c r="O1330" s="2">
        <v>148220</v>
      </c>
    </row>
    <row r="1331" spans="1:15" x14ac:dyDescent="0.3">
      <c r="A1331" s="2">
        <v>1321</v>
      </c>
      <c r="B1331" s="1">
        <v>44982</v>
      </c>
      <c r="C1331" s="1" t="str">
        <f t="shared" si="40"/>
        <v>02-2023</v>
      </c>
      <c r="D1331" s="2">
        <f t="shared" si="41"/>
        <v>8</v>
      </c>
      <c r="E1331" t="s">
        <v>22</v>
      </c>
      <c r="F1331" t="s">
        <v>14</v>
      </c>
      <c r="G1331" t="s">
        <v>20</v>
      </c>
      <c r="H1331" s="2">
        <v>11215</v>
      </c>
      <c r="I1331" s="2">
        <v>9</v>
      </c>
      <c r="J1331" s="2">
        <v>173410</v>
      </c>
      <c r="K1331" s="2">
        <v>22702</v>
      </c>
      <c r="L1331" s="2">
        <v>3</v>
      </c>
      <c r="M1331" t="str">
        <f>IF(Revv_bike_sales_data[[#This Row],[delivery_days]]&lt;=7, "Yes", "No")</f>
        <v>Yes</v>
      </c>
      <c r="N1331" t="s">
        <v>16</v>
      </c>
      <c r="O1331" s="2">
        <v>150708</v>
      </c>
    </row>
    <row r="1332" spans="1:15" x14ac:dyDescent="0.3">
      <c r="A1332" s="2">
        <v>1322</v>
      </c>
      <c r="B1332" s="1">
        <v>44982.041666666664</v>
      </c>
      <c r="C1332" s="1" t="str">
        <f t="shared" si="40"/>
        <v>02-2023</v>
      </c>
      <c r="D1332" s="2">
        <f t="shared" si="41"/>
        <v>8</v>
      </c>
      <c r="E1332" t="s">
        <v>18</v>
      </c>
      <c r="F1332" t="s">
        <v>14</v>
      </c>
      <c r="G1332" t="s">
        <v>19</v>
      </c>
      <c r="H1332" s="2">
        <v>82201</v>
      </c>
      <c r="I1332" s="2">
        <v>2</v>
      </c>
      <c r="J1332" s="2">
        <v>159363</v>
      </c>
      <c r="K1332" s="2">
        <v>99834</v>
      </c>
      <c r="L1332" s="2">
        <v>8</v>
      </c>
      <c r="M1332" t="str">
        <f>IF(Revv_bike_sales_data[[#This Row],[delivery_days]]&lt;=7, "Yes", "No")</f>
        <v>No</v>
      </c>
      <c r="N1332" t="s">
        <v>16</v>
      </c>
      <c r="O1332" s="2">
        <v>59529</v>
      </c>
    </row>
    <row r="1333" spans="1:15" x14ac:dyDescent="0.3">
      <c r="A1333" s="2">
        <v>1323</v>
      </c>
      <c r="B1333" s="1">
        <v>44982.083333333336</v>
      </c>
      <c r="C1333" s="1" t="str">
        <f t="shared" si="40"/>
        <v>02-2023</v>
      </c>
      <c r="D1333" s="2">
        <f t="shared" si="41"/>
        <v>8</v>
      </c>
      <c r="E1333" t="s">
        <v>17</v>
      </c>
      <c r="F1333" t="s">
        <v>23</v>
      </c>
      <c r="G1333" t="s">
        <v>21</v>
      </c>
      <c r="H1333" s="2">
        <v>59284</v>
      </c>
      <c r="I1333" s="2">
        <v>1</v>
      </c>
      <c r="J1333" s="2">
        <v>137808</v>
      </c>
      <c r="K1333" s="2">
        <v>36540</v>
      </c>
      <c r="L1333" s="2">
        <v>3</v>
      </c>
      <c r="M1333" t="str">
        <f>IF(Revv_bike_sales_data[[#This Row],[delivery_days]]&lt;=7, "Yes", "No")</f>
        <v>Yes</v>
      </c>
      <c r="N1333" t="s">
        <v>16</v>
      </c>
      <c r="O1333" s="2">
        <v>101268</v>
      </c>
    </row>
    <row r="1334" spans="1:15" x14ac:dyDescent="0.3">
      <c r="A1334" s="2">
        <v>1324</v>
      </c>
      <c r="B1334" s="1">
        <v>44982.125</v>
      </c>
      <c r="C1334" s="1" t="str">
        <f t="shared" si="40"/>
        <v>02-2023</v>
      </c>
      <c r="D1334" s="2">
        <f t="shared" si="41"/>
        <v>8</v>
      </c>
      <c r="E1334" t="s">
        <v>17</v>
      </c>
      <c r="F1334" t="s">
        <v>14</v>
      </c>
      <c r="G1334" t="s">
        <v>15</v>
      </c>
      <c r="H1334" s="2">
        <v>27297</v>
      </c>
      <c r="I1334" s="2">
        <v>0</v>
      </c>
      <c r="J1334" s="2">
        <v>135091</v>
      </c>
      <c r="K1334" s="2">
        <v>72450</v>
      </c>
      <c r="L1334" s="2">
        <v>4</v>
      </c>
      <c r="M1334" t="str">
        <f>IF(Revv_bike_sales_data[[#This Row],[delivery_days]]&lt;=7, "Yes", "No")</f>
        <v>Yes</v>
      </c>
      <c r="N1334" t="s">
        <v>16</v>
      </c>
      <c r="O1334" s="2">
        <v>62641</v>
      </c>
    </row>
    <row r="1335" spans="1:15" x14ac:dyDescent="0.3">
      <c r="A1335" s="2">
        <v>1325</v>
      </c>
      <c r="B1335" s="1">
        <v>44982.166666666664</v>
      </c>
      <c r="C1335" s="1" t="str">
        <f t="shared" si="40"/>
        <v>02-2023</v>
      </c>
      <c r="D1335" s="2">
        <f t="shared" si="41"/>
        <v>8</v>
      </c>
      <c r="E1335" t="s">
        <v>22</v>
      </c>
      <c r="F1335" t="s">
        <v>23</v>
      </c>
      <c r="G1335" t="s">
        <v>19</v>
      </c>
      <c r="H1335" s="2">
        <v>48073</v>
      </c>
      <c r="I1335" s="2">
        <v>8</v>
      </c>
      <c r="J1335" s="2">
        <v>124272</v>
      </c>
      <c r="K1335" s="2">
        <v>112576</v>
      </c>
      <c r="L1335" s="2">
        <v>10</v>
      </c>
      <c r="M1335" t="str">
        <f>IF(Revv_bike_sales_data[[#This Row],[delivery_days]]&lt;=7, "Yes", "No")</f>
        <v>No</v>
      </c>
      <c r="N1335" t="s">
        <v>16</v>
      </c>
      <c r="O1335" s="2">
        <v>11696</v>
      </c>
    </row>
    <row r="1336" spans="1:15" x14ac:dyDescent="0.3">
      <c r="A1336" s="2">
        <v>1326</v>
      </c>
      <c r="B1336" s="1">
        <v>44982.208333333336</v>
      </c>
      <c r="C1336" s="1" t="str">
        <f t="shared" si="40"/>
        <v>02-2023</v>
      </c>
      <c r="D1336" s="2">
        <f t="shared" si="41"/>
        <v>8</v>
      </c>
      <c r="E1336" t="s">
        <v>18</v>
      </c>
      <c r="F1336" t="s">
        <v>14</v>
      </c>
      <c r="G1336" t="s">
        <v>21</v>
      </c>
      <c r="H1336" s="2">
        <v>76620</v>
      </c>
      <c r="I1336" s="2">
        <v>3</v>
      </c>
      <c r="J1336" s="2">
        <v>74393</v>
      </c>
      <c r="K1336" s="2">
        <v>80252</v>
      </c>
      <c r="L1336" s="2">
        <v>7</v>
      </c>
      <c r="M1336" t="str">
        <f>IF(Revv_bike_sales_data[[#This Row],[delivery_days]]&lt;=7, "Yes", "No")</f>
        <v>Yes</v>
      </c>
      <c r="N1336" t="s">
        <v>16</v>
      </c>
      <c r="O1336" s="2">
        <v>-5859</v>
      </c>
    </row>
    <row r="1337" spans="1:15" x14ac:dyDescent="0.3">
      <c r="A1337" s="2">
        <v>1327</v>
      </c>
      <c r="B1337" s="1">
        <v>44982.25</v>
      </c>
      <c r="C1337" s="1" t="str">
        <f t="shared" si="40"/>
        <v>02-2023</v>
      </c>
      <c r="D1337" s="2">
        <f t="shared" si="41"/>
        <v>8</v>
      </c>
      <c r="E1337" t="s">
        <v>18</v>
      </c>
      <c r="F1337" t="s">
        <v>14</v>
      </c>
      <c r="G1337" t="s">
        <v>15</v>
      </c>
      <c r="H1337" s="2">
        <v>15280</v>
      </c>
      <c r="I1337" s="2">
        <v>0</v>
      </c>
      <c r="J1337" s="2">
        <v>118558</v>
      </c>
      <c r="K1337" s="2">
        <v>61904</v>
      </c>
      <c r="L1337" s="2">
        <v>3</v>
      </c>
      <c r="M1337" t="str">
        <f>IF(Revv_bike_sales_data[[#This Row],[delivery_days]]&lt;=7, "Yes", "No")</f>
        <v>Yes</v>
      </c>
      <c r="N1337" t="s">
        <v>16</v>
      </c>
      <c r="O1337" s="2">
        <v>56654</v>
      </c>
    </row>
    <row r="1338" spans="1:15" x14ac:dyDescent="0.3">
      <c r="A1338" s="2">
        <v>1328</v>
      </c>
      <c r="B1338" s="1">
        <v>44982.291666666664</v>
      </c>
      <c r="C1338" s="1" t="str">
        <f t="shared" si="40"/>
        <v>02-2023</v>
      </c>
      <c r="D1338" s="2">
        <f t="shared" si="41"/>
        <v>8</v>
      </c>
      <c r="E1338" t="s">
        <v>13</v>
      </c>
      <c r="F1338" t="s">
        <v>14</v>
      </c>
      <c r="G1338" t="s">
        <v>21</v>
      </c>
      <c r="H1338" s="2">
        <v>38405</v>
      </c>
      <c r="I1338" s="2">
        <v>0</v>
      </c>
      <c r="J1338" s="2">
        <v>94770</v>
      </c>
      <c r="K1338" s="2">
        <v>67320</v>
      </c>
      <c r="L1338" s="2">
        <v>4</v>
      </c>
      <c r="M1338" t="str">
        <f>IF(Revv_bike_sales_data[[#This Row],[delivery_days]]&lt;=7, "Yes", "No")</f>
        <v>Yes</v>
      </c>
      <c r="N1338" t="s">
        <v>16</v>
      </c>
      <c r="O1338" s="2">
        <v>27450</v>
      </c>
    </row>
    <row r="1339" spans="1:15" x14ac:dyDescent="0.3">
      <c r="A1339" s="2">
        <v>1329</v>
      </c>
      <c r="B1339" s="1">
        <v>44982.333333333336</v>
      </c>
      <c r="C1339" s="1" t="str">
        <f t="shared" si="40"/>
        <v>02-2023</v>
      </c>
      <c r="D1339" s="2">
        <f t="shared" si="41"/>
        <v>8</v>
      </c>
      <c r="E1339" t="s">
        <v>17</v>
      </c>
      <c r="F1339" t="s">
        <v>14</v>
      </c>
      <c r="G1339" t="s">
        <v>19</v>
      </c>
      <c r="H1339" s="2">
        <v>22073</v>
      </c>
      <c r="I1339" s="2">
        <v>6</v>
      </c>
      <c r="J1339" s="2">
        <v>51720</v>
      </c>
      <c r="K1339" s="2">
        <v>46000</v>
      </c>
      <c r="L1339" s="2">
        <v>8</v>
      </c>
      <c r="M1339" t="str">
        <f>IF(Revv_bike_sales_data[[#This Row],[delivery_days]]&lt;=7, "Yes", "No")</f>
        <v>No</v>
      </c>
      <c r="N1339" t="s">
        <v>16</v>
      </c>
      <c r="O1339" s="2">
        <v>5720</v>
      </c>
    </row>
    <row r="1340" spans="1:15" x14ac:dyDescent="0.3">
      <c r="A1340" s="2">
        <v>1330</v>
      </c>
      <c r="B1340" s="1">
        <v>44982.375</v>
      </c>
      <c r="C1340" s="1" t="str">
        <f t="shared" si="40"/>
        <v>02-2023</v>
      </c>
      <c r="D1340" s="2">
        <f t="shared" si="41"/>
        <v>8</v>
      </c>
      <c r="E1340" t="s">
        <v>25</v>
      </c>
      <c r="F1340" t="s">
        <v>14</v>
      </c>
      <c r="G1340" t="s">
        <v>21</v>
      </c>
      <c r="H1340" s="2">
        <v>33859</v>
      </c>
      <c r="I1340" s="2">
        <v>1</v>
      </c>
      <c r="J1340" s="2">
        <v>38368</v>
      </c>
      <c r="K1340" s="2">
        <v>110341</v>
      </c>
      <c r="L1340" s="2">
        <v>4</v>
      </c>
      <c r="M1340" t="str">
        <f>IF(Revv_bike_sales_data[[#This Row],[delivery_days]]&lt;=7, "Yes", "No")</f>
        <v>Yes</v>
      </c>
      <c r="N1340" t="s">
        <v>16</v>
      </c>
      <c r="O1340" s="2">
        <v>-71973</v>
      </c>
    </row>
    <row r="1341" spans="1:15" x14ac:dyDescent="0.3">
      <c r="A1341" s="2">
        <v>1331</v>
      </c>
      <c r="B1341" s="1">
        <v>44982.416666666664</v>
      </c>
      <c r="C1341" s="1" t="str">
        <f t="shared" si="40"/>
        <v>02-2023</v>
      </c>
      <c r="D1341" s="2">
        <f t="shared" si="41"/>
        <v>8</v>
      </c>
      <c r="E1341" t="s">
        <v>17</v>
      </c>
      <c r="F1341" t="s">
        <v>23</v>
      </c>
      <c r="G1341" t="s">
        <v>20</v>
      </c>
      <c r="H1341" s="2">
        <v>66562</v>
      </c>
      <c r="I1341" s="2">
        <v>6</v>
      </c>
      <c r="J1341" s="2">
        <v>72969</v>
      </c>
      <c r="K1341" s="2">
        <v>17599</v>
      </c>
      <c r="L1341" s="2">
        <v>9</v>
      </c>
      <c r="M1341" t="str">
        <f>IF(Revv_bike_sales_data[[#This Row],[delivery_days]]&lt;=7, "Yes", "No")</f>
        <v>No</v>
      </c>
      <c r="N1341" t="s">
        <v>16</v>
      </c>
      <c r="O1341" s="2">
        <v>55370</v>
      </c>
    </row>
    <row r="1342" spans="1:15" x14ac:dyDescent="0.3">
      <c r="A1342" s="2">
        <v>1332</v>
      </c>
      <c r="B1342" s="1">
        <v>44982.458333333336</v>
      </c>
      <c r="C1342" s="1" t="str">
        <f t="shared" si="40"/>
        <v>02-2023</v>
      </c>
      <c r="D1342" s="2">
        <f t="shared" si="41"/>
        <v>8</v>
      </c>
      <c r="E1342" t="s">
        <v>17</v>
      </c>
      <c r="F1342" t="s">
        <v>23</v>
      </c>
      <c r="G1342" t="s">
        <v>15</v>
      </c>
      <c r="H1342" s="2">
        <v>73891</v>
      </c>
      <c r="I1342" s="2">
        <v>6</v>
      </c>
      <c r="J1342" s="2">
        <v>73838</v>
      </c>
      <c r="K1342" s="2">
        <v>102636</v>
      </c>
      <c r="L1342" s="2">
        <v>4</v>
      </c>
      <c r="M1342" t="str">
        <f>IF(Revv_bike_sales_data[[#This Row],[delivery_days]]&lt;=7, "Yes", "No")</f>
        <v>Yes</v>
      </c>
      <c r="N1342" t="s">
        <v>16</v>
      </c>
      <c r="O1342" s="2">
        <v>-28798</v>
      </c>
    </row>
    <row r="1343" spans="1:15" x14ac:dyDescent="0.3">
      <c r="A1343" s="2">
        <v>1333</v>
      </c>
      <c r="B1343" s="1">
        <v>44982.5</v>
      </c>
      <c r="C1343" s="1" t="str">
        <f t="shared" si="40"/>
        <v>02-2023</v>
      </c>
      <c r="D1343" s="2">
        <f t="shared" si="41"/>
        <v>8</v>
      </c>
      <c r="E1343" t="s">
        <v>13</v>
      </c>
      <c r="F1343" t="s">
        <v>14</v>
      </c>
      <c r="G1343" t="s">
        <v>21</v>
      </c>
      <c r="H1343" s="2">
        <v>43963</v>
      </c>
      <c r="I1343" s="2">
        <v>9</v>
      </c>
      <c r="J1343" s="2">
        <v>33734</v>
      </c>
      <c r="K1343" s="2">
        <v>111045</v>
      </c>
      <c r="L1343" s="2">
        <v>13</v>
      </c>
      <c r="M1343" t="str">
        <f>IF(Revv_bike_sales_data[[#This Row],[delivery_days]]&lt;=7, "Yes", "No")</f>
        <v>No</v>
      </c>
      <c r="N1343" t="s">
        <v>16</v>
      </c>
      <c r="O1343" s="2">
        <v>-77311</v>
      </c>
    </row>
    <row r="1344" spans="1:15" x14ac:dyDescent="0.3">
      <c r="A1344" s="2">
        <v>1334</v>
      </c>
      <c r="B1344" s="1">
        <v>44982.541666666664</v>
      </c>
      <c r="C1344" s="1" t="str">
        <f t="shared" si="40"/>
        <v>02-2023</v>
      </c>
      <c r="D1344" s="2">
        <f t="shared" si="41"/>
        <v>8</v>
      </c>
      <c r="E1344" t="s">
        <v>25</v>
      </c>
      <c r="F1344" t="s">
        <v>14</v>
      </c>
      <c r="G1344" t="s">
        <v>19</v>
      </c>
      <c r="H1344" s="2">
        <v>95518</v>
      </c>
      <c r="I1344" s="2">
        <v>8</v>
      </c>
      <c r="J1344" s="2">
        <v>132187</v>
      </c>
      <c r="K1344" s="2">
        <v>115539</v>
      </c>
      <c r="L1344" s="2">
        <v>14</v>
      </c>
      <c r="M1344" t="str">
        <f>IF(Revv_bike_sales_data[[#This Row],[delivery_days]]&lt;=7, "Yes", "No")</f>
        <v>No</v>
      </c>
      <c r="N1344" t="s">
        <v>16</v>
      </c>
      <c r="O1344" s="2">
        <v>16648</v>
      </c>
    </row>
    <row r="1345" spans="1:15" x14ac:dyDescent="0.3">
      <c r="A1345" s="2">
        <v>1335</v>
      </c>
      <c r="B1345" s="1">
        <v>44982.583333333336</v>
      </c>
      <c r="C1345" s="1" t="str">
        <f t="shared" si="40"/>
        <v>02-2023</v>
      </c>
      <c r="D1345" s="2">
        <f t="shared" si="41"/>
        <v>8</v>
      </c>
      <c r="E1345" t="s">
        <v>13</v>
      </c>
      <c r="F1345" t="s">
        <v>14</v>
      </c>
      <c r="G1345" t="s">
        <v>15</v>
      </c>
      <c r="H1345" s="2">
        <v>17071</v>
      </c>
      <c r="I1345" s="2">
        <v>6</v>
      </c>
      <c r="J1345" s="2">
        <v>124329</v>
      </c>
      <c r="K1345" s="2">
        <v>99719</v>
      </c>
      <c r="L1345" s="2">
        <v>4</v>
      </c>
      <c r="M1345" t="str">
        <f>IF(Revv_bike_sales_data[[#This Row],[delivery_days]]&lt;=7, "Yes", "No")</f>
        <v>Yes</v>
      </c>
      <c r="N1345" t="s">
        <v>16</v>
      </c>
      <c r="O1345" s="2">
        <v>24610</v>
      </c>
    </row>
    <row r="1346" spans="1:15" x14ac:dyDescent="0.3">
      <c r="A1346" s="2">
        <v>1336</v>
      </c>
      <c r="B1346" s="1">
        <v>44982.625</v>
      </c>
      <c r="C1346" s="1" t="str">
        <f t="shared" si="40"/>
        <v>02-2023</v>
      </c>
      <c r="D1346" s="2">
        <f t="shared" si="41"/>
        <v>8</v>
      </c>
      <c r="E1346" t="s">
        <v>25</v>
      </c>
      <c r="F1346" t="s">
        <v>23</v>
      </c>
      <c r="G1346" t="s">
        <v>20</v>
      </c>
      <c r="H1346" s="2">
        <v>97776</v>
      </c>
      <c r="I1346" s="2">
        <v>0</v>
      </c>
      <c r="J1346" s="2">
        <v>168269</v>
      </c>
      <c r="K1346" s="2">
        <v>71165</v>
      </c>
      <c r="L1346" s="2">
        <v>13</v>
      </c>
      <c r="M1346" t="str">
        <f>IF(Revv_bike_sales_data[[#This Row],[delivery_days]]&lt;=7, "Yes", "No")</f>
        <v>No</v>
      </c>
      <c r="N1346" t="s">
        <v>16</v>
      </c>
      <c r="O1346" s="2">
        <v>97104</v>
      </c>
    </row>
    <row r="1347" spans="1:15" x14ac:dyDescent="0.3">
      <c r="A1347" s="2">
        <v>1337</v>
      </c>
      <c r="B1347" s="1">
        <v>44982.666666666664</v>
      </c>
      <c r="C1347" s="1" t="str">
        <f t="shared" si="40"/>
        <v>02-2023</v>
      </c>
      <c r="D1347" s="2">
        <f t="shared" si="41"/>
        <v>8</v>
      </c>
      <c r="E1347" t="s">
        <v>22</v>
      </c>
      <c r="F1347" t="s">
        <v>14</v>
      </c>
      <c r="G1347" t="s">
        <v>15</v>
      </c>
      <c r="H1347" s="2">
        <v>19642</v>
      </c>
      <c r="I1347" s="2">
        <v>7</v>
      </c>
      <c r="J1347" s="2">
        <v>93895</v>
      </c>
      <c r="K1347" s="2">
        <v>73855</v>
      </c>
      <c r="L1347" s="2">
        <v>5</v>
      </c>
      <c r="M1347" t="str">
        <f>IF(Revv_bike_sales_data[[#This Row],[delivery_days]]&lt;=7, "Yes", "No")</f>
        <v>Yes</v>
      </c>
      <c r="N1347" t="s">
        <v>16</v>
      </c>
      <c r="O1347" s="2">
        <v>20040</v>
      </c>
    </row>
    <row r="1348" spans="1:15" x14ac:dyDescent="0.3">
      <c r="A1348" s="2">
        <v>1338</v>
      </c>
      <c r="B1348" s="1">
        <v>44982.708333333336</v>
      </c>
      <c r="C1348" s="1" t="str">
        <f t="shared" si="40"/>
        <v>02-2023</v>
      </c>
      <c r="D1348" s="2">
        <f t="shared" si="41"/>
        <v>8</v>
      </c>
      <c r="E1348" t="s">
        <v>25</v>
      </c>
      <c r="F1348" t="s">
        <v>14</v>
      </c>
      <c r="G1348" t="s">
        <v>20</v>
      </c>
      <c r="H1348" s="2">
        <v>25604</v>
      </c>
      <c r="I1348" s="2">
        <v>7</v>
      </c>
      <c r="J1348" s="2">
        <v>145424</v>
      </c>
      <c r="K1348" s="2">
        <v>118777</v>
      </c>
      <c r="L1348" s="2">
        <v>1</v>
      </c>
      <c r="M1348" t="str">
        <f>IF(Revv_bike_sales_data[[#This Row],[delivery_days]]&lt;=7, "Yes", "No")</f>
        <v>Yes</v>
      </c>
      <c r="N1348" t="s">
        <v>16</v>
      </c>
      <c r="O1348" s="2">
        <v>26647</v>
      </c>
    </row>
    <row r="1349" spans="1:15" x14ac:dyDescent="0.3">
      <c r="A1349" s="2">
        <v>1339</v>
      </c>
      <c r="B1349" s="1">
        <v>44982.75</v>
      </c>
      <c r="C1349" s="1" t="str">
        <f t="shared" si="40"/>
        <v>02-2023</v>
      </c>
      <c r="D1349" s="2">
        <f t="shared" si="41"/>
        <v>8</v>
      </c>
      <c r="E1349" t="s">
        <v>13</v>
      </c>
      <c r="F1349" t="s">
        <v>14</v>
      </c>
      <c r="G1349" t="s">
        <v>15</v>
      </c>
      <c r="H1349" s="2">
        <v>9125</v>
      </c>
      <c r="I1349" s="2">
        <v>3</v>
      </c>
      <c r="J1349" s="2">
        <v>126255</v>
      </c>
      <c r="K1349" s="2">
        <v>15018</v>
      </c>
      <c r="L1349" s="2">
        <v>7</v>
      </c>
      <c r="M1349" t="str">
        <f>IF(Revv_bike_sales_data[[#This Row],[delivery_days]]&lt;=7, "Yes", "No")</f>
        <v>Yes</v>
      </c>
      <c r="N1349" t="s">
        <v>16</v>
      </c>
      <c r="O1349" s="2">
        <v>111237</v>
      </c>
    </row>
    <row r="1350" spans="1:15" x14ac:dyDescent="0.3">
      <c r="A1350" s="2">
        <v>1340</v>
      </c>
      <c r="B1350" s="1">
        <v>44982.791666666664</v>
      </c>
      <c r="C1350" s="1" t="str">
        <f t="shared" si="40"/>
        <v>02-2023</v>
      </c>
      <c r="D1350" s="2">
        <f t="shared" si="41"/>
        <v>8</v>
      </c>
      <c r="E1350" t="s">
        <v>17</v>
      </c>
      <c r="F1350" t="s">
        <v>14</v>
      </c>
      <c r="G1350" t="s">
        <v>21</v>
      </c>
      <c r="H1350" s="2">
        <v>39699</v>
      </c>
      <c r="I1350" s="2">
        <v>7</v>
      </c>
      <c r="J1350" s="2">
        <v>83073</v>
      </c>
      <c r="K1350" s="2">
        <v>15858</v>
      </c>
      <c r="L1350" s="2">
        <v>9</v>
      </c>
      <c r="M1350" t="str">
        <f>IF(Revv_bike_sales_data[[#This Row],[delivery_days]]&lt;=7, "Yes", "No")</f>
        <v>No</v>
      </c>
      <c r="N1350" t="s">
        <v>16</v>
      </c>
      <c r="O1350" s="2">
        <v>67215</v>
      </c>
    </row>
    <row r="1351" spans="1:15" x14ac:dyDescent="0.3">
      <c r="A1351" s="2">
        <v>1341</v>
      </c>
      <c r="B1351" s="1">
        <v>44982.833333333336</v>
      </c>
      <c r="C1351" s="1" t="str">
        <f t="shared" si="40"/>
        <v>02-2023</v>
      </c>
      <c r="D1351" s="2">
        <f t="shared" si="41"/>
        <v>8</v>
      </c>
      <c r="E1351" t="s">
        <v>25</v>
      </c>
      <c r="F1351" t="s">
        <v>23</v>
      </c>
      <c r="G1351" t="s">
        <v>21</v>
      </c>
      <c r="H1351" s="2">
        <v>16426</v>
      </c>
      <c r="I1351" s="2">
        <v>3</v>
      </c>
      <c r="J1351" s="2">
        <v>40624</v>
      </c>
      <c r="K1351" s="2">
        <v>40992</v>
      </c>
      <c r="L1351" s="2">
        <v>12</v>
      </c>
      <c r="M1351" t="str">
        <f>IF(Revv_bike_sales_data[[#This Row],[delivery_days]]&lt;=7, "Yes", "No")</f>
        <v>No</v>
      </c>
      <c r="N1351" t="s">
        <v>16</v>
      </c>
      <c r="O1351" s="2">
        <v>-368</v>
      </c>
    </row>
    <row r="1352" spans="1:15" x14ac:dyDescent="0.3">
      <c r="A1352" s="2">
        <v>1342</v>
      </c>
      <c r="B1352" s="1">
        <v>44982.875</v>
      </c>
      <c r="C1352" s="1" t="str">
        <f t="shared" si="40"/>
        <v>02-2023</v>
      </c>
      <c r="D1352" s="2">
        <f t="shared" si="41"/>
        <v>8</v>
      </c>
      <c r="E1352" t="s">
        <v>25</v>
      </c>
      <c r="F1352" t="s">
        <v>14</v>
      </c>
      <c r="G1352" t="s">
        <v>19</v>
      </c>
      <c r="H1352" s="2">
        <v>31718</v>
      </c>
      <c r="I1352" s="2">
        <v>7</v>
      </c>
      <c r="J1352" s="2">
        <v>49315</v>
      </c>
      <c r="K1352" s="2">
        <v>47580</v>
      </c>
      <c r="L1352" s="2">
        <v>9</v>
      </c>
      <c r="M1352" t="str">
        <f>IF(Revv_bike_sales_data[[#This Row],[delivery_days]]&lt;=7, "Yes", "No")</f>
        <v>No</v>
      </c>
      <c r="N1352" t="s">
        <v>16</v>
      </c>
      <c r="O1352" s="2">
        <v>1735</v>
      </c>
    </row>
    <row r="1353" spans="1:15" x14ac:dyDescent="0.3">
      <c r="A1353" s="2">
        <v>1343</v>
      </c>
      <c r="B1353" s="1">
        <v>44982.916666666664</v>
      </c>
      <c r="C1353" s="1" t="str">
        <f t="shared" si="40"/>
        <v>02-2023</v>
      </c>
      <c r="D1353" s="2">
        <f t="shared" si="41"/>
        <v>8</v>
      </c>
      <c r="E1353" t="s">
        <v>18</v>
      </c>
      <c r="F1353" t="s">
        <v>14</v>
      </c>
      <c r="G1353" t="s">
        <v>20</v>
      </c>
      <c r="H1353" s="2">
        <v>44972</v>
      </c>
      <c r="I1353" s="2">
        <v>4</v>
      </c>
      <c r="J1353" s="2">
        <v>42422</v>
      </c>
      <c r="K1353" s="2">
        <v>85916</v>
      </c>
      <c r="L1353" s="2">
        <v>1</v>
      </c>
      <c r="M1353" t="str">
        <f>IF(Revv_bike_sales_data[[#This Row],[delivery_days]]&lt;=7, "Yes", "No")</f>
        <v>Yes</v>
      </c>
      <c r="N1353" t="s">
        <v>16</v>
      </c>
      <c r="O1353" s="2">
        <v>-43494</v>
      </c>
    </row>
    <row r="1354" spans="1:15" x14ac:dyDescent="0.3">
      <c r="A1354" s="2">
        <v>1344</v>
      </c>
      <c r="B1354" s="1">
        <v>44982.958333333336</v>
      </c>
      <c r="C1354" s="1" t="str">
        <f t="shared" si="40"/>
        <v>02-2023</v>
      </c>
      <c r="D1354" s="2">
        <f t="shared" si="41"/>
        <v>8</v>
      </c>
      <c r="E1354" t="s">
        <v>17</v>
      </c>
      <c r="F1354" t="s">
        <v>14</v>
      </c>
      <c r="G1354" t="s">
        <v>19</v>
      </c>
      <c r="H1354" s="2">
        <v>92416</v>
      </c>
      <c r="I1354" s="2">
        <v>3</v>
      </c>
      <c r="J1354" s="2">
        <v>97663</v>
      </c>
      <c r="K1354" s="2">
        <v>50800</v>
      </c>
      <c r="L1354" s="2">
        <v>6</v>
      </c>
      <c r="M1354" t="str">
        <f>IF(Revv_bike_sales_data[[#This Row],[delivery_days]]&lt;=7, "Yes", "No")</f>
        <v>Yes</v>
      </c>
      <c r="N1354" t="s">
        <v>16</v>
      </c>
      <c r="O1354" s="2">
        <v>46863</v>
      </c>
    </row>
    <row r="1355" spans="1:15" x14ac:dyDescent="0.3">
      <c r="A1355" s="2">
        <v>1345</v>
      </c>
      <c r="B1355" s="1">
        <v>44983</v>
      </c>
      <c r="C1355" s="1" t="str">
        <f t="shared" ref="C1355:C1418" si="42">TEXT(B1355,"mm-yyyy")</f>
        <v>02-2023</v>
      </c>
      <c r="D1355" s="2">
        <f t="shared" ref="D1355:D1418" si="43">WEEKNUM(B1355)</f>
        <v>9</v>
      </c>
      <c r="E1355" t="s">
        <v>22</v>
      </c>
      <c r="F1355" t="s">
        <v>14</v>
      </c>
      <c r="G1355" t="s">
        <v>21</v>
      </c>
      <c r="H1355" s="2">
        <v>21066</v>
      </c>
      <c r="I1355" s="2">
        <v>5</v>
      </c>
      <c r="J1355" s="2">
        <v>126216</v>
      </c>
      <c r="K1355" s="2">
        <v>134193</v>
      </c>
      <c r="L1355" s="2">
        <v>3</v>
      </c>
      <c r="M1355" t="str">
        <f>IF(Revv_bike_sales_data[[#This Row],[delivery_days]]&lt;=7, "Yes", "No")</f>
        <v>Yes</v>
      </c>
      <c r="N1355" t="s">
        <v>16</v>
      </c>
      <c r="O1355" s="2">
        <v>-7977</v>
      </c>
    </row>
    <row r="1356" spans="1:15" x14ac:dyDescent="0.3">
      <c r="A1356" s="2">
        <v>1346</v>
      </c>
      <c r="B1356" s="1">
        <v>44983.041666666664</v>
      </c>
      <c r="C1356" s="1" t="str">
        <f t="shared" si="42"/>
        <v>02-2023</v>
      </c>
      <c r="D1356" s="2">
        <f t="shared" si="43"/>
        <v>9</v>
      </c>
      <c r="E1356" t="s">
        <v>13</v>
      </c>
      <c r="F1356" t="s">
        <v>14</v>
      </c>
      <c r="G1356" t="s">
        <v>20</v>
      </c>
      <c r="H1356" s="2">
        <v>56625</v>
      </c>
      <c r="I1356" s="2">
        <v>1</v>
      </c>
      <c r="J1356" s="2">
        <v>57743</v>
      </c>
      <c r="K1356" s="2">
        <v>73770</v>
      </c>
      <c r="L1356" s="2">
        <v>4</v>
      </c>
      <c r="M1356" t="str">
        <f>IF(Revv_bike_sales_data[[#This Row],[delivery_days]]&lt;=7, "Yes", "No")</f>
        <v>Yes</v>
      </c>
      <c r="N1356" t="s">
        <v>16</v>
      </c>
      <c r="O1356" s="2">
        <v>-16027</v>
      </c>
    </row>
    <row r="1357" spans="1:15" x14ac:dyDescent="0.3">
      <c r="A1357" s="2">
        <v>1347</v>
      </c>
      <c r="B1357" s="1">
        <v>44983.083333333336</v>
      </c>
      <c r="C1357" s="1" t="str">
        <f t="shared" si="42"/>
        <v>02-2023</v>
      </c>
      <c r="D1357" s="2">
        <f t="shared" si="43"/>
        <v>9</v>
      </c>
      <c r="E1357" t="s">
        <v>22</v>
      </c>
      <c r="F1357" t="s">
        <v>14</v>
      </c>
      <c r="G1357" t="s">
        <v>19</v>
      </c>
      <c r="H1357" s="2">
        <v>33705</v>
      </c>
      <c r="I1357" s="2">
        <v>1</v>
      </c>
      <c r="J1357" s="2">
        <v>171708</v>
      </c>
      <c r="K1357" s="2">
        <v>69941</v>
      </c>
      <c r="L1357" s="2">
        <v>8</v>
      </c>
      <c r="M1357" t="str">
        <f>IF(Revv_bike_sales_data[[#This Row],[delivery_days]]&lt;=7, "Yes", "No")</f>
        <v>No</v>
      </c>
      <c r="N1357" t="s">
        <v>16</v>
      </c>
      <c r="O1357" s="2">
        <v>101767</v>
      </c>
    </row>
    <row r="1358" spans="1:15" x14ac:dyDescent="0.3">
      <c r="A1358" s="2">
        <v>1348</v>
      </c>
      <c r="B1358" s="1">
        <v>44983.125</v>
      </c>
      <c r="C1358" s="1" t="str">
        <f t="shared" si="42"/>
        <v>02-2023</v>
      </c>
      <c r="D1358" s="2">
        <f t="shared" si="43"/>
        <v>9</v>
      </c>
      <c r="E1358" t="s">
        <v>17</v>
      </c>
      <c r="F1358" t="s">
        <v>14</v>
      </c>
      <c r="G1358" t="s">
        <v>19</v>
      </c>
      <c r="H1358" s="2">
        <v>30217</v>
      </c>
      <c r="I1358" s="2">
        <v>1</v>
      </c>
      <c r="J1358" s="2">
        <v>35108</v>
      </c>
      <c r="K1358" s="2">
        <v>99451</v>
      </c>
      <c r="L1358" s="2">
        <v>4</v>
      </c>
      <c r="M1358" t="str">
        <f>IF(Revv_bike_sales_data[[#This Row],[delivery_days]]&lt;=7, "Yes", "No")</f>
        <v>Yes</v>
      </c>
      <c r="N1358" t="s">
        <v>16</v>
      </c>
      <c r="O1358" s="2">
        <v>-64343</v>
      </c>
    </row>
    <row r="1359" spans="1:15" x14ac:dyDescent="0.3">
      <c r="A1359" s="2">
        <v>1349</v>
      </c>
      <c r="B1359" s="1">
        <v>44983.166666666664</v>
      </c>
      <c r="C1359" s="1" t="str">
        <f t="shared" si="42"/>
        <v>02-2023</v>
      </c>
      <c r="D1359" s="2">
        <f t="shared" si="43"/>
        <v>9</v>
      </c>
      <c r="E1359" t="s">
        <v>25</v>
      </c>
      <c r="F1359" t="s">
        <v>23</v>
      </c>
      <c r="G1359" t="s">
        <v>19</v>
      </c>
      <c r="H1359" s="2">
        <v>50484</v>
      </c>
      <c r="I1359" s="2">
        <v>8</v>
      </c>
      <c r="J1359" s="2">
        <v>61180</v>
      </c>
      <c r="K1359" s="2">
        <v>120775</v>
      </c>
      <c r="L1359" s="2">
        <v>8</v>
      </c>
      <c r="M1359" t="str">
        <f>IF(Revv_bike_sales_data[[#This Row],[delivery_days]]&lt;=7, "Yes", "No")</f>
        <v>No</v>
      </c>
      <c r="N1359" t="s">
        <v>16</v>
      </c>
      <c r="O1359" s="2">
        <v>-59595</v>
      </c>
    </row>
    <row r="1360" spans="1:15" x14ac:dyDescent="0.3">
      <c r="A1360" s="2">
        <v>1350</v>
      </c>
      <c r="B1360" s="1">
        <v>44983.208333333336</v>
      </c>
      <c r="C1360" s="1" t="str">
        <f t="shared" si="42"/>
        <v>02-2023</v>
      </c>
      <c r="D1360" s="2">
        <f t="shared" si="43"/>
        <v>9</v>
      </c>
      <c r="E1360" t="s">
        <v>25</v>
      </c>
      <c r="F1360" t="s">
        <v>14</v>
      </c>
      <c r="G1360" t="s">
        <v>19</v>
      </c>
      <c r="H1360" s="2">
        <v>25635</v>
      </c>
      <c r="I1360" s="2">
        <v>9</v>
      </c>
      <c r="J1360" s="2">
        <v>43883</v>
      </c>
      <c r="K1360" s="2">
        <v>52487</v>
      </c>
      <c r="L1360" s="2">
        <v>4</v>
      </c>
      <c r="M1360" t="str">
        <f>IF(Revv_bike_sales_data[[#This Row],[delivery_days]]&lt;=7, "Yes", "No")</f>
        <v>Yes</v>
      </c>
      <c r="N1360" t="s">
        <v>16</v>
      </c>
      <c r="O1360" s="2">
        <v>-8604</v>
      </c>
    </row>
    <row r="1361" spans="1:15" x14ac:dyDescent="0.3">
      <c r="A1361" s="2">
        <v>1351</v>
      </c>
      <c r="B1361" s="1">
        <v>44983.25</v>
      </c>
      <c r="C1361" s="1" t="str">
        <f t="shared" si="42"/>
        <v>02-2023</v>
      </c>
      <c r="D1361" s="2">
        <f t="shared" si="43"/>
        <v>9</v>
      </c>
      <c r="E1361" t="s">
        <v>17</v>
      </c>
      <c r="F1361" t="s">
        <v>14</v>
      </c>
      <c r="G1361" t="s">
        <v>19</v>
      </c>
      <c r="H1361" s="2">
        <v>28664</v>
      </c>
      <c r="I1361" s="2">
        <v>2</v>
      </c>
      <c r="J1361" s="2">
        <v>69400</v>
      </c>
      <c r="K1361" s="2">
        <v>27943</v>
      </c>
      <c r="L1361" s="2">
        <v>9</v>
      </c>
      <c r="M1361" t="str">
        <f>IF(Revv_bike_sales_data[[#This Row],[delivery_days]]&lt;=7, "Yes", "No")</f>
        <v>No</v>
      </c>
      <c r="N1361" t="s">
        <v>16</v>
      </c>
      <c r="O1361" s="2">
        <v>41457</v>
      </c>
    </row>
    <row r="1362" spans="1:15" x14ac:dyDescent="0.3">
      <c r="A1362" s="2">
        <v>1352</v>
      </c>
      <c r="B1362" s="1">
        <v>44983.291666666664</v>
      </c>
      <c r="C1362" s="1" t="str">
        <f t="shared" si="42"/>
        <v>02-2023</v>
      </c>
      <c r="D1362" s="2">
        <f t="shared" si="43"/>
        <v>9</v>
      </c>
      <c r="E1362" t="s">
        <v>25</v>
      </c>
      <c r="F1362" t="s">
        <v>23</v>
      </c>
      <c r="G1362" t="s">
        <v>20</v>
      </c>
      <c r="H1362" s="2">
        <v>74989</v>
      </c>
      <c r="I1362" s="2">
        <v>9</v>
      </c>
      <c r="J1362" s="2">
        <v>72951</v>
      </c>
      <c r="K1362" s="2">
        <v>118167</v>
      </c>
      <c r="L1362" s="2">
        <v>6</v>
      </c>
      <c r="M1362" t="str">
        <f>IF(Revv_bike_sales_data[[#This Row],[delivery_days]]&lt;=7, "Yes", "No")</f>
        <v>Yes</v>
      </c>
      <c r="N1362" t="s">
        <v>24</v>
      </c>
      <c r="O1362" s="2">
        <v>-45216</v>
      </c>
    </row>
    <row r="1363" spans="1:15" x14ac:dyDescent="0.3">
      <c r="A1363" s="2">
        <v>1353</v>
      </c>
      <c r="B1363" s="1">
        <v>44983.333333333336</v>
      </c>
      <c r="C1363" s="1" t="str">
        <f t="shared" si="42"/>
        <v>02-2023</v>
      </c>
      <c r="D1363" s="2">
        <f t="shared" si="43"/>
        <v>9</v>
      </c>
      <c r="E1363" t="s">
        <v>25</v>
      </c>
      <c r="F1363" t="s">
        <v>14</v>
      </c>
      <c r="G1363" t="s">
        <v>19</v>
      </c>
      <c r="H1363" s="2">
        <v>39062</v>
      </c>
      <c r="I1363" s="2">
        <v>3</v>
      </c>
      <c r="J1363" s="2">
        <v>163232</v>
      </c>
      <c r="K1363" s="2">
        <v>117342</v>
      </c>
      <c r="L1363" s="2">
        <v>1</v>
      </c>
      <c r="M1363" t="str">
        <f>IF(Revv_bike_sales_data[[#This Row],[delivery_days]]&lt;=7, "Yes", "No")</f>
        <v>Yes</v>
      </c>
      <c r="N1363" t="s">
        <v>24</v>
      </c>
      <c r="O1363" s="2">
        <v>45890</v>
      </c>
    </row>
    <row r="1364" spans="1:15" x14ac:dyDescent="0.3">
      <c r="A1364" s="2">
        <v>1354</v>
      </c>
      <c r="B1364" s="1">
        <v>44983.375</v>
      </c>
      <c r="C1364" s="1" t="str">
        <f t="shared" si="42"/>
        <v>02-2023</v>
      </c>
      <c r="D1364" s="2">
        <f t="shared" si="43"/>
        <v>9</v>
      </c>
      <c r="E1364" t="s">
        <v>25</v>
      </c>
      <c r="F1364" t="s">
        <v>14</v>
      </c>
      <c r="G1364" t="s">
        <v>20</v>
      </c>
      <c r="H1364" s="2">
        <v>69610</v>
      </c>
      <c r="I1364" s="2">
        <v>9</v>
      </c>
      <c r="J1364" s="2">
        <v>80262</v>
      </c>
      <c r="K1364" s="2">
        <v>76457</v>
      </c>
      <c r="L1364" s="2">
        <v>13</v>
      </c>
      <c r="M1364" t="str">
        <f>IF(Revv_bike_sales_data[[#This Row],[delivery_days]]&lt;=7, "Yes", "No")</f>
        <v>No</v>
      </c>
      <c r="N1364" t="s">
        <v>16</v>
      </c>
      <c r="O1364" s="2">
        <v>3805</v>
      </c>
    </row>
    <row r="1365" spans="1:15" x14ac:dyDescent="0.3">
      <c r="A1365" s="2">
        <v>1355</v>
      </c>
      <c r="B1365" s="1">
        <v>44983.416666666664</v>
      </c>
      <c r="C1365" s="1" t="str">
        <f t="shared" si="42"/>
        <v>02-2023</v>
      </c>
      <c r="D1365" s="2">
        <f t="shared" si="43"/>
        <v>9</v>
      </c>
      <c r="E1365" t="s">
        <v>13</v>
      </c>
      <c r="F1365" t="s">
        <v>14</v>
      </c>
      <c r="G1365" t="s">
        <v>19</v>
      </c>
      <c r="H1365" s="2">
        <v>20669</v>
      </c>
      <c r="I1365" s="2">
        <v>7</v>
      </c>
      <c r="J1365" s="2">
        <v>176001</v>
      </c>
      <c r="K1365" s="2">
        <v>33836</v>
      </c>
      <c r="L1365" s="2">
        <v>10</v>
      </c>
      <c r="M1365" t="str">
        <f>IF(Revv_bike_sales_data[[#This Row],[delivery_days]]&lt;=7, "Yes", "No")</f>
        <v>No</v>
      </c>
      <c r="N1365" t="s">
        <v>16</v>
      </c>
      <c r="O1365" s="2">
        <v>142165</v>
      </c>
    </row>
    <row r="1366" spans="1:15" x14ac:dyDescent="0.3">
      <c r="A1366" s="2">
        <v>1356</v>
      </c>
      <c r="B1366" s="1">
        <v>44983.458333333336</v>
      </c>
      <c r="C1366" s="1" t="str">
        <f t="shared" si="42"/>
        <v>02-2023</v>
      </c>
      <c r="D1366" s="2">
        <f t="shared" si="43"/>
        <v>9</v>
      </c>
      <c r="E1366" t="s">
        <v>13</v>
      </c>
      <c r="F1366" t="s">
        <v>14</v>
      </c>
      <c r="G1366" t="s">
        <v>21</v>
      </c>
      <c r="H1366" s="2">
        <v>60358</v>
      </c>
      <c r="I1366" s="2">
        <v>3</v>
      </c>
      <c r="J1366" s="2">
        <v>108133</v>
      </c>
      <c r="K1366" s="2">
        <v>116150</v>
      </c>
      <c r="L1366" s="2">
        <v>2</v>
      </c>
      <c r="M1366" t="str">
        <f>IF(Revv_bike_sales_data[[#This Row],[delivery_days]]&lt;=7, "Yes", "No")</f>
        <v>Yes</v>
      </c>
      <c r="N1366" t="s">
        <v>16</v>
      </c>
      <c r="O1366" s="2">
        <v>-8017</v>
      </c>
    </row>
    <row r="1367" spans="1:15" x14ac:dyDescent="0.3">
      <c r="A1367" s="2">
        <v>1357</v>
      </c>
      <c r="B1367" s="1">
        <v>44983.5</v>
      </c>
      <c r="C1367" s="1" t="str">
        <f t="shared" si="42"/>
        <v>02-2023</v>
      </c>
      <c r="D1367" s="2">
        <f t="shared" si="43"/>
        <v>9</v>
      </c>
      <c r="E1367" t="s">
        <v>18</v>
      </c>
      <c r="F1367" t="s">
        <v>14</v>
      </c>
      <c r="G1367" t="s">
        <v>21</v>
      </c>
      <c r="H1367" s="2">
        <v>22104</v>
      </c>
      <c r="I1367" s="2">
        <v>9</v>
      </c>
      <c r="J1367" s="2">
        <v>167195</v>
      </c>
      <c r="K1367" s="2">
        <v>121368</v>
      </c>
      <c r="L1367" s="2">
        <v>7</v>
      </c>
      <c r="M1367" t="str">
        <f>IF(Revv_bike_sales_data[[#This Row],[delivery_days]]&lt;=7, "Yes", "No")</f>
        <v>Yes</v>
      </c>
      <c r="N1367" t="s">
        <v>16</v>
      </c>
      <c r="O1367" s="2">
        <v>45827</v>
      </c>
    </row>
    <row r="1368" spans="1:15" x14ac:dyDescent="0.3">
      <c r="A1368" s="2">
        <v>1358</v>
      </c>
      <c r="B1368" s="1">
        <v>44983.541666666664</v>
      </c>
      <c r="C1368" s="1" t="str">
        <f t="shared" si="42"/>
        <v>02-2023</v>
      </c>
      <c r="D1368" s="2">
        <f t="shared" si="43"/>
        <v>9</v>
      </c>
      <c r="E1368" t="s">
        <v>22</v>
      </c>
      <c r="F1368" t="s">
        <v>23</v>
      </c>
      <c r="G1368" t="s">
        <v>19</v>
      </c>
      <c r="H1368" s="2">
        <v>90170</v>
      </c>
      <c r="I1368" s="2">
        <v>9</v>
      </c>
      <c r="J1368" s="2">
        <v>140106</v>
      </c>
      <c r="K1368" s="2">
        <v>26394</v>
      </c>
      <c r="L1368" s="2">
        <v>10</v>
      </c>
      <c r="M1368" t="str">
        <f>IF(Revv_bike_sales_data[[#This Row],[delivery_days]]&lt;=7, "Yes", "No")</f>
        <v>No</v>
      </c>
      <c r="N1368" t="s">
        <v>16</v>
      </c>
      <c r="O1368" s="2">
        <v>113712</v>
      </c>
    </row>
    <row r="1369" spans="1:15" x14ac:dyDescent="0.3">
      <c r="A1369" s="2">
        <v>1359</v>
      </c>
      <c r="B1369" s="1">
        <v>44983.583333333336</v>
      </c>
      <c r="C1369" s="1" t="str">
        <f t="shared" si="42"/>
        <v>02-2023</v>
      </c>
      <c r="D1369" s="2">
        <f t="shared" si="43"/>
        <v>9</v>
      </c>
      <c r="E1369" t="s">
        <v>17</v>
      </c>
      <c r="F1369" t="s">
        <v>14</v>
      </c>
      <c r="G1369" t="s">
        <v>15</v>
      </c>
      <c r="H1369" s="2">
        <v>89238</v>
      </c>
      <c r="I1369" s="2">
        <v>6</v>
      </c>
      <c r="J1369" s="2">
        <v>95496</v>
      </c>
      <c r="K1369" s="2">
        <v>87158</v>
      </c>
      <c r="L1369" s="2">
        <v>7</v>
      </c>
      <c r="M1369" t="str">
        <f>IF(Revv_bike_sales_data[[#This Row],[delivery_days]]&lt;=7, "Yes", "No")</f>
        <v>Yes</v>
      </c>
      <c r="N1369" t="s">
        <v>16</v>
      </c>
      <c r="O1369" s="2">
        <v>8338</v>
      </c>
    </row>
    <row r="1370" spans="1:15" x14ac:dyDescent="0.3">
      <c r="A1370" s="2">
        <v>1360</v>
      </c>
      <c r="B1370" s="1">
        <v>44983.625</v>
      </c>
      <c r="C1370" s="1" t="str">
        <f t="shared" si="42"/>
        <v>02-2023</v>
      </c>
      <c r="D1370" s="2">
        <f t="shared" si="43"/>
        <v>9</v>
      </c>
      <c r="E1370" t="s">
        <v>17</v>
      </c>
      <c r="F1370" t="s">
        <v>14</v>
      </c>
      <c r="G1370" t="s">
        <v>21</v>
      </c>
      <c r="H1370" s="2">
        <v>1184</v>
      </c>
      <c r="I1370" s="2">
        <v>4</v>
      </c>
      <c r="J1370" s="2">
        <v>86934</v>
      </c>
      <c r="K1370" s="2">
        <v>139696</v>
      </c>
      <c r="L1370" s="2">
        <v>3</v>
      </c>
      <c r="M1370" t="str">
        <f>IF(Revv_bike_sales_data[[#This Row],[delivery_days]]&lt;=7, "Yes", "No")</f>
        <v>Yes</v>
      </c>
      <c r="N1370" t="s">
        <v>16</v>
      </c>
      <c r="O1370" s="2">
        <v>-52762</v>
      </c>
    </row>
    <row r="1371" spans="1:15" x14ac:dyDescent="0.3">
      <c r="A1371" s="2">
        <v>1361</v>
      </c>
      <c r="B1371" s="1">
        <v>44983.666666666664</v>
      </c>
      <c r="C1371" s="1" t="str">
        <f t="shared" si="42"/>
        <v>02-2023</v>
      </c>
      <c r="D1371" s="2">
        <f t="shared" si="43"/>
        <v>9</v>
      </c>
      <c r="E1371" t="s">
        <v>17</v>
      </c>
      <c r="F1371" t="s">
        <v>14</v>
      </c>
      <c r="G1371" t="s">
        <v>20</v>
      </c>
      <c r="H1371" s="2">
        <v>8507</v>
      </c>
      <c r="I1371" s="2">
        <v>8</v>
      </c>
      <c r="J1371" s="2">
        <v>103886</v>
      </c>
      <c r="K1371" s="2">
        <v>139660</v>
      </c>
      <c r="L1371" s="2">
        <v>1</v>
      </c>
      <c r="M1371" t="str">
        <f>IF(Revv_bike_sales_data[[#This Row],[delivery_days]]&lt;=7, "Yes", "No")</f>
        <v>Yes</v>
      </c>
      <c r="N1371" t="s">
        <v>16</v>
      </c>
      <c r="O1371" s="2">
        <v>-35774</v>
      </c>
    </row>
    <row r="1372" spans="1:15" x14ac:dyDescent="0.3">
      <c r="A1372" s="2">
        <v>1362</v>
      </c>
      <c r="B1372" s="1">
        <v>44983.708333333336</v>
      </c>
      <c r="C1372" s="1" t="str">
        <f t="shared" si="42"/>
        <v>02-2023</v>
      </c>
      <c r="D1372" s="2">
        <f t="shared" si="43"/>
        <v>9</v>
      </c>
      <c r="E1372" t="s">
        <v>18</v>
      </c>
      <c r="F1372" t="s">
        <v>14</v>
      </c>
      <c r="G1372" t="s">
        <v>19</v>
      </c>
      <c r="H1372" s="2">
        <v>42287</v>
      </c>
      <c r="I1372" s="2">
        <v>3</v>
      </c>
      <c r="J1372" s="2">
        <v>55881</v>
      </c>
      <c r="K1372" s="2">
        <v>125599</v>
      </c>
      <c r="L1372" s="2">
        <v>8</v>
      </c>
      <c r="M1372" t="str">
        <f>IF(Revv_bike_sales_data[[#This Row],[delivery_days]]&lt;=7, "Yes", "No")</f>
        <v>No</v>
      </c>
      <c r="N1372" t="s">
        <v>16</v>
      </c>
      <c r="O1372" s="2">
        <v>-69718</v>
      </c>
    </row>
    <row r="1373" spans="1:15" x14ac:dyDescent="0.3">
      <c r="A1373" s="2">
        <v>1363</v>
      </c>
      <c r="B1373" s="1">
        <v>44983.75</v>
      </c>
      <c r="C1373" s="1" t="str">
        <f t="shared" si="42"/>
        <v>02-2023</v>
      </c>
      <c r="D1373" s="2">
        <f t="shared" si="43"/>
        <v>9</v>
      </c>
      <c r="E1373" t="s">
        <v>13</v>
      </c>
      <c r="F1373" t="s">
        <v>14</v>
      </c>
      <c r="G1373" t="s">
        <v>20</v>
      </c>
      <c r="H1373" s="2">
        <v>50082</v>
      </c>
      <c r="I1373" s="2">
        <v>2</v>
      </c>
      <c r="J1373" s="2">
        <v>43409</v>
      </c>
      <c r="K1373" s="2">
        <v>40280</v>
      </c>
      <c r="L1373" s="2">
        <v>13</v>
      </c>
      <c r="M1373" t="str">
        <f>IF(Revv_bike_sales_data[[#This Row],[delivery_days]]&lt;=7, "Yes", "No")</f>
        <v>No</v>
      </c>
      <c r="N1373" t="s">
        <v>16</v>
      </c>
      <c r="O1373" s="2">
        <v>3129</v>
      </c>
    </row>
    <row r="1374" spans="1:15" x14ac:dyDescent="0.3">
      <c r="A1374" s="2">
        <v>1364</v>
      </c>
      <c r="B1374" s="1">
        <v>44983.791666666664</v>
      </c>
      <c r="C1374" s="1" t="str">
        <f t="shared" si="42"/>
        <v>02-2023</v>
      </c>
      <c r="D1374" s="2">
        <f t="shared" si="43"/>
        <v>9</v>
      </c>
      <c r="E1374" t="s">
        <v>18</v>
      </c>
      <c r="F1374" t="s">
        <v>14</v>
      </c>
      <c r="G1374" t="s">
        <v>15</v>
      </c>
      <c r="H1374" s="2">
        <v>75291</v>
      </c>
      <c r="I1374" s="2">
        <v>1</v>
      </c>
      <c r="J1374" s="2">
        <v>123171</v>
      </c>
      <c r="K1374" s="2">
        <v>139221</v>
      </c>
      <c r="L1374" s="2">
        <v>13</v>
      </c>
      <c r="M1374" t="str">
        <f>IF(Revv_bike_sales_data[[#This Row],[delivery_days]]&lt;=7, "Yes", "No")</f>
        <v>No</v>
      </c>
      <c r="N1374" t="s">
        <v>16</v>
      </c>
      <c r="O1374" s="2">
        <v>-16050</v>
      </c>
    </row>
    <row r="1375" spans="1:15" x14ac:dyDescent="0.3">
      <c r="A1375" s="2">
        <v>1365</v>
      </c>
      <c r="B1375" s="1">
        <v>44983.833333333336</v>
      </c>
      <c r="C1375" s="1" t="str">
        <f t="shared" si="42"/>
        <v>02-2023</v>
      </c>
      <c r="D1375" s="2">
        <f t="shared" si="43"/>
        <v>9</v>
      </c>
      <c r="E1375" t="s">
        <v>17</v>
      </c>
      <c r="F1375" t="s">
        <v>14</v>
      </c>
      <c r="G1375" t="s">
        <v>19</v>
      </c>
      <c r="H1375" s="2">
        <v>98298</v>
      </c>
      <c r="I1375" s="2">
        <v>0</v>
      </c>
      <c r="J1375" s="2">
        <v>73951</v>
      </c>
      <c r="K1375" s="2">
        <v>133150</v>
      </c>
      <c r="L1375" s="2">
        <v>10</v>
      </c>
      <c r="M1375" t="str">
        <f>IF(Revv_bike_sales_data[[#This Row],[delivery_days]]&lt;=7, "Yes", "No")</f>
        <v>No</v>
      </c>
      <c r="N1375" t="s">
        <v>16</v>
      </c>
      <c r="O1375" s="2">
        <v>-59199</v>
      </c>
    </row>
    <row r="1376" spans="1:15" x14ac:dyDescent="0.3">
      <c r="A1376" s="2">
        <v>1366</v>
      </c>
      <c r="B1376" s="1">
        <v>44983.875</v>
      </c>
      <c r="C1376" s="1" t="str">
        <f t="shared" si="42"/>
        <v>02-2023</v>
      </c>
      <c r="D1376" s="2">
        <f t="shared" si="43"/>
        <v>9</v>
      </c>
      <c r="E1376" t="s">
        <v>22</v>
      </c>
      <c r="F1376" t="s">
        <v>14</v>
      </c>
      <c r="G1376" t="s">
        <v>21</v>
      </c>
      <c r="H1376" s="2">
        <v>84129</v>
      </c>
      <c r="I1376" s="2">
        <v>5</v>
      </c>
      <c r="J1376" s="2">
        <v>33752</v>
      </c>
      <c r="K1376" s="2">
        <v>92318</v>
      </c>
      <c r="L1376" s="2">
        <v>14</v>
      </c>
      <c r="M1376" t="str">
        <f>IF(Revv_bike_sales_data[[#This Row],[delivery_days]]&lt;=7, "Yes", "No")</f>
        <v>No</v>
      </c>
      <c r="N1376" t="s">
        <v>16</v>
      </c>
      <c r="O1376" s="2">
        <v>-58566</v>
      </c>
    </row>
    <row r="1377" spans="1:15" x14ac:dyDescent="0.3">
      <c r="A1377" s="2">
        <v>1367</v>
      </c>
      <c r="B1377" s="1">
        <v>44983.916666666664</v>
      </c>
      <c r="C1377" s="1" t="str">
        <f t="shared" si="42"/>
        <v>02-2023</v>
      </c>
      <c r="D1377" s="2">
        <f t="shared" si="43"/>
        <v>9</v>
      </c>
      <c r="E1377" t="s">
        <v>25</v>
      </c>
      <c r="F1377" t="s">
        <v>23</v>
      </c>
      <c r="G1377" t="s">
        <v>20</v>
      </c>
      <c r="H1377" s="2">
        <v>6282</v>
      </c>
      <c r="I1377" s="2">
        <v>9</v>
      </c>
      <c r="J1377" s="2">
        <v>142339</v>
      </c>
      <c r="K1377" s="2">
        <v>16159</v>
      </c>
      <c r="L1377" s="2">
        <v>11</v>
      </c>
      <c r="M1377" t="str">
        <f>IF(Revv_bike_sales_data[[#This Row],[delivery_days]]&lt;=7, "Yes", "No")</f>
        <v>No</v>
      </c>
      <c r="N1377" t="s">
        <v>16</v>
      </c>
      <c r="O1377" s="2">
        <v>126180</v>
      </c>
    </row>
    <row r="1378" spans="1:15" x14ac:dyDescent="0.3">
      <c r="A1378" s="2">
        <v>1368</v>
      </c>
      <c r="B1378" s="1">
        <v>44983.958333333336</v>
      </c>
      <c r="C1378" s="1" t="str">
        <f t="shared" si="42"/>
        <v>02-2023</v>
      </c>
      <c r="D1378" s="2">
        <f t="shared" si="43"/>
        <v>9</v>
      </c>
      <c r="E1378" t="s">
        <v>13</v>
      </c>
      <c r="F1378" t="s">
        <v>14</v>
      </c>
      <c r="G1378" t="s">
        <v>21</v>
      </c>
      <c r="H1378" s="2">
        <v>67270</v>
      </c>
      <c r="I1378" s="2">
        <v>1</v>
      </c>
      <c r="J1378" s="2">
        <v>169512</v>
      </c>
      <c r="K1378" s="2">
        <v>85162</v>
      </c>
      <c r="L1378" s="2">
        <v>11</v>
      </c>
      <c r="M1378" t="str">
        <f>IF(Revv_bike_sales_data[[#This Row],[delivery_days]]&lt;=7, "Yes", "No")</f>
        <v>No</v>
      </c>
      <c r="N1378" t="s">
        <v>16</v>
      </c>
      <c r="O1378" s="2">
        <v>84350</v>
      </c>
    </row>
    <row r="1379" spans="1:15" x14ac:dyDescent="0.3">
      <c r="A1379" s="2">
        <v>1369</v>
      </c>
      <c r="B1379" s="1">
        <v>44984</v>
      </c>
      <c r="C1379" s="1" t="str">
        <f t="shared" si="42"/>
        <v>02-2023</v>
      </c>
      <c r="D1379" s="2">
        <f t="shared" si="43"/>
        <v>9</v>
      </c>
      <c r="E1379" t="s">
        <v>13</v>
      </c>
      <c r="F1379" t="s">
        <v>14</v>
      </c>
      <c r="G1379" t="s">
        <v>21</v>
      </c>
      <c r="H1379" s="2">
        <v>58145</v>
      </c>
      <c r="I1379" s="2">
        <v>7</v>
      </c>
      <c r="J1379" s="2">
        <v>69864</v>
      </c>
      <c r="K1379" s="2">
        <v>38440</v>
      </c>
      <c r="L1379" s="2">
        <v>10</v>
      </c>
      <c r="M1379" t="str">
        <f>IF(Revv_bike_sales_data[[#This Row],[delivery_days]]&lt;=7, "Yes", "No")</f>
        <v>No</v>
      </c>
      <c r="N1379" t="s">
        <v>16</v>
      </c>
      <c r="O1379" s="2">
        <v>31424</v>
      </c>
    </row>
    <row r="1380" spans="1:15" x14ac:dyDescent="0.3">
      <c r="A1380" s="2">
        <v>1370</v>
      </c>
      <c r="B1380" s="1">
        <v>44984.041666666664</v>
      </c>
      <c r="C1380" s="1" t="str">
        <f t="shared" si="42"/>
        <v>02-2023</v>
      </c>
      <c r="D1380" s="2">
        <f t="shared" si="43"/>
        <v>9</v>
      </c>
      <c r="E1380" t="s">
        <v>18</v>
      </c>
      <c r="F1380" t="s">
        <v>14</v>
      </c>
      <c r="G1380" t="s">
        <v>19</v>
      </c>
      <c r="H1380" s="2">
        <v>32496</v>
      </c>
      <c r="I1380" s="2">
        <v>5</v>
      </c>
      <c r="J1380" s="2">
        <v>97035</v>
      </c>
      <c r="K1380" s="2">
        <v>117026</v>
      </c>
      <c r="L1380" s="2">
        <v>7</v>
      </c>
      <c r="M1380" t="str">
        <f>IF(Revv_bike_sales_data[[#This Row],[delivery_days]]&lt;=7, "Yes", "No")</f>
        <v>Yes</v>
      </c>
      <c r="N1380" t="s">
        <v>16</v>
      </c>
      <c r="O1380" s="2">
        <v>-19991</v>
      </c>
    </row>
    <row r="1381" spans="1:15" x14ac:dyDescent="0.3">
      <c r="A1381" s="2">
        <v>1371</v>
      </c>
      <c r="B1381" s="1">
        <v>44984.083333333336</v>
      </c>
      <c r="C1381" s="1" t="str">
        <f t="shared" si="42"/>
        <v>02-2023</v>
      </c>
      <c r="D1381" s="2">
        <f t="shared" si="43"/>
        <v>9</v>
      </c>
      <c r="E1381" t="s">
        <v>13</v>
      </c>
      <c r="F1381" t="s">
        <v>14</v>
      </c>
      <c r="G1381" t="s">
        <v>20</v>
      </c>
      <c r="H1381" s="2">
        <v>29704</v>
      </c>
      <c r="I1381" s="2">
        <v>4</v>
      </c>
      <c r="J1381" s="2">
        <v>111675</v>
      </c>
      <c r="K1381" s="2">
        <v>92166</v>
      </c>
      <c r="L1381" s="2">
        <v>10</v>
      </c>
      <c r="M1381" t="str">
        <f>IF(Revv_bike_sales_data[[#This Row],[delivery_days]]&lt;=7, "Yes", "No")</f>
        <v>No</v>
      </c>
      <c r="N1381" t="s">
        <v>24</v>
      </c>
      <c r="O1381" s="2">
        <v>19509</v>
      </c>
    </row>
    <row r="1382" spans="1:15" x14ac:dyDescent="0.3">
      <c r="A1382" s="2">
        <v>1372</v>
      </c>
      <c r="B1382" s="1">
        <v>44984.125</v>
      </c>
      <c r="C1382" s="1" t="str">
        <f t="shared" si="42"/>
        <v>02-2023</v>
      </c>
      <c r="D1382" s="2">
        <f t="shared" si="43"/>
        <v>9</v>
      </c>
      <c r="E1382" t="s">
        <v>17</v>
      </c>
      <c r="F1382" t="s">
        <v>14</v>
      </c>
      <c r="G1382" t="s">
        <v>15</v>
      </c>
      <c r="H1382" s="2">
        <v>17652</v>
      </c>
      <c r="I1382" s="2">
        <v>1</v>
      </c>
      <c r="J1382" s="2">
        <v>47343</v>
      </c>
      <c r="K1382" s="2">
        <v>67712</v>
      </c>
      <c r="L1382" s="2">
        <v>8</v>
      </c>
      <c r="M1382" t="str">
        <f>IF(Revv_bike_sales_data[[#This Row],[delivery_days]]&lt;=7, "Yes", "No")</f>
        <v>No</v>
      </c>
      <c r="N1382" t="s">
        <v>16</v>
      </c>
      <c r="O1382" s="2">
        <v>-20369</v>
      </c>
    </row>
    <row r="1383" spans="1:15" x14ac:dyDescent="0.3">
      <c r="A1383" s="2">
        <v>1373</v>
      </c>
      <c r="B1383" s="1">
        <v>44984.166666666664</v>
      </c>
      <c r="C1383" s="1" t="str">
        <f t="shared" si="42"/>
        <v>02-2023</v>
      </c>
      <c r="D1383" s="2">
        <f t="shared" si="43"/>
        <v>9</v>
      </c>
      <c r="E1383" t="s">
        <v>17</v>
      </c>
      <c r="F1383" t="s">
        <v>14</v>
      </c>
      <c r="G1383" t="s">
        <v>21</v>
      </c>
      <c r="H1383" s="2">
        <v>55686</v>
      </c>
      <c r="I1383" s="2">
        <v>6</v>
      </c>
      <c r="J1383" s="2">
        <v>44673</v>
      </c>
      <c r="K1383" s="2">
        <v>124578</v>
      </c>
      <c r="L1383" s="2">
        <v>1</v>
      </c>
      <c r="M1383" t="str">
        <f>IF(Revv_bike_sales_data[[#This Row],[delivery_days]]&lt;=7, "Yes", "No")</f>
        <v>Yes</v>
      </c>
      <c r="N1383" t="s">
        <v>24</v>
      </c>
      <c r="O1383" s="2">
        <v>-79905</v>
      </c>
    </row>
    <row r="1384" spans="1:15" x14ac:dyDescent="0.3">
      <c r="A1384" s="2">
        <v>1374</v>
      </c>
      <c r="B1384" s="1">
        <v>44984.208333333336</v>
      </c>
      <c r="C1384" s="1" t="str">
        <f t="shared" si="42"/>
        <v>02-2023</v>
      </c>
      <c r="D1384" s="2">
        <f t="shared" si="43"/>
        <v>9</v>
      </c>
      <c r="E1384" t="s">
        <v>18</v>
      </c>
      <c r="F1384" t="s">
        <v>14</v>
      </c>
      <c r="G1384" t="s">
        <v>19</v>
      </c>
      <c r="H1384" s="2">
        <v>91055</v>
      </c>
      <c r="I1384" s="2">
        <v>1</v>
      </c>
      <c r="J1384" s="2">
        <v>120024</v>
      </c>
      <c r="K1384" s="2">
        <v>135805</v>
      </c>
      <c r="L1384" s="2">
        <v>14</v>
      </c>
      <c r="M1384" t="str">
        <f>IF(Revv_bike_sales_data[[#This Row],[delivery_days]]&lt;=7, "Yes", "No")</f>
        <v>No</v>
      </c>
      <c r="N1384" t="s">
        <v>16</v>
      </c>
      <c r="O1384" s="2">
        <v>-15781</v>
      </c>
    </row>
    <row r="1385" spans="1:15" x14ac:dyDescent="0.3">
      <c r="A1385" s="2">
        <v>1375</v>
      </c>
      <c r="B1385" s="1">
        <v>44984.25</v>
      </c>
      <c r="C1385" s="1" t="str">
        <f t="shared" si="42"/>
        <v>02-2023</v>
      </c>
      <c r="D1385" s="2">
        <f t="shared" si="43"/>
        <v>9</v>
      </c>
      <c r="E1385" t="s">
        <v>17</v>
      </c>
      <c r="F1385" t="s">
        <v>14</v>
      </c>
      <c r="G1385" t="s">
        <v>19</v>
      </c>
      <c r="H1385" s="2">
        <v>85524</v>
      </c>
      <c r="I1385" s="2">
        <v>4</v>
      </c>
      <c r="J1385" s="2">
        <v>51520</v>
      </c>
      <c r="K1385" s="2">
        <v>62656</v>
      </c>
      <c r="L1385" s="2">
        <v>3</v>
      </c>
      <c r="M1385" t="str">
        <f>IF(Revv_bike_sales_data[[#This Row],[delivery_days]]&lt;=7, "Yes", "No")</f>
        <v>Yes</v>
      </c>
      <c r="N1385" t="s">
        <v>16</v>
      </c>
      <c r="O1385" s="2">
        <v>-11136</v>
      </c>
    </row>
    <row r="1386" spans="1:15" x14ac:dyDescent="0.3">
      <c r="A1386" s="2">
        <v>1376</v>
      </c>
      <c r="B1386" s="1">
        <v>44984.291666666664</v>
      </c>
      <c r="C1386" s="1" t="str">
        <f t="shared" si="42"/>
        <v>02-2023</v>
      </c>
      <c r="D1386" s="2">
        <f t="shared" si="43"/>
        <v>9</v>
      </c>
      <c r="E1386" t="s">
        <v>22</v>
      </c>
      <c r="F1386" t="s">
        <v>23</v>
      </c>
      <c r="G1386" t="s">
        <v>15</v>
      </c>
      <c r="H1386" s="2">
        <v>20189</v>
      </c>
      <c r="I1386" s="2">
        <v>1</v>
      </c>
      <c r="J1386" s="2">
        <v>40784</v>
      </c>
      <c r="K1386" s="2">
        <v>21589</v>
      </c>
      <c r="L1386" s="2">
        <v>13</v>
      </c>
      <c r="M1386" t="str">
        <f>IF(Revv_bike_sales_data[[#This Row],[delivery_days]]&lt;=7, "Yes", "No")</f>
        <v>No</v>
      </c>
      <c r="N1386" t="s">
        <v>16</v>
      </c>
      <c r="O1386" s="2">
        <v>19195</v>
      </c>
    </row>
    <row r="1387" spans="1:15" x14ac:dyDescent="0.3">
      <c r="A1387" s="2">
        <v>1377</v>
      </c>
      <c r="B1387" s="1">
        <v>44984.333333333336</v>
      </c>
      <c r="C1387" s="1" t="str">
        <f t="shared" si="42"/>
        <v>02-2023</v>
      </c>
      <c r="D1387" s="2">
        <f t="shared" si="43"/>
        <v>9</v>
      </c>
      <c r="E1387" t="s">
        <v>18</v>
      </c>
      <c r="F1387" t="s">
        <v>23</v>
      </c>
      <c r="G1387" t="s">
        <v>19</v>
      </c>
      <c r="H1387" s="2">
        <v>51190</v>
      </c>
      <c r="I1387" s="2">
        <v>9</v>
      </c>
      <c r="J1387" s="2">
        <v>142446</v>
      </c>
      <c r="K1387" s="2">
        <v>63241</v>
      </c>
      <c r="L1387" s="2">
        <v>2</v>
      </c>
      <c r="M1387" t="str">
        <f>IF(Revv_bike_sales_data[[#This Row],[delivery_days]]&lt;=7, "Yes", "No")</f>
        <v>Yes</v>
      </c>
      <c r="N1387" t="s">
        <v>16</v>
      </c>
      <c r="O1387" s="2">
        <v>79205</v>
      </c>
    </row>
    <row r="1388" spans="1:15" x14ac:dyDescent="0.3">
      <c r="A1388" s="2">
        <v>1378</v>
      </c>
      <c r="B1388" s="1">
        <v>44984.375</v>
      </c>
      <c r="C1388" s="1" t="str">
        <f t="shared" si="42"/>
        <v>02-2023</v>
      </c>
      <c r="D1388" s="2">
        <f t="shared" si="43"/>
        <v>9</v>
      </c>
      <c r="E1388" t="s">
        <v>22</v>
      </c>
      <c r="F1388" t="s">
        <v>23</v>
      </c>
      <c r="G1388" t="s">
        <v>21</v>
      </c>
      <c r="H1388" s="2">
        <v>94542</v>
      </c>
      <c r="I1388" s="2">
        <v>1</v>
      </c>
      <c r="J1388" s="2">
        <v>63079</v>
      </c>
      <c r="K1388" s="2">
        <v>139595</v>
      </c>
      <c r="L1388" s="2">
        <v>1</v>
      </c>
      <c r="M1388" t="str">
        <f>IF(Revv_bike_sales_data[[#This Row],[delivery_days]]&lt;=7, "Yes", "No")</f>
        <v>Yes</v>
      </c>
      <c r="N1388" t="s">
        <v>16</v>
      </c>
      <c r="O1388" s="2">
        <v>-76516</v>
      </c>
    </row>
    <row r="1389" spans="1:15" x14ac:dyDescent="0.3">
      <c r="A1389" s="2">
        <v>1379</v>
      </c>
      <c r="B1389" s="1">
        <v>44984.416666666664</v>
      </c>
      <c r="C1389" s="1" t="str">
        <f t="shared" si="42"/>
        <v>02-2023</v>
      </c>
      <c r="D1389" s="2">
        <f t="shared" si="43"/>
        <v>9</v>
      </c>
      <c r="E1389" t="s">
        <v>25</v>
      </c>
      <c r="F1389" t="s">
        <v>14</v>
      </c>
      <c r="G1389" t="s">
        <v>19</v>
      </c>
      <c r="H1389" s="2">
        <v>83751</v>
      </c>
      <c r="I1389" s="2">
        <v>6</v>
      </c>
      <c r="J1389" s="2">
        <v>69220</v>
      </c>
      <c r="K1389" s="2">
        <v>38233</v>
      </c>
      <c r="L1389" s="2">
        <v>5</v>
      </c>
      <c r="M1389" t="str">
        <f>IF(Revv_bike_sales_data[[#This Row],[delivery_days]]&lt;=7, "Yes", "No")</f>
        <v>Yes</v>
      </c>
      <c r="N1389" t="s">
        <v>16</v>
      </c>
      <c r="O1389" s="2">
        <v>30987</v>
      </c>
    </row>
    <row r="1390" spans="1:15" x14ac:dyDescent="0.3">
      <c r="A1390" s="2">
        <v>1380</v>
      </c>
      <c r="B1390" s="1">
        <v>44984.458333333336</v>
      </c>
      <c r="C1390" s="1" t="str">
        <f t="shared" si="42"/>
        <v>02-2023</v>
      </c>
      <c r="D1390" s="2">
        <f t="shared" si="43"/>
        <v>9</v>
      </c>
      <c r="E1390" t="s">
        <v>22</v>
      </c>
      <c r="F1390" t="s">
        <v>14</v>
      </c>
      <c r="G1390" t="s">
        <v>20</v>
      </c>
      <c r="H1390" s="2">
        <v>57820</v>
      </c>
      <c r="I1390" s="2">
        <v>8</v>
      </c>
      <c r="J1390" s="2">
        <v>176563</v>
      </c>
      <c r="K1390" s="2">
        <v>50011</v>
      </c>
      <c r="L1390" s="2">
        <v>3</v>
      </c>
      <c r="M1390" t="str">
        <f>IF(Revv_bike_sales_data[[#This Row],[delivery_days]]&lt;=7, "Yes", "No")</f>
        <v>Yes</v>
      </c>
      <c r="N1390" t="s">
        <v>16</v>
      </c>
      <c r="O1390" s="2">
        <v>126552</v>
      </c>
    </row>
    <row r="1391" spans="1:15" x14ac:dyDescent="0.3">
      <c r="A1391" s="2">
        <v>1381</v>
      </c>
      <c r="B1391" s="1">
        <v>44984.5</v>
      </c>
      <c r="C1391" s="1" t="str">
        <f t="shared" si="42"/>
        <v>02-2023</v>
      </c>
      <c r="D1391" s="2">
        <f t="shared" si="43"/>
        <v>9</v>
      </c>
      <c r="E1391" t="s">
        <v>25</v>
      </c>
      <c r="F1391" t="s">
        <v>14</v>
      </c>
      <c r="G1391" t="s">
        <v>20</v>
      </c>
      <c r="H1391" s="2">
        <v>64726</v>
      </c>
      <c r="I1391" s="2">
        <v>4</v>
      </c>
      <c r="J1391" s="2">
        <v>137878</v>
      </c>
      <c r="K1391" s="2">
        <v>23177</v>
      </c>
      <c r="L1391" s="2">
        <v>10</v>
      </c>
      <c r="M1391" t="str">
        <f>IF(Revv_bike_sales_data[[#This Row],[delivery_days]]&lt;=7, "Yes", "No")</f>
        <v>No</v>
      </c>
      <c r="N1391" t="s">
        <v>16</v>
      </c>
      <c r="O1391" s="2">
        <v>114701</v>
      </c>
    </row>
    <row r="1392" spans="1:15" x14ac:dyDescent="0.3">
      <c r="A1392" s="2">
        <v>1382</v>
      </c>
      <c r="B1392" s="1">
        <v>44984.541666666664</v>
      </c>
      <c r="C1392" s="1" t="str">
        <f t="shared" si="42"/>
        <v>02-2023</v>
      </c>
      <c r="D1392" s="2">
        <f t="shared" si="43"/>
        <v>9</v>
      </c>
      <c r="E1392" t="s">
        <v>25</v>
      </c>
      <c r="F1392" t="s">
        <v>14</v>
      </c>
      <c r="G1392" t="s">
        <v>21</v>
      </c>
      <c r="H1392" s="2">
        <v>56591</v>
      </c>
      <c r="I1392" s="2">
        <v>6</v>
      </c>
      <c r="J1392" s="2">
        <v>141583</v>
      </c>
      <c r="K1392" s="2">
        <v>49528</v>
      </c>
      <c r="L1392" s="2">
        <v>8</v>
      </c>
      <c r="M1392" t="str">
        <f>IF(Revv_bike_sales_data[[#This Row],[delivery_days]]&lt;=7, "Yes", "No")</f>
        <v>No</v>
      </c>
      <c r="N1392" t="s">
        <v>16</v>
      </c>
      <c r="O1392" s="2">
        <v>92055</v>
      </c>
    </row>
    <row r="1393" spans="1:15" x14ac:dyDescent="0.3">
      <c r="A1393" s="2">
        <v>1383</v>
      </c>
      <c r="B1393" s="1">
        <v>44984.583333333336</v>
      </c>
      <c r="C1393" s="1" t="str">
        <f t="shared" si="42"/>
        <v>02-2023</v>
      </c>
      <c r="D1393" s="2">
        <f t="shared" si="43"/>
        <v>9</v>
      </c>
      <c r="E1393" t="s">
        <v>22</v>
      </c>
      <c r="F1393" t="s">
        <v>14</v>
      </c>
      <c r="G1393" t="s">
        <v>20</v>
      </c>
      <c r="H1393" s="2">
        <v>79801</v>
      </c>
      <c r="I1393" s="2">
        <v>3</v>
      </c>
      <c r="J1393" s="2">
        <v>73720</v>
      </c>
      <c r="K1393" s="2">
        <v>129506</v>
      </c>
      <c r="L1393" s="2">
        <v>6</v>
      </c>
      <c r="M1393" t="str">
        <f>IF(Revv_bike_sales_data[[#This Row],[delivery_days]]&lt;=7, "Yes", "No")</f>
        <v>Yes</v>
      </c>
      <c r="N1393" t="s">
        <v>24</v>
      </c>
      <c r="O1393" s="2">
        <v>-55786</v>
      </c>
    </row>
    <row r="1394" spans="1:15" x14ac:dyDescent="0.3">
      <c r="A1394" s="2">
        <v>1384</v>
      </c>
      <c r="B1394" s="1">
        <v>44984.625</v>
      </c>
      <c r="C1394" s="1" t="str">
        <f t="shared" si="42"/>
        <v>02-2023</v>
      </c>
      <c r="D1394" s="2">
        <f t="shared" si="43"/>
        <v>9</v>
      </c>
      <c r="E1394" t="s">
        <v>18</v>
      </c>
      <c r="F1394" t="s">
        <v>14</v>
      </c>
      <c r="G1394" t="s">
        <v>15</v>
      </c>
      <c r="H1394" s="2">
        <v>22442</v>
      </c>
      <c r="I1394" s="2">
        <v>1</v>
      </c>
      <c r="J1394" s="2">
        <v>39718</v>
      </c>
      <c r="K1394" s="2">
        <v>118746</v>
      </c>
      <c r="L1394" s="2">
        <v>10</v>
      </c>
      <c r="M1394" t="str">
        <f>IF(Revv_bike_sales_data[[#This Row],[delivery_days]]&lt;=7, "Yes", "No")</f>
        <v>No</v>
      </c>
      <c r="N1394" t="s">
        <v>16</v>
      </c>
      <c r="O1394" s="2">
        <v>-79028</v>
      </c>
    </row>
    <row r="1395" spans="1:15" x14ac:dyDescent="0.3">
      <c r="A1395" s="2">
        <v>1385</v>
      </c>
      <c r="B1395" s="1">
        <v>44984.666666666664</v>
      </c>
      <c r="C1395" s="1" t="str">
        <f t="shared" si="42"/>
        <v>02-2023</v>
      </c>
      <c r="D1395" s="2">
        <f t="shared" si="43"/>
        <v>9</v>
      </c>
      <c r="E1395" t="s">
        <v>17</v>
      </c>
      <c r="F1395" t="s">
        <v>14</v>
      </c>
      <c r="G1395" t="s">
        <v>19</v>
      </c>
      <c r="H1395" s="2">
        <v>39212</v>
      </c>
      <c r="I1395" s="2">
        <v>2</v>
      </c>
      <c r="J1395" s="2">
        <v>86217</v>
      </c>
      <c r="K1395" s="2">
        <v>76351</v>
      </c>
      <c r="L1395" s="2">
        <v>14</v>
      </c>
      <c r="M1395" t="str">
        <f>IF(Revv_bike_sales_data[[#This Row],[delivery_days]]&lt;=7, "Yes", "No")</f>
        <v>No</v>
      </c>
      <c r="N1395" t="s">
        <v>24</v>
      </c>
      <c r="O1395" s="2">
        <v>9866</v>
      </c>
    </row>
    <row r="1396" spans="1:15" x14ac:dyDescent="0.3">
      <c r="A1396" s="2">
        <v>1386</v>
      </c>
      <c r="B1396" s="1">
        <v>44984.708333333336</v>
      </c>
      <c r="C1396" s="1" t="str">
        <f t="shared" si="42"/>
        <v>02-2023</v>
      </c>
      <c r="D1396" s="2">
        <f t="shared" si="43"/>
        <v>9</v>
      </c>
      <c r="E1396" t="s">
        <v>17</v>
      </c>
      <c r="F1396" t="s">
        <v>14</v>
      </c>
      <c r="G1396" t="s">
        <v>21</v>
      </c>
      <c r="H1396" s="2">
        <v>65777</v>
      </c>
      <c r="I1396" s="2">
        <v>1</v>
      </c>
      <c r="J1396" s="2">
        <v>125668</v>
      </c>
      <c r="K1396" s="2">
        <v>106908</v>
      </c>
      <c r="L1396" s="2">
        <v>9</v>
      </c>
      <c r="M1396" t="str">
        <f>IF(Revv_bike_sales_data[[#This Row],[delivery_days]]&lt;=7, "Yes", "No")</f>
        <v>No</v>
      </c>
      <c r="N1396" t="s">
        <v>16</v>
      </c>
      <c r="O1396" s="2">
        <v>18760</v>
      </c>
    </row>
    <row r="1397" spans="1:15" x14ac:dyDescent="0.3">
      <c r="A1397" s="2">
        <v>1387</v>
      </c>
      <c r="B1397" s="1">
        <v>44984.75</v>
      </c>
      <c r="C1397" s="1" t="str">
        <f t="shared" si="42"/>
        <v>02-2023</v>
      </c>
      <c r="D1397" s="2">
        <f t="shared" si="43"/>
        <v>9</v>
      </c>
      <c r="E1397" t="s">
        <v>25</v>
      </c>
      <c r="F1397" t="s">
        <v>14</v>
      </c>
      <c r="G1397" t="s">
        <v>15</v>
      </c>
      <c r="H1397" s="2">
        <v>50132</v>
      </c>
      <c r="I1397" s="2">
        <v>4</v>
      </c>
      <c r="J1397" s="2">
        <v>168936</v>
      </c>
      <c r="K1397" s="2">
        <v>71831</v>
      </c>
      <c r="L1397" s="2">
        <v>9</v>
      </c>
      <c r="M1397" t="str">
        <f>IF(Revv_bike_sales_data[[#This Row],[delivery_days]]&lt;=7, "Yes", "No")</f>
        <v>No</v>
      </c>
      <c r="N1397" t="s">
        <v>16</v>
      </c>
      <c r="O1397" s="2">
        <v>97105</v>
      </c>
    </row>
    <row r="1398" spans="1:15" x14ac:dyDescent="0.3">
      <c r="A1398" s="2">
        <v>1388</v>
      </c>
      <c r="B1398" s="1">
        <v>44984.791666666664</v>
      </c>
      <c r="C1398" s="1" t="str">
        <f t="shared" si="42"/>
        <v>02-2023</v>
      </c>
      <c r="D1398" s="2">
        <f t="shared" si="43"/>
        <v>9</v>
      </c>
      <c r="E1398" t="s">
        <v>25</v>
      </c>
      <c r="F1398" t="s">
        <v>14</v>
      </c>
      <c r="G1398" t="s">
        <v>19</v>
      </c>
      <c r="H1398" s="2">
        <v>38531</v>
      </c>
      <c r="I1398" s="2">
        <v>5</v>
      </c>
      <c r="J1398" s="2">
        <v>113378</v>
      </c>
      <c r="K1398" s="2">
        <v>66827</v>
      </c>
      <c r="L1398" s="2">
        <v>11</v>
      </c>
      <c r="M1398" t="str">
        <f>IF(Revv_bike_sales_data[[#This Row],[delivery_days]]&lt;=7, "Yes", "No")</f>
        <v>No</v>
      </c>
      <c r="N1398" t="s">
        <v>16</v>
      </c>
      <c r="O1398" s="2">
        <v>46551</v>
      </c>
    </row>
    <row r="1399" spans="1:15" x14ac:dyDescent="0.3">
      <c r="A1399" s="2">
        <v>1389</v>
      </c>
      <c r="B1399" s="1">
        <v>44984.833333333336</v>
      </c>
      <c r="C1399" s="1" t="str">
        <f t="shared" si="42"/>
        <v>02-2023</v>
      </c>
      <c r="D1399" s="2">
        <f t="shared" si="43"/>
        <v>9</v>
      </c>
      <c r="E1399" t="s">
        <v>18</v>
      </c>
      <c r="F1399" t="s">
        <v>14</v>
      </c>
      <c r="G1399" t="s">
        <v>15</v>
      </c>
      <c r="H1399" s="2">
        <v>20978</v>
      </c>
      <c r="I1399" s="2">
        <v>6</v>
      </c>
      <c r="J1399" s="2">
        <v>33177</v>
      </c>
      <c r="K1399" s="2">
        <v>38508</v>
      </c>
      <c r="L1399" s="2">
        <v>6</v>
      </c>
      <c r="M1399" t="str">
        <f>IF(Revv_bike_sales_data[[#This Row],[delivery_days]]&lt;=7, "Yes", "No")</f>
        <v>Yes</v>
      </c>
      <c r="N1399" t="s">
        <v>16</v>
      </c>
      <c r="O1399" s="2">
        <v>-5331</v>
      </c>
    </row>
    <row r="1400" spans="1:15" x14ac:dyDescent="0.3">
      <c r="A1400" s="2">
        <v>1390</v>
      </c>
      <c r="B1400" s="1">
        <v>44984.875</v>
      </c>
      <c r="C1400" s="1" t="str">
        <f t="shared" si="42"/>
        <v>02-2023</v>
      </c>
      <c r="D1400" s="2">
        <f t="shared" si="43"/>
        <v>9</v>
      </c>
      <c r="E1400" t="s">
        <v>13</v>
      </c>
      <c r="F1400" t="s">
        <v>14</v>
      </c>
      <c r="G1400" t="s">
        <v>21</v>
      </c>
      <c r="H1400" s="2">
        <v>23051</v>
      </c>
      <c r="I1400" s="2">
        <v>2</v>
      </c>
      <c r="J1400" s="2">
        <v>147318</v>
      </c>
      <c r="K1400" s="2">
        <v>69933</v>
      </c>
      <c r="L1400" s="2">
        <v>2</v>
      </c>
      <c r="M1400" t="str">
        <f>IF(Revv_bike_sales_data[[#This Row],[delivery_days]]&lt;=7, "Yes", "No")</f>
        <v>Yes</v>
      </c>
      <c r="N1400" t="s">
        <v>24</v>
      </c>
      <c r="O1400" s="2">
        <v>77385</v>
      </c>
    </row>
    <row r="1401" spans="1:15" x14ac:dyDescent="0.3">
      <c r="A1401" s="2">
        <v>1391</v>
      </c>
      <c r="B1401" s="1">
        <v>44984.916666666664</v>
      </c>
      <c r="C1401" s="1" t="str">
        <f t="shared" si="42"/>
        <v>02-2023</v>
      </c>
      <c r="D1401" s="2">
        <f t="shared" si="43"/>
        <v>9</v>
      </c>
      <c r="E1401" t="s">
        <v>22</v>
      </c>
      <c r="F1401" t="s">
        <v>14</v>
      </c>
      <c r="G1401" t="s">
        <v>21</v>
      </c>
      <c r="H1401" s="2">
        <v>48568</v>
      </c>
      <c r="I1401" s="2">
        <v>3</v>
      </c>
      <c r="J1401" s="2">
        <v>136145</v>
      </c>
      <c r="K1401" s="2">
        <v>95501</v>
      </c>
      <c r="L1401" s="2">
        <v>9</v>
      </c>
      <c r="M1401" t="str">
        <f>IF(Revv_bike_sales_data[[#This Row],[delivery_days]]&lt;=7, "Yes", "No")</f>
        <v>No</v>
      </c>
      <c r="N1401" t="s">
        <v>16</v>
      </c>
      <c r="O1401" s="2">
        <v>40644</v>
      </c>
    </row>
    <row r="1402" spans="1:15" x14ac:dyDescent="0.3">
      <c r="A1402" s="2">
        <v>1392</v>
      </c>
      <c r="B1402" s="1">
        <v>44984.958333333336</v>
      </c>
      <c r="C1402" s="1" t="str">
        <f t="shared" si="42"/>
        <v>02-2023</v>
      </c>
      <c r="D1402" s="2">
        <f t="shared" si="43"/>
        <v>9</v>
      </c>
      <c r="E1402" t="s">
        <v>25</v>
      </c>
      <c r="F1402" t="s">
        <v>14</v>
      </c>
      <c r="G1402" t="s">
        <v>15</v>
      </c>
      <c r="H1402" s="2">
        <v>94108</v>
      </c>
      <c r="I1402" s="2">
        <v>7</v>
      </c>
      <c r="J1402" s="2">
        <v>167916</v>
      </c>
      <c r="K1402" s="2">
        <v>83772</v>
      </c>
      <c r="L1402" s="2">
        <v>2</v>
      </c>
      <c r="M1402" t="str">
        <f>IF(Revv_bike_sales_data[[#This Row],[delivery_days]]&lt;=7, "Yes", "No")</f>
        <v>Yes</v>
      </c>
      <c r="N1402" t="s">
        <v>16</v>
      </c>
      <c r="O1402" s="2">
        <v>84144</v>
      </c>
    </row>
    <row r="1403" spans="1:15" x14ac:dyDescent="0.3">
      <c r="A1403" s="2">
        <v>1393</v>
      </c>
      <c r="B1403" s="1">
        <v>44985</v>
      </c>
      <c r="C1403" s="1" t="str">
        <f t="shared" si="42"/>
        <v>02-2023</v>
      </c>
      <c r="D1403" s="2">
        <f t="shared" si="43"/>
        <v>9</v>
      </c>
      <c r="E1403" t="s">
        <v>17</v>
      </c>
      <c r="F1403" t="s">
        <v>14</v>
      </c>
      <c r="G1403" t="s">
        <v>19</v>
      </c>
      <c r="H1403" s="2">
        <v>36061</v>
      </c>
      <c r="I1403" s="2">
        <v>3</v>
      </c>
      <c r="J1403" s="2">
        <v>38418</v>
      </c>
      <c r="K1403" s="2">
        <v>30611</v>
      </c>
      <c r="L1403" s="2">
        <v>3</v>
      </c>
      <c r="M1403" t="str">
        <f>IF(Revv_bike_sales_data[[#This Row],[delivery_days]]&lt;=7, "Yes", "No")</f>
        <v>Yes</v>
      </c>
      <c r="N1403" t="s">
        <v>24</v>
      </c>
      <c r="O1403" s="2">
        <v>7807</v>
      </c>
    </row>
    <row r="1404" spans="1:15" x14ac:dyDescent="0.3">
      <c r="A1404" s="2">
        <v>1394</v>
      </c>
      <c r="B1404" s="1">
        <v>44985.041666666664</v>
      </c>
      <c r="C1404" s="1" t="str">
        <f t="shared" si="42"/>
        <v>02-2023</v>
      </c>
      <c r="D1404" s="2">
        <f t="shared" si="43"/>
        <v>9</v>
      </c>
      <c r="E1404" t="s">
        <v>18</v>
      </c>
      <c r="F1404" t="s">
        <v>14</v>
      </c>
      <c r="G1404" t="s">
        <v>20</v>
      </c>
      <c r="H1404" s="2">
        <v>3392</v>
      </c>
      <c r="I1404" s="2">
        <v>6</v>
      </c>
      <c r="J1404" s="2">
        <v>113075</v>
      </c>
      <c r="K1404" s="2">
        <v>37282</v>
      </c>
      <c r="L1404" s="2">
        <v>6</v>
      </c>
      <c r="M1404" t="str">
        <f>IF(Revv_bike_sales_data[[#This Row],[delivery_days]]&lt;=7, "Yes", "No")</f>
        <v>Yes</v>
      </c>
      <c r="N1404" t="s">
        <v>24</v>
      </c>
      <c r="O1404" s="2">
        <v>75793</v>
      </c>
    </row>
    <row r="1405" spans="1:15" x14ac:dyDescent="0.3">
      <c r="A1405" s="2">
        <v>1395</v>
      </c>
      <c r="B1405" s="1">
        <v>44985.083333333336</v>
      </c>
      <c r="C1405" s="1" t="str">
        <f t="shared" si="42"/>
        <v>02-2023</v>
      </c>
      <c r="D1405" s="2">
        <f t="shared" si="43"/>
        <v>9</v>
      </c>
      <c r="E1405" t="s">
        <v>22</v>
      </c>
      <c r="F1405" t="s">
        <v>14</v>
      </c>
      <c r="G1405" t="s">
        <v>20</v>
      </c>
      <c r="H1405" s="2">
        <v>24895</v>
      </c>
      <c r="I1405" s="2">
        <v>5</v>
      </c>
      <c r="J1405" s="2">
        <v>90227</v>
      </c>
      <c r="K1405" s="2">
        <v>56003</v>
      </c>
      <c r="L1405" s="2">
        <v>2</v>
      </c>
      <c r="M1405" t="str">
        <f>IF(Revv_bike_sales_data[[#This Row],[delivery_days]]&lt;=7, "Yes", "No")</f>
        <v>Yes</v>
      </c>
      <c r="N1405" t="s">
        <v>16</v>
      </c>
      <c r="O1405" s="2">
        <v>34224</v>
      </c>
    </row>
    <row r="1406" spans="1:15" x14ac:dyDescent="0.3">
      <c r="A1406" s="2">
        <v>1396</v>
      </c>
      <c r="B1406" s="1">
        <v>44985.125</v>
      </c>
      <c r="C1406" s="1" t="str">
        <f t="shared" si="42"/>
        <v>02-2023</v>
      </c>
      <c r="D1406" s="2">
        <f t="shared" si="43"/>
        <v>9</v>
      </c>
      <c r="E1406" t="s">
        <v>18</v>
      </c>
      <c r="F1406" t="s">
        <v>14</v>
      </c>
      <c r="G1406" t="s">
        <v>15</v>
      </c>
      <c r="H1406" s="2">
        <v>19256</v>
      </c>
      <c r="I1406" s="2">
        <v>6</v>
      </c>
      <c r="J1406" s="2">
        <v>168907</v>
      </c>
      <c r="K1406" s="2">
        <v>96365</v>
      </c>
      <c r="L1406" s="2">
        <v>5</v>
      </c>
      <c r="M1406" t="str">
        <f>IF(Revv_bike_sales_data[[#This Row],[delivery_days]]&lt;=7, "Yes", "No")</f>
        <v>Yes</v>
      </c>
      <c r="N1406" t="s">
        <v>16</v>
      </c>
      <c r="O1406" s="2">
        <v>72542</v>
      </c>
    </row>
    <row r="1407" spans="1:15" x14ac:dyDescent="0.3">
      <c r="A1407" s="2">
        <v>1397</v>
      </c>
      <c r="B1407" s="1">
        <v>44985.166666666664</v>
      </c>
      <c r="C1407" s="1" t="str">
        <f t="shared" si="42"/>
        <v>02-2023</v>
      </c>
      <c r="D1407" s="2">
        <f t="shared" si="43"/>
        <v>9</v>
      </c>
      <c r="E1407" t="s">
        <v>22</v>
      </c>
      <c r="F1407" t="s">
        <v>14</v>
      </c>
      <c r="G1407" t="s">
        <v>21</v>
      </c>
      <c r="H1407" s="2">
        <v>88210</v>
      </c>
      <c r="I1407" s="2">
        <v>0</v>
      </c>
      <c r="J1407" s="2">
        <v>42533</v>
      </c>
      <c r="K1407" s="2">
        <v>89216</v>
      </c>
      <c r="L1407" s="2">
        <v>2</v>
      </c>
      <c r="M1407" t="str">
        <f>IF(Revv_bike_sales_data[[#This Row],[delivery_days]]&lt;=7, "Yes", "No")</f>
        <v>Yes</v>
      </c>
      <c r="N1407" t="s">
        <v>16</v>
      </c>
      <c r="O1407" s="2">
        <v>-46683</v>
      </c>
    </row>
    <row r="1408" spans="1:15" x14ac:dyDescent="0.3">
      <c r="A1408" s="2">
        <v>1398</v>
      </c>
      <c r="B1408" s="1">
        <v>44985.208333333336</v>
      </c>
      <c r="C1408" s="1" t="str">
        <f t="shared" si="42"/>
        <v>02-2023</v>
      </c>
      <c r="D1408" s="2">
        <f t="shared" si="43"/>
        <v>9</v>
      </c>
      <c r="E1408" t="s">
        <v>22</v>
      </c>
      <c r="F1408" t="s">
        <v>23</v>
      </c>
      <c r="G1408" t="s">
        <v>19</v>
      </c>
      <c r="H1408" s="2">
        <v>35151</v>
      </c>
      <c r="I1408" s="2">
        <v>2</v>
      </c>
      <c r="J1408" s="2">
        <v>126457</v>
      </c>
      <c r="K1408" s="2">
        <v>133964</v>
      </c>
      <c r="L1408" s="2">
        <v>12</v>
      </c>
      <c r="M1408" t="str">
        <f>IF(Revv_bike_sales_data[[#This Row],[delivery_days]]&lt;=7, "Yes", "No")</f>
        <v>No</v>
      </c>
      <c r="N1408" t="s">
        <v>24</v>
      </c>
      <c r="O1408" s="2">
        <v>-7507</v>
      </c>
    </row>
    <row r="1409" spans="1:15" x14ac:dyDescent="0.3">
      <c r="A1409" s="2">
        <v>1399</v>
      </c>
      <c r="B1409" s="1">
        <v>44985.25</v>
      </c>
      <c r="C1409" s="1" t="str">
        <f t="shared" si="42"/>
        <v>02-2023</v>
      </c>
      <c r="D1409" s="2">
        <f t="shared" si="43"/>
        <v>9</v>
      </c>
      <c r="E1409" t="s">
        <v>25</v>
      </c>
      <c r="F1409" t="s">
        <v>14</v>
      </c>
      <c r="G1409" t="s">
        <v>19</v>
      </c>
      <c r="H1409" s="2">
        <v>66833</v>
      </c>
      <c r="I1409" s="2">
        <v>5</v>
      </c>
      <c r="J1409" s="2">
        <v>132504</v>
      </c>
      <c r="K1409" s="2">
        <v>26340</v>
      </c>
      <c r="L1409" s="2">
        <v>4</v>
      </c>
      <c r="M1409" t="str">
        <f>IF(Revv_bike_sales_data[[#This Row],[delivery_days]]&lt;=7, "Yes", "No")</f>
        <v>Yes</v>
      </c>
      <c r="N1409" t="s">
        <v>16</v>
      </c>
      <c r="O1409" s="2">
        <v>106164</v>
      </c>
    </row>
    <row r="1410" spans="1:15" x14ac:dyDescent="0.3">
      <c r="A1410" s="2">
        <v>1400</v>
      </c>
      <c r="B1410" s="1">
        <v>44985.291666666664</v>
      </c>
      <c r="C1410" s="1" t="str">
        <f t="shared" si="42"/>
        <v>02-2023</v>
      </c>
      <c r="D1410" s="2">
        <f t="shared" si="43"/>
        <v>9</v>
      </c>
      <c r="E1410" t="s">
        <v>18</v>
      </c>
      <c r="F1410" t="s">
        <v>14</v>
      </c>
      <c r="G1410" t="s">
        <v>21</v>
      </c>
      <c r="H1410" s="2">
        <v>74245</v>
      </c>
      <c r="I1410" s="2">
        <v>2</v>
      </c>
      <c r="J1410" s="2">
        <v>166295</v>
      </c>
      <c r="K1410" s="2">
        <v>111629</v>
      </c>
      <c r="L1410" s="2">
        <v>11</v>
      </c>
      <c r="M1410" t="str">
        <f>IF(Revv_bike_sales_data[[#This Row],[delivery_days]]&lt;=7, "Yes", "No")</f>
        <v>No</v>
      </c>
      <c r="N1410" t="s">
        <v>16</v>
      </c>
      <c r="O1410" s="2">
        <v>54666</v>
      </c>
    </row>
    <row r="1411" spans="1:15" x14ac:dyDescent="0.3">
      <c r="A1411" s="2">
        <v>1401</v>
      </c>
      <c r="B1411" s="1">
        <v>44985.333333333336</v>
      </c>
      <c r="C1411" s="1" t="str">
        <f t="shared" si="42"/>
        <v>02-2023</v>
      </c>
      <c r="D1411" s="2">
        <f t="shared" si="43"/>
        <v>9</v>
      </c>
      <c r="E1411" t="s">
        <v>18</v>
      </c>
      <c r="F1411" t="s">
        <v>14</v>
      </c>
      <c r="G1411" t="s">
        <v>20</v>
      </c>
      <c r="H1411" s="2">
        <v>49806</v>
      </c>
      <c r="I1411" s="2">
        <v>6</v>
      </c>
      <c r="J1411" s="2">
        <v>149202</v>
      </c>
      <c r="K1411" s="2">
        <v>101643</v>
      </c>
      <c r="L1411" s="2">
        <v>11</v>
      </c>
      <c r="M1411" t="str">
        <f>IF(Revv_bike_sales_data[[#This Row],[delivery_days]]&lt;=7, "Yes", "No")</f>
        <v>No</v>
      </c>
      <c r="N1411" t="s">
        <v>16</v>
      </c>
      <c r="O1411" s="2">
        <v>47559</v>
      </c>
    </row>
    <row r="1412" spans="1:15" x14ac:dyDescent="0.3">
      <c r="A1412" s="2">
        <v>1402</v>
      </c>
      <c r="B1412" s="1">
        <v>44985.375</v>
      </c>
      <c r="C1412" s="1" t="str">
        <f t="shared" si="42"/>
        <v>02-2023</v>
      </c>
      <c r="D1412" s="2">
        <f t="shared" si="43"/>
        <v>9</v>
      </c>
      <c r="E1412" t="s">
        <v>17</v>
      </c>
      <c r="F1412" t="s">
        <v>23</v>
      </c>
      <c r="G1412" t="s">
        <v>19</v>
      </c>
      <c r="H1412" s="2">
        <v>21846</v>
      </c>
      <c r="I1412" s="2">
        <v>8</v>
      </c>
      <c r="J1412" s="2">
        <v>35273</v>
      </c>
      <c r="K1412" s="2">
        <v>89684</v>
      </c>
      <c r="L1412" s="2">
        <v>3</v>
      </c>
      <c r="M1412" t="str">
        <f>IF(Revv_bike_sales_data[[#This Row],[delivery_days]]&lt;=7, "Yes", "No")</f>
        <v>Yes</v>
      </c>
      <c r="N1412" t="s">
        <v>16</v>
      </c>
      <c r="O1412" s="2">
        <v>-54411</v>
      </c>
    </row>
    <row r="1413" spans="1:15" x14ac:dyDescent="0.3">
      <c r="A1413" s="2">
        <v>1403</v>
      </c>
      <c r="B1413" s="1">
        <v>44985.416666666664</v>
      </c>
      <c r="C1413" s="1" t="str">
        <f t="shared" si="42"/>
        <v>02-2023</v>
      </c>
      <c r="D1413" s="2">
        <f t="shared" si="43"/>
        <v>9</v>
      </c>
      <c r="E1413" t="s">
        <v>17</v>
      </c>
      <c r="F1413" t="s">
        <v>14</v>
      </c>
      <c r="G1413" t="s">
        <v>15</v>
      </c>
      <c r="H1413" s="2">
        <v>28524</v>
      </c>
      <c r="I1413" s="2">
        <v>2</v>
      </c>
      <c r="J1413" s="2">
        <v>58519</v>
      </c>
      <c r="K1413" s="2">
        <v>123610</v>
      </c>
      <c r="L1413" s="2">
        <v>5</v>
      </c>
      <c r="M1413" t="str">
        <f>IF(Revv_bike_sales_data[[#This Row],[delivery_days]]&lt;=7, "Yes", "No")</f>
        <v>Yes</v>
      </c>
      <c r="N1413" t="s">
        <v>24</v>
      </c>
      <c r="O1413" s="2">
        <v>-65091</v>
      </c>
    </row>
    <row r="1414" spans="1:15" x14ac:dyDescent="0.3">
      <c r="A1414" s="2">
        <v>1404</v>
      </c>
      <c r="B1414" s="1">
        <v>44985.458333333336</v>
      </c>
      <c r="C1414" s="1" t="str">
        <f t="shared" si="42"/>
        <v>02-2023</v>
      </c>
      <c r="D1414" s="2">
        <f t="shared" si="43"/>
        <v>9</v>
      </c>
      <c r="E1414" t="s">
        <v>25</v>
      </c>
      <c r="F1414" t="s">
        <v>14</v>
      </c>
      <c r="G1414" t="s">
        <v>20</v>
      </c>
      <c r="H1414" s="2">
        <v>95450</v>
      </c>
      <c r="I1414" s="2">
        <v>0</v>
      </c>
      <c r="J1414" s="2">
        <v>152024</v>
      </c>
      <c r="K1414" s="2">
        <v>135332</v>
      </c>
      <c r="L1414" s="2">
        <v>6</v>
      </c>
      <c r="M1414" t="str">
        <f>IF(Revv_bike_sales_data[[#This Row],[delivery_days]]&lt;=7, "Yes", "No")</f>
        <v>Yes</v>
      </c>
      <c r="N1414" t="s">
        <v>16</v>
      </c>
      <c r="O1414" s="2">
        <v>16692</v>
      </c>
    </row>
    <row r="1415" spans="1:15" x14ac:dyDescent="0.3">
      <c r="A1415" s="2">
        <v>1405</v>
      </c>
      <c r="B1415" s="1">
        <v>44985.5</v>
      </c>
      <c r="C1415" s="1" t="str">
        <f t="shared" si="42"/>
        <v>02-2023</v>
      </c>
      <c r="D1415" s="2">
        <f t="shared" si="43"/>
        <v>9</v>
      </c>
      <c r="E1415" t="s">
        <v>25</v>
      </c>
      <c r="F1415" t="s">
        <v>14</v>
      </c>
      <c r="G1415" t="s">
        <v>15</v>
      </c>
      <c r="H1415" s="2">
        <v>41318</v>
      </c>
      <c r="I1415" s="2">
        <v>9</v>
      </c>
      <c r="J1415" s="2">
        <v>149540</v>
      </c>
      <c r="K1415" s="2">
        <v>98035</v>
      </c>
      <c r="L1415" s="2">
        <v>13</v>
      </c>
      <c r="M1415" t="str">
        <f>IF(Revv_bike_sales_data[[#This Row],[delivery_days]]&lt;=7, "Yes", "No")</f>
        <v>No</v>
      </c>
      <c r="N1415" t="s">
        <v>16</v>
      </c>
      <c r="O1415" s="2">
        <v>51505</v>
      </c>
    </row>
    <row r="1416" spans="1:15" x14ac:dyDescent="0.3">
      <c r="A1416" s="2">
        <v>1406</v>
      </c>
      <c r="B1416" s="1">
        <v>44985.541666666664</v>
      </c>
      <c r="C1416" s="1" t="str">
        <f t="shared" si="42"/>
        <v>02-2023</v>
      </c>
      <c r="D1416" s="2">
        <f t="shared" si="43"/>
        <v>9</v>
      </c>
      <c r="E1416" t="s">
        <v>13</v>
      </c>
      <c r="F1416" t="s">
        <v>23</v>
      </c>
      <c r="G1416" t="s">
        <v>20</v>
      </c>
      <c r="H1416" s="2">
        <v>6447</v>
      </c>
      <c r="I1416" s="2">
        <v>5</v>
      </c>
      <c r="J1416" s="2">
        <v>166420</v>
      </c>
      <c r="K1416" s="2">
        <v>33165</v>
      </c>
      <c r="L1416" s="2">
        <v>7</v>
      </c>
      <c r="M1416" t="str">
        <f>IF(Revv_bike_sales_data[[#This Row],[delivery_days]]&lt;=7, "Yes", "No")</f>
        <v>Yes</v>
      </c>
      <c r="N1416" t="s">
        <v>16</v>
      </c>
      <c r="O1416" s="2">
        <v>133255</v>
      </c>
    </row>
    <row r="1417" spans="1:15" x14ac:dyDescent="0.3">
      <c r="A1417" s="2">
        <v>1407</v>
      </c>
      <c r="B1417" s="1">
        <v>44985.583333333336</v>
      </c>
      <c r="C1417" s="1" t="str">
        <f t="shared" si="42"/>
        <v>02-2023</v>
      </c>
      <c r="D1417" s="2">
        <f t="shared" si="43"/>
        <v>9</v>
      </c>
      <c r="E1417" t="s">
        <v>17</v>
      </c>
      <c r="F1417" t="s">
        <v>14</v>
      </c>
      <c r="G1417" t="s">
        <v>21</v>
      </c>
      <c r="H1417" s="2">
        <v>75653</v>
      </c>
      <c r="I1417" s="2">
        <v>0</v>
      </c>
      <c r="J1417" s="2">
        <v>108460</v>
      </c>
      <c r="K1417" s="2">
        <v>124322</v>
      </c>
      <c r="L1417" s="2">
        <v>10</v>
      </c>
      <c r="M1417" t="str">
        <f>IF(Revv_bike_sales_data[[#This Row],[delivery_days]]&lt;=7, "Yes", "No")</f>
        <v>No</v>
      </c>
      <c r="N1417" t="s">
        <v>16</v>
      </c>
      <c r="O1417" s="2">
        <v>-15862</v>
      </c>
    </row>
    <row r="1418" spans="1:15" x14ac:dyDescent="0.3">
      <c r="A1418" s="2">
        <v>1408</v>
      </c>
      <c r="B1418" s="1">
        <v>44985.625</v>
      </c>
      <c r="C1418" s="1" t="str">
        <f t="shared" si="42"/>
        <v>02-2023</v>
      </c>
      <c r="D1418" s="2">
        <f t="shared" si="43"/>
        <v>9</v>
      </c>
      <c r="E1418" t="s">
        <v>22</v>
      </c>
      <c r="F1418" t="s">
        <v>14</v>
      </c>
      <c r="G1418" t="s">
        <v>15</v>
      </c>
      <c r="H1418" s="2">
        <v>86740</v>
      </c>
      <c r="I1418" s="2">
        <v>0</v>
      </c>
      <c r="J1418" s="2">
        <v>129471</v>
      </c>
      <c r="K1418" s="2">
        <v>105762</v>
      </c>
      <c r="L1418" s="2">
        <v>8</v>
      </c>
      <c r="M1418" t="str">
        <f>IF(Revv_bike_sales_data[[#This Row],[delivery_days]]&lt;=7, "Yes", "No")</f>
        <v>No</v>
      </c>
      <c r="N1418" t="s">
        <v>16</v>
      </c>
      <c r="O1418" s="2">
        <v>23709</v>
      </c>
    </row>
    <row r="1419" spans="1:15" x14ac:dyDescent="0.3">
      <c r="A1419" s="2">
        <v>1409</v>
      </c>
      <c r="B1419" s="1">
        <v>44985.666666666664</v>
      </c>
      <c r="C1419" s="1" t="str">
        <f t="shared" ref="C1419:C1482" si="44">TEXT(B1419,"mm-yyyy")</f>
        <v>02-2023</v>
      </c>
      <c r="D1419" s="2">
        <f t="shared" ref="D1419:D1482" si="45">WEEKNUM(B1419)</f>
        <v>9</v>
      </c>
      <c r="E1419" t="s">
        <v>18</v>
      </c>
      <c r="F1419" t="s">
        <v>14</v>
      </c>
      <c r="G1419" t="s">
        <v>15</v>
      </c>
      <c r="H1419" s="2">
        <v>94738</v>
      </c>
      <c r="I1419" s="2">
        <v>7</v>
      </c>
      <c r="J1419" s="2">
        <v>129668</v>
      </c>
      <c r="K1419" s="2">
        <v>33260</v>
      </c>
      <c r="L1419" s="2">
        <v>9</v>
      </c>
      <c r="M1419" t="str">
        <f>IF(Revv_bike_sales_data[[#This Row],[delivery_days]]&lt;=7, "Yes", "No")</f>
        <v>No</v>
      </c>
      <c r="N1419" t="s">
        <v>24</v>
      </c>
      <c r="O1419" s="2">
        <v>96408</v>
      </c>
    </row>
    <row r="1420" spans="1:15" x14ac:dyDescent="0.3">
      <c r="A1420" s="2">
        <v>1410</v>
      </c>
      <c r="B1420" s="1">
        <v>44985.708333333336</v>
      </c>
      <c r="C1420" s="1" t="str">
        <f t="shared" si="44"/>
        <v>02-2023</v>
      </c>
      <c r="D1420" s="2">
        <f t="shared" si="45"/>
        <v>9</v>
      </c>
      <c r="E1420" t="s">
        <v>25</v>
      </c>
      <c r="F1420" t="s">
        <v>14</v>
      </c>
      <c r="G1420" t="s">
        <v>21</v>
      </c>
      <c r="H1420" s="2">
        <v>67928</v>
      </c>
      <c r="I1420" s="2">
        <v>8</v>
      </c>
      <c r="J1420" s="2">
        <v>92519</v>
      </c>
      <c r="K1420" s="2">
        <v>69515</v>
      </c>
      <c r="L1420" s="2">
        <v>14</v>
      </c>
      <c r="M1420" t="str">
        <f>IF(Revv_bike_sales_data[[#This Row],[delivery_days]]&lt;=7, "Yes", "No")</f>
        <v>No</v>
      </c>
      <c r="N1420" t="s">
        <v>16</v>
      </c>
      <c r="O1420" s="2">
        <v>23004</v>
      </c>
    </row>
    <row r="1421" spans="1:15" x14ac:dyDescent="0.3">
      <c r="A1421" s="2">
        <v>1411</v>
      </c>
      <c r="B1421" s="1">
        <v>44985.75</v>
      </c>
      <c r="C1421" s="1" t="str">
        <f t="shared" si="44"/>
        <v>02-2023</v>
      </c>
      <c r="D1421" s="2">
        <f t="shared" si="45"/>
        <v>9</v>
      </c>
      <c r="E1421" t="s">
        <v>18</v>
      </c>
      <c r="F1421" t="s">
        <v>14</v>
      </c>
      <c r="G1421" t="s">
        <v>15</v>
      </c>
      <c r="H1421" s="2">
        <v>30254</v>
      </c>
      <c r="I1421" s="2">
        <v>1</v>
      </c>
      <c r="J1421" s="2">
        <v>115426</v>
      </c>
      <c r="K1421" s="2">
        <v>105452</v>
      </c>
      <c r="L1421" s="2">
        <v>4</v>
      </c>
      <c r="M1421" t="str">
        <f>IF(Revv_bike_sales_data[[#This Row],[delivery_days]]&lt;=7, "Yes", "No")</f>
        <v>Yes</v>
      </c>
      <c r="N1421" t="s">
        <v>16</v>
      </c>
      <c r="O1421" s="2">
        <v>9974</v>
      </c>
    </row>
    <row r="1422" spans="1:15" x14ac:dyDescent="0.3">
      <c r="A1422" s="2">
        <v>1412</v>
      </c>
      <c r="B1422" s="1">
        <v>44985.791666666664</v>
      </c>
      <c r="C1422" s="1" t="str">
        <f t="shared" si="44"/>
        <v>02-2023</v>
      </c>
      <c r="D1422" s="2">
        <f t="shared" si="45"/>
        <v>9</v>
      </c>
      <c r="E1422" t="s">
        <v>18</v>
      </c>
      <c r="F1422" t="s">
        <v>14</v>
      </c>
      <c r="G1422" t="s">
        <v>20</v>
      </c>
      <c r="H1422" s="2">
        <v>63855</v>
      </c>
      <c r="I1422" s="2">
        <v>8</v>
      </c>
      <c r="J1422" s="2">
        <v>39629</v>
      </c>
      <c r="K1422" s="2">
        <v>124446</v>
      </c>
      <c r="L1422" s="2">
        <v>4</v>
      </c>
      <c r="M1422" t="str">
        <f>IF(Revv_bike_sales_data[[#This Row],[delivery_days]]&lt;=7, "Yes", "No")</f>
        <v>Yes</v>
      </c>
      <c r="N1422" t="s">
        <v>16</v>
      </c>
      <c r="O1422" s="2">
        <v>-84817</v>
      </c>
    </row>
    <row r="1423" spans="1:15" x14ac:dyDescent="0.3">
      <c r="A1423" s="2">
        <v>1413</v>
      </c>
      <c r="B1423" s="1">
        <v>44985.833333333336</v>
      </c>
      <c r="C1423" s="1" t="str">
        <f t="shared" si="44"/>
        <v>02-2023</v>
      </c>
      <c r="D1423" s="2">
        <f t="shared" si="45"/>
        <v>9</v>
      </c>
      <c r="E1423" t="s">
        <v>13</v>
      </c>
      <c r="F1423" t="s">
        <v>14</v>
      </c>
      <c r="G1423" t="s">
        <v>19</v>
      </c>
      <c r="H1423" s="2">
        <v>58741</v>
      </c>
      <c r="I1423" s="2">
        <v>4</v>
      </c>
      <c r="J1423" s="2">
        <v>74056</v>
      </c>
      <c r="K1423" s="2">
        <v>45480</v>
      </c>
      <c r="L1423" s="2">
        <v>7</v>
      </c>
      <c r="M1423" t="str">
        <f>IF(Revv_bike_sales_data[[#This Row],[delivery_days]]&lt;=7, "Yes", "No")</f>
        <v>Yes</v>
      </c>
      <c r="N1423" t="s">
        <v>16</v>
      </c>
      <c r="O1423" s="2">
        <v>28576</v>
      </c>
    </row>
    <row r="1424" spans="1:15" x14ac:dyDescent="0.3">
      <c r="A1424" s="2">
        <v>1414</v>
      </c>
      <c r="B1424" s="1">
        <v>44985.875</v>
      </c>
      <c r="C1424" s="1" t="str">
        <f t="shared" si="44"/>
        <v>02-2023</v>
      </c>
      <c r="D1424" s="2">
        <f t="shared" si="45"/>
        <v>9</v>
      </c>
      <c r="E1424" t="s">
        <v>17</v>
      </c>
      <c r="F1424" t="s">
        <v>14</v>
      </c>
      <c r="G1424" t="s">
        <v>19</v>
      </c>
      <c r="H1424" s="2">
        <v>69460</v>
      </c>
      <c r="I1424" s="2">
        <v>7</v>
      </c>
      <c r="J1424" s="2">
        <v>36273</v>
      </c>
      <c r="K1424" s="2">
        <v>67527</v>
      </c>
      <c r="L1424" s="2">
        <v>12</v>
      </c>
      <c r="M1424" t="str">
        <f>IF(Revv_bike_sales_data[[#This Row],[delivery_days]]&lt;=7, "Yes", "No")</f>
        <v>No</v>
      </c>
      <c r="N1424" t="s">
        <v>16</v>
      </c>
      <c r="O1424" s="2">
        <v>-31254</v>
      </c>
    </row>
    <row r="1425" spans="1:15" x14ac:dyDescent="0.3">
      <c r="A1425" s="2">
        <v>1415</v>
      </c>
      <c r="B1425" s="1">
        <v>44985.916666666664</v>
      </c>
      <c r="C1425" s="1" t="str">
        <f t="shared" si="44"/>
        <v>02-2023</v>
      </c>
      <c r="D1425" s="2">
        <f t="shared" si="45"/>
        <v>9</v>
      </c>
      <c r="E1425" t="s">
        <v>25</v>
      </c>
      <c r="F1425" t="s">
        <v>14</v>
      </c>
      <c r="G1425" t="s">
        <v>21</v>
      </c>
      <c r="H1425" s="2">
        <v>13918</v>
      </c>
      <c r="I1425" s="2">
        <v>6</v>
      </c>
      <c r="J1425" s="2">
        <v>145484</v>
      </c>
      <c r="K1425" s="2">
        <v>74789</v>
      </c>
      <c r="L1425" s="2">
        <v>10</v>
      </c>
      <c r="M1425" t="str">
        <f>IF(Revv_bike_sales_data[[#This Row],[delivery_days]]&lt;=7, "Yes", "No")</f>
        <v>No</v>
      </c>
      <c r="N1425" t="s">
        <v>16</v>
      </c>
      <c r="O1425" s="2">
        <v>70695</v>
      </c>
    </row>
    <row r="1426" spans="1:15" x14ac:dyDescent="0.3">
      <c r="A1426" s="2">
        <v>1416</v>
      </c>
      <c r="B1426" s="1">
        <v>44985.958333333336</v>
      </c>
      <c r="C1426" s="1" t="str">
        <f t="shared" si="44"/>
        <v>02-2023</v>
      </c>
      <c r="D1426" s="2">
        <f t="shared" si="45"/>
        <v>9</v>
      </c>
      <c r="E1426" t="s">
        <v>18</v>
      </c>
      <c r="F1426" t="s">
        <v>23</v>
      </c>
      <c r="G1426" t="s">
        <v>20</v>
      </c>
      <c r="H1426" s="2">
        <v>95922</v>
      </c>
      <c r="I1426" s="2">
        <v>6</v>
      </c>
      <c r="J1426" s="2">
        <v>122275</v>
      </c>
      <c r="K1426" s="2">
        <v>66902</v>
      </c>
      <c r="L1426" s="2">
        <v>10</v>
      </c>
      <c r="M1426" t="str">
        <f>IF(Revv_bike_sales_data[[#This Row],[delivery_days]]&lt;=7, "Yes", "No")</f>
        <v>No</v>
      </c>
      <c r="N1426" t="s">
        <v>16</v>
      </c>
      <c r="O1426" s="2">
        <v>55373</v>
      </c>
    </row>
    <row r="1427" spans="1:15" x14ac:dyDescent="0.3">
      <c r="A1427" s="2">
        <v>1417</v>
      </c>
      <c r="B1427" s="1">
        <v>44986</v>
      </c>
      <c r="C1427" s="1" t="str">
        <f t="shared" si="44"/>
        <v>03-2023</v>
      </c>
      <c r="D1427" s="2">
        <f t="shared" si="45"/>
        <v>9</v>
      </c>
      <c r="E1427" t="s">
        <v>25</v>
      </c>
      <c r="F1427" t="s">
        <v>14</v>
      </c>
      <c r="G1427" t="s">
        <v>15</v>
      </c>
      <c r="H1427" s="2">
        <v>89093</v>
      </c>
      <c r="I1427" s="2">
        <v>3</v>
      </c>
      <c r="J1427" s="2">
        <v>163966</v>
      </c>
      <c r="K1427" s="2">
        <v>47191</v>
      </c>
      <c r="L1427" s="2">
        <v>11</v>
      </c>
      <c r="M1427" t="str">
        <f>IF(Revv_bike_sales_data[[#This Row],[delivery_days]]&lt;=7, "Yes", "No")</f>
        <v>No</v>
      </c>
      <c r="N1427" t="s">
        <v>16</v>
      </c>
      <c r="O1427" s="2">
        <v>116775</v>
      </c>
    </row>
    <row r="1428" spans="1:15" x14ac:dyDescent="0.3">
      <c r="A1428" s="2">
        <v>1418</v>
      </c>
      <c r="B1428" s="1">
        <v>44986.041666666664</v>
      </c>
      <c r="C1428" s="1" t="str">
        <f t="shared" si="44"/>
        <v>03-2023</v>
      </c>
      <c r="D1428" s="2">
        <f t="shared" si="45"/>
        <v>9</v>
      </c>
      <c r="E1428" t="s">
        <v>22</v>
      </c>
      <c r="F1428" t="s">
        <v>14</v>
      </c>
      <c r="G1428" t="s">
        <v>15</v>
      </c>
      <c r="H1428" s="2">
        <v>55684</v>
      </c>
      <c r="I1428" s="2">
        <v>1</v>
      </c>
      <c r="J1428" s="2">
        <v>71073</v>
      </c>
      <c r="K1428" s="2">
        <v>74488</v>
      </c>
      <c r="L1428" s="2">
        <v>9</v>
      </c>
      <c r="M1428" t="str">
        <f>IF(Revv_bike_sales_data[[#This Row],[delivery_days]]&lt;=7, "Yes", "No")</f>
        <v>No</v>
      </c>
      <c r="N1428" t="s">
        <v>24</v>
      </c>
      <c r="O1428" s="2">
        <v>-3415</v>
      </c>
    </row>
    <row r="1429" spans="1:15" x14ac:dyDescent="0.3">
      <c r="A1429" s="2">
        <v>1419</v>
      </c>
      <c r="B1429" s="1">
        <v>44986.083333333336</v>
      </c>
      <c r="C1429" s="1" t="str">
        <f t="shared" si="44"/>
        <v>03-2023</v>
      </c>
      <c r="D1429" s="2">
        <f t="shared" si="45"/>
        <v>9</v>
      </c>
      <c r="E1429" t="s">
        <v>13</v>
      </c>
      <c r="F1429" t="s">
        <v>14</v>
      </c>
      <c r="G1429" t="s">
        <v>19</v>
      </c>
      <c r="H1429" s="2">
        <v>5333</v>
      </c>
      <c r="I1429" s="2">
        <v>4</v>
      </c>
      <c r="J1429" s="2">
        <v>70693</v>
      </c>
      <c r="K1429" s="2">
        <v>90082</v>
      </c>
      <c r="L1429" s="2">
        <v>11</v>
      </c>
      <c r="M1429" t="str">
        <f>IF(Revv_bike_sales_data[[#This Row],[delivery_days]]&lt;=7, "Yes", "No")</f>
        <v>No</v>
      </c>
      <c r="N1429" t="s">
        <v>16</v>
      </c>
      <c r="O1429" s="2">
        <v>-19389</v>
      </c>
    </row>
    <row r="1430" spans="1:15" x14ac:dyDescent="0.3">
      <c r="A1430" s="2">
        <v>1420</v>
      </c>
      <c r="B1430" s="1">
        <v>44986.125</v>
      </c>
      <c r="C1430" s="1" t="str">
        <f t="shared" si="44"/>
        <v>03-2023</v>
      </c>
      <c r="D1430" s="2">
        <f t="shared" si="45"/>
        <v>9</v>
      </c>
      <c r="E1430" t="s">
        <v>22</v>
      </c>
      <c r="F1430" t="s">
        <v>14</v>
      </c>
      <c r="G1430" t="s">
        <v>15</v>
      </c>
      <c r="H1430" s="2">
        <v>75930</v>
      </c>
      <c r="I1430" s="2">
        <v>2</v>
      </c>
      <c r="J1430" s="2">
        <v>49343</v>
      </c>
      <c r="K1430" s="2">
        <v>51044</v>
      </c>
      <c r="L1430" s="2">
        <v>2</v>
      </c>
      <c r="M1430" t="str">
        <f>IF(Revv_bike_sales_data[[#This Row],[delivery_days]]&lt;=7, "Yes", "No")</f>
        <v>Yes</v>
      </c>
      <c r="N1430" t="s">
        <v>16</v>
      </c>
      <c r="O1430" s="2">
        <v>-1701</v>
      </c>
    </row>
    <row r="1431" spans="1:15" x14ac:dyDescent="0.3">
      <c r="A1431" s="2">
        <v>1421</v>
      </c>
      <c r="B1431" s="1">
        <v>44986.166666666664</v>
      </c>
      <c r="C1431" s="1" t="str">
        <f t="shared" si="44"/>
        <v>03-2023</v>
      </c>
      <c r="D1431" s="2">
        <f t="shared" si="45"/>
        <v>9</v>
      </c>
      <c r="E1431" t="s">
        <v>25</v>
      </c>
      <c r="F1431" t="s">
        <v>14</v>
      </c>
      <c r="G1431" t="s">
        <v>19</v>
      </c>
      <c r="H1431" s="2">
        <v>42333</v>
      </c>
      <c r="I1431" s="2">
        <v>8</v>
      </c>
      <c r="J1431" s="2">
        <v>68095</v>
      </c>
      <c r="K1431" s="2">
        <v>64600</v>
      </c>
      <c r="L1431" s="2">
        <v>13</v>
      </c>
      <c r="M1431" t="str">
        <f>IF(Revv_bike_sales_data[[#This Row],[delivery_days]]&lt;=7, "Yes", "No")</f>
        <v>No</v>
      </c>
      <c r="N1431" t="s">
        <v>16</v>
      </c>
      <c r="O1431" s="2">
        <v>3495</v>
      </c>
    </row>
    <row r="1432" spans="1:15" x14ac:dyDescent="0.3">
      <c r="A1432" s="2">
        <v>1422</v>
      </c>
      <c r="B1432" s="1">
        <v>44986.208333333336</v>
      </c>
      <c r="C1432" s="1" t="str">
        <f t="shared" si="44"/>
        <v>03-2023</v>
      </c>
      <c r="D1432" s="2">
        <f t="shared" si="45"/>
        <v>9</v>
      </c>
      <c r="E1432" t="s">
        <v>25</v>
      </c>
      <c r="F1432" t="s">
        <v>14</v>
      </c>
      <c r="G1432" t="s">
        <v>21</v>
      </c>
      <c r="H1432" s="2">
        <v>1065</v>
      </c>
      <c r="I1432" s="2">
        <v>5</v>
      </c>
      <c r="J1432" s="2">
        <v>147388</v>
      </c>
      <c r="K1432" s="2">
        <v>102457</v>
      </c>
      <c r="L1432" s="2">
        <v>11</v>
      </c>
      <c r="M1432" t="str">
        <f>IF(Revv_bike_sales_data[[#This Row],[delivery_days]]&lt;=7, "Yes", "No")</f>
        <v>No</v>
      </c>
      <c r="N1432" t="s">
        <v>16</v>
      </c>
      <c r="O1432" s="2">
        <v>44931</v>
      </c>
    </row>
    <row r="1433" spans="1:15" x14ac:dyDescent="0.3">
      <c r="A1433" s="2">
        <v>1423</v>
      </c>
      <c r="B1433" s="1">
        <v>44986.25</v>
      </c>
      <c r="C1433" s="1" t="str">
        <f t="shared" si="44"/>
        <v>03-2023</v>
      </c>
      <c r="D1433" s="2">
        <f t="shared" si="45"/>
        <v>9</v>
      </c>
      <c r="E1433" t="s">
        <v>17</v>
      </c>
      <c r="F1433" t="s">
        <v>14</v>
      </c>
      <c r="G1433" t="s">
        <v>15</v>
      </c>
      <c r="H1433" s="2">
        <v>40680</v>
      </c>
      <c r="I1433" s="2">
        <v>0</v>
      </c>
      <c r="J1433" s="2">
        <v>139441</v>
      </c>
      <c r="K1433" s="2">
        <v>63776</v>
      </c>
      <c r="L1433" s="2">
        <v>6</v>
      </c>
      <c r="M1433" t="str">
        <f>IF(Revv_bike_sales_data[[#This Row],[delivery_days]]&lt;=7, "Yes", "No")</f>
        <v>Yes</v>
      </c>
      <c r="N1433" t="s">
        <v>16</v>
      </c>
      <c r="O1433" s="2">
        <v>75665</v>
      </c>
    </row>
    <row r="1434" spans="1:15" x14ac:dyDescent="0.3">
      <c r="A1434" s="2">
        <v>1424</v>
      </c>
      <c r="B1434" s="1">
        <v>44986.291666666664</v>
      </c>
      <c r="C1434" s="1" t="str">
        <f t="shared" si="44"/>
        <v>03-2023</v>
      </c>
      <c r="D1434" s="2">
        <f t="shared" si="45"/>
        <v>9</v>
      </c>
      <c r="E1434" t="s">
        <v>18</v>
      </c>
      <c r="F1434" t="s">
        <v>14</v>
      </c>
      <c r="G1434" t="s">
        <v>20</v>
      </c>
      <c r="H1434" s="2">
        <v>18902</v>
      </c>
      <c r="I1434" s="2">
        <v>2</v>
      </c>
      <c r="J1434" s="2">
        <v>125782</v>
      </c>
      <c r="K1434" s="2">
        <v>117476</v>
      </c>
      <c r="L1434" s="2">
        <v>10</v>
      </c>
      <c r="M1434" t="str">
        <f>IF(Revv_bike_sales_data[[#This Row],[delivery_days]]&lt;=7, "Yes", "No")</f>
        <v>No</v>
      </c>
      <c r="N1434" t="s">
        <v>16</v>
      </c>
      <c r="O1434" s="2">
        <v>8306</v>
      </c>
    </row>
    <row r="1435" spans="1:15" x14ac:dyDescent="0.3">
      <c r="A1435" s="2">
        <v>1425</v>
      </c>
      <c r="B1435" s="1">
        <v>44986.333333333336</v>
      </c>
      <c r="C1435" s="1" t="str">
        <f t="shared" si="44"/>
        <v>03-2023</v>
      </c>
      <c r="D1435" s="2">
        <f t="shared" si="45"/>
        <v>9</v>
      </c>
      <c r="E1435" t="s">
        <v>18</v>
      </c>
      <c r="F1435" t="s">
        <v>14</v>
      </c>
      <c r="G1435" t="s">
        <v>15</v>
      </c>
      <c r="H1435" s="2">
        <v>43345</v>
      </c>
      <c r="I1435" s="2">
        <v>3</v>
      </c>
      <c r="J1435" s="2">
        <v>97590</v>
      </c>
      <c r="K1435" s="2">
        <v>126487</v>
      </c>
      <c r="L1435" s="2">
        <v>10</v>
      </c>
      <c r="M1435" t="str">
        <f>IF(Revv_bike_sales_data[[#This Row],[delivery_days]]&lt;=7, "Yes", "No")</f>
        <v>No</v>
      </c>
      <c r="N1435" t="s">
        <v>16</v>
      </c>
      <c r="O1435" s="2">
        <v>-28897</v>
      </c>
    </row>
    <row r="1436" spans="1:15" x14ac:dyDescent="0.3">
      <c r="A1436" s="2">
        <v>1426</v>
      </c>
      <c r="B1436" s="1">
        <v>44986.375</v>
      </c>
      <c r="C1436" s="1" t="str">
        <f t="shared" si="44"/>
        <v>03-2023</v>
      </c>
      <c r="D1436" s="2">
        <f t="shared" si="45"/>
        <v>9</v>
      </c>
      <c r="E1436" t="s">
        <v>22</v>
      </c>
      <c r="F1436" t="s">
        <v>14</v>
      </c>
      <c r="G1436" t="s">
        <v>19</v>
      </c>
      <c r="H1436" s="2">
        <v>76351</v>
      </c>
      <c r="I1436" s="2">
        <v>8</v>
      </c>
      <c r="J1436" s="2">
        <v>133263</v>
      </c>
      <c r="K1436" s="2">
        <v>27836</v>
      </c>
      <c r="L1436" s="2">
        <v>8</v>
      </c>
      <c r="M1436" t="str">
        <f>IF(Revv_bike_sales_data[[#This Row],[delivery_days]]&lt;=7, "Yes", "No")</f>
        <v>No</v>
      </c>
      <c r="N1436" t="s">
        <v>24</v>
      </c>
      <c r="O1436" s="2">
        <v>105427</v>
      </c>
    </row>
    <row r="1437" spans="1:15" x14ac:dyDescent="0.3">
      <c r="A1437" s="2">
        <v>1427</v>
      </c>
      <c r="B1437" s="1">
        <v>44986.416666666664</v>
      </c>
      <c r="C1437" s="1" t="str">
        <f t="shared" si="44"/>
        <v>03-2023</v>
      </c>
      <c r="D1437" s="2">
        <f t="shared" si="45"/>
        <v>9</v>
      </c>
      <c r="E1437" t="s">
        <v>13</v>
      </c>
      <c r="F1437" t="s">
        <v>14</v>
      </c>
      <c r="G1437" t="s">
        <v>21</v>
      </c>
      <c r="H1437" s="2">
        <v>13334</v>
      </c>
      <c r="I1437" s="2">
        <v>5</v>
      </c>
      <c r="J1437" s="2">
        <v>54373</v>
      </c>
      <c r="K1437" s="2">
        <v>89525</v>
      </c>
      <c r="L1437" s="2">
        <v>13</v>
      </c>
      <c r="M1437" t="str">
        <f>IF(Revv_bike_sales_data[[#This Row],[delivery_days]]&lt;=7, "Yes", "No")</f>
        <v>No</v>
      </c>
      <c r="N1437" t="s">
        <v>16</v>
      </c>
      <c r="O1437" s="2">
        <v>-35152</v>
      </c>
    </row>
    <row r="1438" spans="1:15" x14ac:dyDescent="0.3">
      <c r="A1438" s="2">
        <v>1428</v>
      </c>
      <c r="B1438" s="1">
        <v>44986.458333333336</v>
      </c>
      <c r="C1438" s="1" t="str">
        <f t="shared" si="44"/>
        <v>03-2023</v>
      </c>
      <c r="D1438" s="2">
        <f t="shared" si="45"/>
        <v>9</v>
      </c>
      <c r="E1438" t="s">
        <v>18</v>
      </c>
      <c r="F1438" t="s">
        <v>23</v>
      </c>
      <c r="G1438" t="s">
        <v>19</v>
      </c>
      <c r="H1438" s="2">
        <v>68350</v>
      </c>
      <c r="I1438" s="2">
        <v>3</v>
      </c>
      <c r="J1438" s="2">
        <v>52525</v>
      </c>
      <c r="K1438" s="2">
        <v>67648</v>
      </c>
      <c r="L1438" s="2">
        <v>5</v>
      </c>
      <c r="M1438" t="str">
        <f>IF(Revv_bike_sales_data[[#This Row],[delivery_days]]&lt;=7, "Yes", "No")</f>
        <v>Yes</v>
      </c>
      <c r="N1438" t="s">
        <v>16</v>
      </c>
      <c r="O1438" s="2">
        <v>-15123</v>
      </c>
    </row>
    <row r="1439" spans="1:15" x14ac:dyDescent="0.3">
      <c r="A1439" s="2">
        <v>1429</v>
      </c>
      <c r="B1439" s="1">
        <v>44986.5</v>
      </c>
      <c r="C1439" s="1" t="str">
        <f t="shared" si="44"/>
        <v>03-2023</v>
      </c>
      <c r="D1439" s="2">
        <f t="shared" si="45"/>
        <v>9</v>
      </c>
      <c r="E1439" t="s">
        <v>17</v>
      </c>
      <c r="F1439" t="s">
        <v>14</v>
      </c>
      <c r="G1439" t="s">
        <v>15</v>
      </c>
      <c r="H1439" s="2">
        <v>37680</v>
      </c>
      <c r="I1439" s="2">
        <v>0</v>
      </c>
      <c r="J1439" s="2">
        <v>152716</v>
      </c>
      <c r="K1439" s="2">
        <v>28740</v>
      </c>
      <c r="L1439" s="2">
        <v>5</v>
      </c>
      <c r="M1439" t="str">
        <f>IF(Revv_bike_sales_data[[#This Row],[delivery_days]]&lt;=7, "Yes", "No")</f>
        <v>Yes</v>
      </c>
      <c r="N1439" t="s">
        <v>16</v>
      </c>
      <c r="O1439" s="2">
        <v>123976</v>
      </c>
    </row>
    <row r="1440" spans="1:15" x14ac:dyDescent="0.3">
      <c r="A1440" s="2">
        <v>1430</v>
      </c>
      <c r="B1440" s="1">
        <v>44986.541666666664</v>
      </c>
      <c r="C1440" s="1" t="str">
        <f t="shared" si="44"/>
        <v>03-2023</v>
      </c>
      <c r="D1440" s="2">
        <f t="shared" si="45"/>
        <v>9</v>
      </c>
      <c r="E1440" t="s">
        <v>22</v>
      </c>
      <c r="F1440" t="s">
        <v>23</v>
      </c>
      <c r="G1440" t="s">
        <v>19</v>
      </c>
      <c r="H1440" s="2">
        <v>4383</v>
      </c>
      <c r="I1440" s="2">
        <v>7</v>
      </c>
      <c r="J1440" s="2">
        <v>129513</v>
      </c>
      <c r="K1440" s="2">
        <v>110716</v>
      </c>
      <c r="L1440" s="2">
        <v>8</v>
      </c>
      <c r="M1440" t="str">
        <f>IF(Revv_bike_sales_data[[#This Row],[delivery_days]]&lt;=7, "Yes", "No")</f>
        <v>No</v>
      </c>
      <c r="N1440" t="s">
        <v>16</v>
      </c>
      <c r="O1440" s="2">
        <v>18797</v>
      </c>
    </row>
    <row r="1441" spans="1:15" x14ac:dyDescent="0.3">
      <c r="A1441" s="2">
        <v>1431</v>
      </c>
      <c r="B1441" s="1">
        <v>44986.583333333336</v>
      </c>
      <c r="C1441" s="1" t="str">
        <f t="shared" si="44"/>
        <v>03-2023</v>
      </c>
      <c r="D1441" s="2">
        <f t="shared" si="45"/>
        <v>9</v>
      </c>
      <c r="E1441" t="s">
        <v>22</v>
      </c>
      <c r="F1441" t="s">
        <v>14</v>
      </c>
      <c r="G1441" t="s">
        <v>19</v>
      </c>
      <c r="H1441" s="2">
        <v>76087</v>
      </c>
      <c r="I1441" s="2">
        <v>1</v>
      </c>
      <c r="J1441" s="2">
        <v>154401</v>
      </c>
      <c r="K1441" s="2">
        <v>28102</v>
      </c>
      <c r="L1441" s="2">
        <v>1</v>
      </c>
      <c r="M1441" t="str">
        <f>IF(Revv_bike_sales_data[[#This Row],[delivery_days]]&lt;=7, "Yes", "No")</f>
        <v>Yes</v>
      </c>
      <c r="N1441" t="s">
        <v>16</v>
      </c>
      <c r="O1441" s="2">
        <v>126299</v>
      </c>
    </row>
    <row r="1442" spans="1:15" x14ac:dyDescent="0.3">
      <c r="A1442" s="2">
        <v>1432</v>
      </c>
      <c r="B1442" s="1">
        <v>44986.625</v>
      </c>
      <c r="C1442" s="1" t="str">
        <f t="shared" si="44"/>
        <v>03-2023</v>
      </c>
      <c r="D1442" s="2">
        <f t="shared" si="45"/>
        <v>9</v>
      </c>
      <c r="E1442" t="s">
        <v>17</v>
      </c>
      <c r="F1442" t="s">
        <v>23</v>
      </c>
      <c r="G1442" t="s">
        <v>21</v>
      </c>
      <c r="H1442" s="2">
        <v>12195</v>
      </c>
      <c r="I1442" s="2">
        <v>7</v>
      </c>
      <c r="J1442" s="2">
        <v>121643</v>
      </c>
      <c r="K1442" s="2">
        <v>95893</v>
      </c>
      <c r="L1442" s="2">
        <v>6</v>
      </c>
      <c r="M1442" t="str">
        <f>IF(Revv_bike_sales_data[[#This Row],[delivery_days]]&lt;=7, "Yes", "No")</f>
        <v>Yes</v>
      </c>
      <c r="N1442" t="s">
        <v>16</v>
      </c>
      <c r="O1442" s="2">
        <v>25750</v>
      </c>
    </row>
    <row r="1443" spans="1:15" x14ac:dyDescent="0.3">
      <c r="A1443" s="2">
        <v>1433</v>
      </c>
      <c r="B1443" s="1">
        <v>44986.666666666664</v>
      </c>
      <c r="C1443" s="1" t="str">
        <f t="shared" si="44"/>
        <v>03-2023</v>
      </c>
      <c r="D1443" s="2">
        <f t="shared" si="45"/>
        <v>9</v>
      </c>
      <c r="E1443" t="s">
        <v>13</v>
      </c>
      <c r="F1443" t="s">
        <v>14</v>
      </c>
      <c r="G1443" t="s">
        <v>20</v>
      </c>
      <c r="H1443" s="2">
        <v>23623</v>
      </c>
      <c r="I1443" s="2">
        <v>5</v>
      </c>
      <c r="J1443" s="2">
        <v>174712</v>
      </c>
      <c r="K1443" s="2">
        <v>66334</v>
      </c>
      <c r="L1443" s="2">
        <v>10</v>
      </c>
      <c r="M1443" t="str">
        <f>IF(Revv_bike_sales_data[[#This Row],[delivery_days]]&lt;=7, "Yes", "No")</f>
        <v>No</v>
      </c>
      <c r="N1443" t="s">
        <v>16</v>
      </c>
      <c r="O1443" s="2">
        <v>108378</v>
      </c>
    </row>
    <row r="1444" spans="1:15" x14ac:dyDescent="0.3">
      <c r="A1444" s="2">
        <v>1434</v>
      </c>
      <c r="B1444" s="1">
        <v>44986.708333333336</v>
      </c>
      <c r="C1444" s="1" t="str">
        <f t="shared" si="44"/>
        <v>03-2023</v>
      </c>
      <c r="D1444" s="2">
        <f t="shared" si="45"/>
        <v>9</v>
      </c>
      <c r="E1444" t="s">
        <v>17</v>
      </c>
      <c r="F1444" t="s">
        <v>14</v>
      </c>
      <c r="G1444" t="s">
        <v>15</v>
      </c>
      <c r="H1444" s="2">
        <v>58981</v>
      </c>
      <c r="I1444" s="2">
        <v>7</v>
      </c>
      <c r="J1444" s="2">
        <v>122694</v>
      </c>
      <c r="K1444" s="2">
        <v>128917</v>
      </c>
      <c r="L1444" s="2">
        <v>13</v>
      </c>
      <c r="M1444" t="str">
        <f>IF(Revv_bike_sales_data[[#This Row],[delivery_days]]&lt;=7, "Yes", "No")</f>
        <v>No</v>
      </c>
      <c r="N1444" t="s">
        <v>24</v>
      </c>
      <c r="O1444" s="2">
        <v>-6223</v>
      </c>
    </row>
    <row r="1445" spans="1:15" x14ac:dyDescent="0.3">
      <c r="A1445" s="2">
        <v>1435</v>
      </c>
      <c r="B1445" s="1">
        <v>44986.75</v>
      </c>
      <c r="C1445" s="1" t="str">
        <f t="shared" si="44"/>
        <v>03-2023</v>
      </c>
      <c r="D1445" s="2">
        <f t="shared" si="45"/>
        <v>9</v>
      </c>
      <c r="E1445" t="s">
        <v>13</v>
      </c>
      <c r="F1445" t="s">
        <v>14</v>
      </c>
      <c r="G1445" t="s">
        <v>21</v>
      </c>
      <c r="H1445" s="2">
        <v>73938</v>
      </c>
      <c r="I1445" s="2">
        <v>5</v>
      </c>
      <c r="J1445" s="2">
        <v>61136</v>
      </c>
      <c r="K1445" s="2">
        <v>45255</v>
      </c>
      <c r="L1445" s="2">
        <v>9</v>
      </c>
      <c r="M1445" t="str">
        <f>IF(Revv_bike_sales_data[[#This Row],[delivery_days]]&lt;=7, "Yes", "No")</f>
        <v>No</v>
      </c>
      <c r="N1445" t="s">
        <v>16</v>
      </c>
      <c r="O1445" s="2">
        <v>15881</v>
      </c>
    </row>
    <row r="1446" spans="1:15" x14ac:dyDescent="0.3">
      <c r="A1446" s="2">
        <v>1436</v>
      </c>
      <c r="B1446" s="1">
        <v>44986.791666666664</v>
      </c>
      <c r="C1446" s="1" t="str">
        <f t="shared" si="44"/>
        <v>03-2023</v>
      </c>
      <c r="D1446" s="2">
        <f t="shared" si="45"/>
        <v>9</v>
      </c>
      <c r="E1446" t="s">
        <v>17</v>
      </c>
      <c r="F1446" t="s">
        <v>14</v>
      </c>
      <c r="G1446" t="s">
        <v>20</v>
      </c>
      <c r="H1446" s="2">
        <v>18073</v>
      </c>
      <c r="I1446" s="2">
        <v>4</v>
      </c>
      <c r="J1446" s="2">
        <v>81539</v>
      </c>
      <c r="K1446" s="2">
        <v>116630</v>
      </c>
      <c r="L1446" s="2">
        <v>12</v>
      </c>
      <c r="M1446" t="str">
        <f>IF(Revv_bike_sales_data[[#This Row],[delivery_days]]&lt;=7, "Yes", "No")</f>
        <v>No</v>
      </c>
      <c r="N1446" t="s">
        <v>16</v>
      </c>
      <c r="O1446" s="2">
        <v>-35091</v>
      </c>
    </row>
    <row r="1447" spans="1:15" x14ac:dyDescent="0.3">
      <c r="A1447" s="2">
        <v>1437</v>
      </c>
      <c r="B1447" s="1">
        <v>44986.833333333336</v>
      </c>
      <c r="C1447" s="1" t="str">
        <f t="shared" si="44"/>
        <v>03-2023</v>
      </c>
      <c r="D1447" s="2">
        <f t="shared" si="45"/>
        <v>9</v>
      </c>
      <c r="E1447" t="s">
        <v>17</v>
      </c>
      <c r="F1447" t="s">
        <v>14</v>
      </c>
      <c r="G1447" t="s">
        <v>19</v>
      </c>
      <c r="H1447" s="2">
        <v>95410</v>
      </c>
      <c r="I1447" s="2">
        <v>4</v>
      </c>
      <c r="J1447" s="2">
        <v>93363</v>
      </c>
      <c r="K1447" s="2">
        <v>40221</v>
      </c>
      <c r="L1447" s="2">
        <v>6</v>
      </c>
      <c r="M1447" t="str">
        <f>IF(Revv_bike_sales_data[[#This Row],[delivery_days]]&lt;=7, "Yes", "No")</f>
        <v>Yes</v>
      </c>
      <c r="N1447" t="s">
        <v>16</v>
      </c>
      <c r="O1447" s="2">
        <v>53142</v>
      </c>
    </row>
    <row r="1448" spans="1:15" x14ac:dyDescent="0.3">
      <c r="A1448" s="2">
        <v>1438</v>
      </c>
      <c r="B1448" s="1">
        <v>44986.875</v>
      </c>
      <c r="C1448" s="1" t="str">
        <f t="shared" si="44"/>
        <v>03-2023</v>
      </c>
      <c r="D1448" s="2">
        <f t="shared" si="45"/>
        <v>9</v>
      </c>
      <c r="E1448" t="s">
        <v>25</v>
      </c>
      <c r="F1448" t="s">
        <v>14</v>
      </c>
      <c r="G1448" t="s">
        <v>20</v>
      </c>
      <c r="H1448" s="2">
        <v>56994</v>
      </c>
      <c r="I1448" s="2">
        <v>9</v>
      </c>
      <c r="J1448" s="2">
        <v>106526</v>
      </c>
      <c r="K1448" s="2">
        <v>78265</v>
      </c>
      <c r="L1448" s="2">
        <v>7</v>
      </c>
      <c r="M1448" t="str">
        <f>IF(Revv_bike_sales_data[[#This Row],[delivery_days]]&lt;=7, "Yes", "No")</f>
        <v>Yes</v>
      </c>
      <c r="N1448" t="s">
        <v>16</v>
      </c>
      <c r="O1448" s="2">
        <v>28261</v>
      </c>
    </row>
    <row r="1449" spans="1:15" x14ac:dyDescent="0.3">
      <c r="A1449" s="2">
        <v>1439</v>
      </c>
      <c r="B1449" s="1">
        <v>44986.916666666664</v>
      </c>
      <c r="C1449" s="1" t="str">
        <f t="shared" si="44"/>
        <v>03-2023</v>
      </c>
      <c r="D1449" s="2">
        <f t="shared" si="45"/>
        <v>9</v>
      </c>
      <c r="E1449" t="s">
        <v>22</v>
      </c>
      <c r="F1449" t="s">
        <v>14</v>
      </c>
      <c r="G1449" t="s">
        <v>19</v>
      </c>
      <c r="H1449" s="2">
        <v>12788</v>
      </c>
      <c r="I1449" s="2">
        <v>9</v>
      </c>
      <c r="J1449" s="2">
        <v>60255</v>
      </c>
      <c r="K1449" s="2">
        <v>15719</v>
      </c>
      <c r="L1449" s="2">
        <v>4</v>
      </c>
      <c r="M1449" t="str">
        <f>IF(Revv_bike_sales_data[[#This Row],[delivery_days]]&lt;=7, "Yes", "No")</f>
        <v>Yes</v>
      </c>
      <c r="N1449" t="s">
        <v>16</v>
      </c>
      <c r="O1449" s="2">
        <v>44536</v>
      </c>
    </row>
    <row r="1450" spans="1:15" x14ac:dyDescent="0.3">
      <c r="A1450" s="2">
        <v>1440</v>
      </c>
      <c r="B1450" s="1">
        <v>44986.958333333336</v>
      </c>
      <c r="C1450" s="1" t="str">
        <f t="shared" si="44"/>
        <v>03-2023</v>
      </c>
      <c r="D1450" s="2">
        <f t="shared" si="45"/>
        <v>9</v>
      </c>
      <c r="E1450" t="s">
        <v>17</v>
      </c>
      <c r="F1450" t="s">
        <v>14</v>
      </c>
      <c r="G1450" t="s">
        <v>19</v>
      </c>
      <c r="H1450" s="2">
        <v>47478</v>
      </c>
      <c r="I1450" s="2">
        <v>7</v>
      </c>
      <c r="J1450" s="2">
        <v>143209</v>
      </c>
      <c r="K1450" s="2">
        <v>98442</v>
      </c>
      <c r="L1450" s="2">
        <v>12</v>
      </c>
      <c r="M1450" t="str">
        <f>IF(Revv_bike_sales_data[[#This Row],[delivery_days]]&lt;=7, "Yes", "No")</f>
        <v>No</v>
      </c>
      <c r="N1450" t="s">
        <v>16</v>
      </c>
      <c r="O1450" s="2">
        <v>44767</v>
      </c>
    </row>
    <row r="1451" spans="1:15" x14ac:dyDescent="0.3">
      <c r="A1451" s="2">
        <v>1441</v>
      </c>
      <c r="B1451" s="1">
        <v>44987</v>
      </c>
      <c r="C1451" s="1" t="str">
        <f t="shared" si="44"/>
        <v>03-2023</v>
      </c>
      <c r="D1451" s="2">
        <f t="shared" si="45"/>
        <v>9</v>
      </c>
      <c r="E1451" t="s">
        <v>17</v>
      </c>
      <c r="F1451" t="s">
        <v>14</v>
      </c>
      <c r="G1451" t="s">
        <v>21</v>
      </c>
      <c r="H1451" s="2">
        <v>72920</v>
      </c>
      <c r="I1451" s="2">
        <v>6</v>
      </c>
      <c r="J1451" s="2">
        <v>111437</v>
      </c>
      <c r="K1451" s="2">
        <v>38140</v>
      </c>
      <c r="L1451" s="2">
        <v>10</v>
      </c>
      <c r="M1451" t="str">
        <f>IF(Revv_bike_sales_data[[#This Row],[delivery_days]]&lt;=7, "Yes", "No")</f>
        <v>No</v>
      </c>
      <c r="N1451" t="s">
        <v>16</v>
      </c>
      <c r="O1451" s="2">
        <v>73297</v>
      </c>
    </row>
    <row r="1452" spans="1:15" x14ac:dyDescent="0.3">
      <c r="A1452" s="2">
        <v>1442</v>
      </c>
      <c r="B1452" s="1">
        <v>44987.041666666664</v>
      </c>
      <c r="C1452" s="1" t="str">
        <f t="shared" si="44"/>
        <v>03-2023</v>
      </c>
      <c r="D1452" s="2">
        <f t="shared" si="45"/>
        <v>9</v>
      </c>
      <c r="E1452" t="s">
        <v>18</v>
      </c>
      <c r="F1452" t="s">
        <v>14</v>
      </c>
      <c r="G1452" t="s">
        <v>19</v>
      </c>
      <c r="H1452" s="2">
        <v>76595</v>
      </c>
      <c r="I1452" s="2">
        <v>7</v>
      </c>
      <c r="J1452" s="2">
        <v>172349</v>
      </c>
      <c r="K1452" s="2">
        <v>70779</v>
      </c>
      <c r="L1452" s="2">
        <v>1</v>
      </c>
      <c r="M1452" t="str">
        <f>IF(Revv_bike_sales_data[[#This Row],[delivery_days]]&lt;=7, "Yes", "No")</f>
        <v>Yes</v>
      </c>
      <c r="N1452" t="s">
        <v>16</v>
      </c>
      <c r="O1452" s="2">
        <v>101570</v>
      </c>
    </row>
    <row r="1453" spans="1:15" x14ac:dyDescent="0.3">
      <c r="A1453" s="2">
        <v>1443</v>
      </c>
      <c r="B1453" s="1">
        <v>44987.083333333336</v>
      </c>
      <c r="C1453" s="1" t="str">
        <f t="shared" si="44"/>
        <v>03-2023</v>
      </c>
      <c r="D1453" s="2">
        <f t="shared" si="45"/>
        <v>9</v>
      </c>
      <c r="E1453" t="s">
        <v>22</v>
      </c>
      <c r="F1453" t="s">
        <v>14</v>
      </c>
      <c r="G1453" t="s">
        <v>21</v>
      </c>
      <c r="H1453" s="2">
        <v>55172</v>
      </c>
      <c r="I1453" s="2">
        <v>7</v>
      </c>
      <c r="J1453" s="2">
        <v>157715</v>
      </c>
      <c r="K1453" s="2">
        <v>16069</v>
      </c>
      <c r="L1453" s="2">
        <v>9</v>
      </c>
      <c r="M1453" t="str">
        <f>IF(Revv_bike_sales_data[[#This Row],[delivery_days]]&lt;=7, "Yes", "No")</f>
        <v>No</v>
      </c>
      <c r="N1453" t="s">
        <v>24</v>
      </c>
      <c r="O1453" s="2">
        <v>141646</v>
      </c>
    </row>
    <row r="1454" spans="1:15" x14ac:dyDescent="0.3">
      <c r="A1454" s="2">
        <v>1444</v>
      </c>
      <c r="B1454" s="1">
        <v>44987.125</v>
      </c>
      <c r="C1454" s="1" t="str">
        <f t="shared" si="44"/>
        <v>03-2023</v>
      </c>
      <c r="D1454" s="2">
        <f t="shared" si="45"/>
        <v>9</v>
      </c>
      <c r="E1454" t="s">
        <v>18</v>
      </c>
      <c r="F1454" t="s">
        <v>14</v>
      </c>
      <c r="G1454" t="s">
        <v>20</v>
      </c>
      <c r="H1454" s="2">
        <v>62321</v>
      </c>
      <c r="I1454" s="2">
        <v>6</v>
      </c>
      <c r="J1454" s="2">
        <v>140900</v>
      </c>
      <c r="K1454" s="2">
        <v>69714</v>
      </c>
      <c r="L1454" s="2">
        <v>12</v>
      </c>
      <c r="M1454" t="str">
        <f>IF(Revv_bike_sales_data[[#This Row],[delivery_days]]&lt;=7, "Yes", "No")</f>
        <v>No</v>
      </c>
      <c r="N1454" t="s">
        <v>16</v>
      </c>
      <c r="O1454" s="2">
        <v>71186</v>
      </c>
    </row>
    <row r="1455" spans="1:15" x14ac:dyDescent="0.3">
      <c r="A1455" s="2">
        <v>1445</v>
      </c>
      <c r="B1455" s="1">
        <v>44987.166666666664</v>
      </c>
      <c r="C1455" s="1" t="str">
        <f t="shared" si="44"/>
        <v>03-2023</v>
      </c>
      <c r="D1455" s="2">
        <f t="shared" si="45"/>
        <v>9</v>
      </c>
      <c r="E1455" t="s">
        <v>22</v>
      </c>
      <c r="F1455" t="s">
        <v>14</v>
      </c>
      <c r="G1455" t="s">
        <v>20</v>
      </c>
      <c r="H1455" s="2">
        <v>84161</v>
      </c>
      <c r="I1455" s="2">
        <v>1</v>
      </c>
      <c r="J1455" s="2">
        <v>48729</v>
      </c>
      <c r="K1455" s="2">
        <v>88285</v>
      </c>
      <c r="L1455" s="2">
        <v>6</v>
      </c>
      <c r="M1455" t="str">
        <f>IF(Revv_bike_sales_data[[#This Row],[delivery_days]]&lt;=7, "Yes", "No")</f>
        <v>Yes</v>
      </c>
      <c r="N1455" t="s">
        <v>16</v>
      </c>
      <c r="O1455" s="2">
        <v>-39556</v>
      </c>
    </row>
    <row r="1456" spans="1:15" x14ac:dyDescent="0.3">
      <c r="A1456" s="2">
        <v>1446</v>
      </c>
      <c r="B1456" s="1">
        <v>44987.208333333336</v>
      </c>
      <c r="C1456" s="1" t="str">
        <f t="shared" si="44"/>
        <v>03-2023</v>
      </c>
      <c r="D1456" s="2">
        <f t="shared" si="45"/>
        <v>9</v>
      </c>
      <c r="E1456" t="s">
        <v>18</v>
      </c>
      <c r="F1456" t="s">
        <v>14</v>
      </c>
      <c r="G1456" t="s">
        <v>19</v>
      </c>
      <c r="H1456" s="2">
        <v>69724</v>
      </c>
      <c r="I1456" s="2">
        <v>8</v>
      </c>
      <c r="J1456" s="2">
        <v>46818</v>
      </c>
      <c r="K1456" s="2">
        <v>27935</v>
      </c>
      <c r="L1456" s="2">
        <v>3</v>
      </c>
      <c r="M1456" t="str">
        <f>IF(Revv_bike_sales_data[[#This Row],[delivery_days]]&lt;=7, "Yes", "No")</f>
        <v>Yes</v>
      </c>
      <c r="N1456" t="s">
        <v>16</v>
      </c>
      <c r="O1456" s="2">
        <v>18883</v>
      </c>
    </row>
    <row r="1457" spans="1:15" x14ac:dyDescent="0.3">
      <c r="A1457" s="2">
        <v>1447</v>
      </c>
      <c r="B1457" s="1">
        <v>44987.25</v>
      </c>
      <c r="C1457" s="1" t="str">
        <f t="shared" si="44"/>
        <v>03-2023</v>
      </c>
      <c r="D1457" s="2">
        <f t="shared" si="45"/>
        <v>9</v>
      </c>
      <c r="E1457" t="s">
        <v>17</v>
      </c>
      <c r="F1457" t="s">
        <v>14</v>
      </c>
      <c r="G1457" t="s">
        <v>21</v>
      </c>
      <c r="H1457" s="2">
        <v>89905</v>
      </c>
      <c r="I1457" s="2">
        <v>6</v>
      </c>
      <c r="J1457" s="2">
        <v>90555</v>
      </c>
      <c r="K1457" s="2">
        <v>118191</v>
      </c>
      <c r="L1457" s="2">
        <v>4</v>
      </c>
      <c r="M1457" t="str">
        <f>IF(Revv_bike_sales_data[[#This Row],[delivery_days]]&lt;=7, "Yes", "No")</f>
        <v>Yes</v>
      </c>
      <c r="N1457" t="s">
        <v>16</v>
      </c>
      <c r="O1457" s="2">
        <v>-27636</v>
      </c>
    </row>
    <row r="1458" spans="1:15" x14ac:dyDescent="0.3">
      <c r="A1458" s="2">
        <v>1448</v>
      </c>
      <c r="B1458" s="1">
        <v>44987.291666666664</v>
      </c>
      <c r="C1458" s="1" t="str">
        <f t="shared" si="44"/>
        <v>03-2023</v>
      </c>
      <c r="D1458" s="2">
        <f t="shared" si="45"/>
        <v>9</v>
      </c>
      <c r="E1458" t="s">
        <v>17</v>
      </c>
      <c r="F1458" t="s">
        <v>14</v>
      </c>
      <c r="G1458" t="s">
        <v>19</v>
      </c>
      <c r="H1458" s="2">
        <v>55296</v>
      </c>
      <c r="I1458" s="2">
        <v>5</v>
      </c>
      <c r="J1458" s="2">
        <v>123979</v>
      </c>
      <c r="K1458" s="2">
        <v>134362</v>
      </c>
      <c r="L1458" s="2">
        <v>10</v>
      </c>
      <c r="M1458" t="str">
        <f>IF(Revv_bike_sales_data[[#This Row],[delivery_days]]&lt;=7, "Yes", "No")</f>
        <v>No</v>
      </c>
      <c r="N1458" t="s">
        <v>16</v>
      </c>
      <c r="O1458" s="2">
        <v>-10383</v>
      </c>
    </row>
    <row r="1459" spans="1:15" x14ac:dyDescent="0.3">
      <c r="A1459" s="2">
        <v>1449</v>
      </c>
      <c r="B1459" s="1">
        <v>44987.333333333336</v>
      </c>
      <c r="C1459" s="1" t="str">
        <f t="shared" si="44"/>
        <v>03-2023</v>
      </c>
      <c r="D1459" s="2">
        <f t="shared" si="45"/>
        <v>9</v>
      </c>
      <c r="E1459" t="s">
        <v>25</v>
      </c>
      <c r="F1459" t="s">
        <v>14</v>
      </c>
      <c r="G1459" t="s">
        <v>21</v>
      </c>
      <c r="H1459" s="2">
        <v>45206</v>
      </c>
      <c r="I1459" s="2">
        <v>8</v>
      </c>
      <c r="J1459" s="2">
        <v>78629</v>
      </c>
      <c r="K1459" s="2">
        <v>59035</v>
      </c>
      <c r="L1459" s="2">
        <v>12</v>
      </c>
      <c r="M1459" t="str">
        <f>IF(Revv_bike_sales_data[[#This Row],[delivery_days]]&lt;=7, "Yes", "No")</f>
        <v>No</v>
      </c>
      <c r="N1459" t="s">
        <v>16</v>
      </c>
      <c r="O1459" s="2">
        <v>19594</v>
      </c>
    </row>
    <row r="1460" spans="1:15" x14ac:dyDescent="0.3">
      <c r="A1460" s="2">
        <v>1450</v>
      </c>
      <c r="B1460" s="1">
        <v>44987.375</v>
      </c>
      <c r="C1460" s="1" t="str">
        <f t="shared" si="44"/>
        <v>03-2023</v>
      </c>
      <c r="D1460" s="2">
        <f t="shared" si="45"/>
        <v>9</v>
      </c>
      <c r="E1460" t="s">
        <v>18</v>
      </c>
      <c r="F1460" t="s">
        <v>14</v>
      </c>
      <c r="G1460" t="s">
        <v>21</v>
      </c>
      <c r="H1460" s="2">
        <v>4523</v>
      </c>
      <c r="I1460" s="2">
        <v>0</v>
      </c>
      <c r="J1460" s="2">
        <v>140296</v>
      </c>
      <c r="K1460" s="2">
        <v>111256</v>
      </c>
      <c r="L1460" s="2">
        <v>6</v>
      </c>
      <c r="M1460" t="str">
        <f>IF(Revv_bike_sales_data[[#This Row],[delivery_days]]&lt;=7, "Yes", "No")</f>
        <v>Yes</v>
      </c>
      <c r="N1460" t="s">
        <v>16</v>
      </c>
      <c r="O1460" s="2">
        <v>29040</v>
      </c>
    </row>
    <row r="1461" spans="1:15" x14ac:dyDescent="0.3">
      <c r="A1461" s="2">
        <v>1451</v>
      </c>
      <c r="B1461" s="1">
        <v>44987.416666666664</v>
      </c>
      <c r="C1461" s="1" t="str">
        <f t="shared" si="44"/>
        <v>03-2023</v>
      </c>
      <c r="D1461" s="2">
        <f t="shared" si="45"/>
        <v>9</v>
      </c>
      <c r="E1461" t="s">
        <v>13</v>
      </c>
      <c r="F1461" t="s">
        <v>14</v>
      </c>
      <c r="G1461" t="s">
        <v>21</v>
      </c>
      <c r="H1461" s="2">
        <v>83136</v>
      </c>
      <c r="I1461" s="2">
        <v>1</v>
      </c>
      <c r="J1461" s="2">
        <v>80438</v>
      </c>
      <c r="K1461" s="2">
        <v>42937</v>
      </c>
      <c r="L1461" s="2">
        <v>6</v>
      </c>
      <c r="M1461" t="str">
        <f>IF(Revv_bike_sales_data[[#This Row],[delivery_days]]&lt;=7, "Yes", "No")</f>
        <v>Yes</v>
      </c>
      <c r="N1461" t="s">
        <v>16</v>
      </c>
      <c r="O1461" s="2">
        <v>37501</v>
      </c>
    </row>
    <row r="1462" spans="1:15" x14ac:dyDescent="0.3">
      <c r="A1462" s="2">
        <v>1452</v>
      </c>
      <c r="B1462" s="1">
        <v>44987.458333333336</v>
      </c>
      <c r="C1462" s="1" t="str">
        <f t="shared" si="44"/>
        <v>03-2023</v>
      </c>
      <c r="D1462" s="2">
        <f t="shared" si="45"/>
        <v>9</v>
      </c>
      <c r="E1462" t="s">
        <v>25</v>
      </c>
      <c r="F1462" t="s">
        <v>14</v>
      </c>
      <c r="G1462" t="s">
        <v>20</v>
      </c>
      <c r="H1462" s="2">
        <v>37235</v>
      </c>
      <c r="I1462" s="2">
        <v>0</v>
      </c>
      <c r="J1462" s="2">
        <v>34457</v>
      </c>
      <c r="K1462" s="2">
        <v>33540</v>
      </c>
      <c r="L1462" s="2">
        <v>12</v>
      </c>
      <c r="M1462" t="str">
        <f>IF(Revv_bike_sales_data[[#This Row],[delivery_days]]&lt;=7, "Yes", "No")</f>
        <v>No</v>
      </c>
      <c r="N1462" t="s">
        <v>16</v>
      </c>
      <c r="O1462" s="2">
        <v>917</v>
      </c>
    </row>
    <row r="1463" spans="1:15" x14ac:dyDescent="0.3">
      <c r="A1463" s="2">
        <v>1453</v>
      </c>
      <c r="B1463" s="1">
        <v>44987.5</v>
      </c>
      <c r="C1463" s="1" t="str">
        <f t="shared" si="44"/>
        <v>03-2023</v>
      </c>
      <c r="D1463" s="2">
        <f t="shared" si="45"/>
        <v>9</v>
      </c>
      <c r="E1463" t="s">
        <v>18</v>
      </c>
      <c r="F1463" t="s">
        <v>14</v>
      </c>
      <c r="G1463" t="s">
        <v>21</v>
      </c>
      <c r="H1463" s="2">
        <v>73459</v>
      </c>
      <c r="I1463" s="2">
        <v>9</v>
      </c>
      <c r="J1463" s="2">
        <v>58922</v>
      </c>
      <c r="K1463" s="2">
        <v>88480</v>
      </c>
      <c r="L1463" s="2">
        <v>9</v>
      </c>
      <c r="M1463" t="str">
        <f>IF(Revv_bike_sales_data[[#This Row],[delivery_days]]&lt;=7, "Yes", "No")</f>
        <v>No</v>
      </c>
      <c r="N1463" t="s">
        <v>16</v>
      </c>
      <c r="O1463" s="2">
        <v>-29558</v>
      </c>
    </row>
    <row r="1464" spans="1:15" x14ac:dyDescent="0.3">
      <c r="A1464" s="2">
        <v>1454</v>
      </c>
      <c r="B1464" s="1">
        <v>44987.541666666664</v>
      </c>
      <c r="C1464" s="1" t="str">
        <f t="shared" si="44"/>
        <v>03-2023</v>
      </c>
      <c r="D1464" s="2">
        <f t="shared" si="45"/>
        <v>9</v>
      </c>
      <c r="E1464" t="s">
        <v>18</v>
      </c>
      <c r="F1464" t="s">
        <v>14</v>
      </c>
      <c r="G1464" t="s">
        <v>20</v>
      </c>
      <c r="H1464" s="2">
        <v>39718</v>
      </c>
      <c r="I1464" s="2">
        <v>2</v>
      </c>
      <c r="J1464" s="2">
        <v>165892</v>
      </c>
      <c r="K1464" s="2">
        <v>63702</v>
      </c>
      <c r="L1464" s="2">
        <v>4</v>
      </c>
      <c r="M1464" t="str">
        <f>IF(Revv_bike_sales_data[[#This Row],[delivery_days]]&lt;=7, "Yes", "No")</f>
        <v>Yes</v>
      </c>
      <c r="N1464" t="s">
        <v>16</v>
      </c>
      <c r="O1464" s="2">
        <v>102190</v>
      </c>
    </row>
    <row r="1465" spans="1:15" x14ac:dyDescent="0.3">
      <c r="A1465" s="2">
        <v>1455</v>
      </c>
      <c r="B1465" s="1">
        <v>44987.583333333336</v>
      </c>
      <c r="C1465" s="1" t="str">
        <f t="shared" si="44"/>
        <v>03-2023</v>
      </c>
      <c r="D1465" s="2">
        <f t="shared" si="45"/>
        <v>9</v>
      </c>
      <c r="E1465" t="s">
        <v>25</v>
      </c>
      <c r="F1465" t="s">
        <v>14</v>
      </c>
      <c r="G1465" t="s">
        <v>21</v>
      </c>
      <c r="H1465" s="2">
        <v>12713</v>
      </c>
      <c r="I1465" s="2">
        <v>4</v>
      </c>
      <c r="J1465" s="2">
        <v>133122</v>
      </c>
      <c r="K1465" s="2">
        <v>93283</v>
      </c>
      <c r="L1465" s="2">
        <v>5</v>
      </c>
      <c r="M1465" t="str">
        <f>IF(Revv_bike_sales_data[[#This Row],[delivery_days]]&lt;=7, "Yes", "No")</f>
        <v>Yes</v>
      </c>
      <c r="N1465" t="s">
        <v>16</v>
      </c>
      <c r="O1465" s="2">
        <v>39839</v>
      </c>
    </row>
    <row r="1466" spans="1:15" x14ac:dyDescent="0.3">
      <c r="A1466" s="2">
        <v>1456</v>
      </c>
      <c r="B1466" s="1">
        <v>44987.625</v>
      </c>
      <c r="C1466" s="1" t="str">
        <f t="shared" si="44"/>
        <v>03-2023</v>
      </c>
      <c r="D1466" s="2">
        <f t="shared" si="45"/>
        <v>9</v>
      </c>
      <c r="E1466" t="s">
        <v>17</v>
      </c>
      <c r="F1466" t="s">
        <v>14</v>
      </c>
      <c r="G1466" t="s">
        <v>20</v>
      </c>
      <c r="H1466" s="2">
        <v>99194</v>
      </c>
      <c r="I1466" s="2">
        <v>0</v>
      </c>
      <c r="J1466" s="2">
        <v>127020</v>
      </c>
      <c r="K1466" s="2">
        <v>91041</v>
      </c>
      <c r="L1466" s="2">
        <v>5</v>
      </c>
      <c r="M1466" t="str">
        <f>IF(Revv_bike_sales_data[[#This Row],[delivery_days]]&lt;=7, "Yes", "No")</f>
        <v>Yes</v>
      </c>
      <c r="N1466" t="s">
        <v>16</v>
      </c>
      <c r="O1466" s="2">
        <v>35979</v>
      </c>
    </row>
    <row r="1467" spans="1:15" x14ac:dyDescent="0.3">
      <c r="A1467" s="2">
        <v>1457</v>
      </c>
      <c r="B1467" s="1">
        <v>44987.666666666664</v>
      </c>
      <c r="C1467" s="1" t="str">
        <f t="shared" si="44"/>
        <v>03-2023</v>
      </c>
      <c r="D1467" s="2">
        <f t="shared" si="45"/>
        <v>9</v>
      </c>
      <c r="E1467" t="s">
        <v>18</v>
      </c>
      <c r="F1467" t="s">
        <v>14</v>
      </c>
      <c r="G1467" t="s">
        <v>15</v>
      </c>
      <c r="H1467" s="2">
        <v>28960</v>
      </c>
      <c r="I1467" s="2">
        <v>3</v>
      </c>
      <c r="J1467" s="2">
        <v>113405</v>
      </c>
      <c r="K1467" s="2">
        <v>126753</v>
      </c>
      <c r="L1467" s="2">
        <v>3</v>
      </c>
      <c r="M1467" t="str">
        <f>IF(Revv_bike_sales_data[[#This Row],[delivery_days]]&lt;=7, "Yes", "No")</f>
        <v>Yes</v>
      </c>
      <c r="N1467" t="s">
        <v>16</v>
      </c>
      <c r="O1467" s="2">
        <v>-13348</v>
      </c>
    </row>
    <row r="1468" spans="1:15" x14ac:dyDescent="0.3">
      <c r="A1468" s="2">
        <v>1458</v>
      </c>
      <c r="B1468" s="1">
        <v>44987.708333333336</v>
      </c>
      <c r="C1468" s="1" t="str">
        <f t="shared" si="44"/>
        <v>03-2023</v>
      </c>
      <c r="D1468" s="2">
        <f t="shared" si="45"/>
        <v>9</v>
      </c>
      <c r="E1468" t="s">
        <v>17</v>
      </c>
      <c r="F1468" t="s">
        <v>14</v>
      </c>
      <c r="G1468" t="s">
        <v>20</v>
      </c>
      <c r="H1468" s="2">
        <v>65180</v>
      </c>
      <c r="I1468" s="2">
        <v>7</v>
      </c>
      <c r="J1468" s="2">
        <v>141130</v>
      </c>
      <c r="K1468" s="2">
        <v>92233</v>
      </c>
      <c r="L1468" s="2">
        <v>2</v>
      </c>
      <c r="M1468" t="str">
        <f>IF(Revv_bike_sales_data[[#This Row],[delivery_days]]&lt;=7, "Yes", "No")</f>
        <v>Yes</v>
      </c>
      <c r="N1468" t="s">
        <v>24</v>
      </c>
      <c r="O1468" s="2">
        <v>48897</v>
      </c>
    </row>
    <row r="1469" spans="1:15" x14ac:dyDescent="0.3">
      <c r="A1469" s="2">
        <v>1459</v>
      </c>
      <c r="B1469" s="1">
        <v>44987.75</v>
      </c>
      <c r="C1469" s="1" t="str">
        <f t="shared" si="44"/>
        <v>03-2023</v>
      </c>
      <c r="D1469" s="2">
        <f t="shared" si="45"/>
        <v>9</v>
      </c>
      <c r="E1469" t="s">
        <v>25</v>
      </c>
      <c r="F1469" t="s">
        <v>14</v>
      </c>
      <c r="G1469" t="s">
        <v>20</v>
      </c>
      <c r="H1469" s="2">
        <v>31517</v>
      </c>
      <c r="I1469" s="2">
        <v>5</v>
      </c>
      <c r="J1469" s="2">
        <v>93038</v>
      </c>
      <c r="K1469" s="2">
        <v>51907</v>
      </c>
      <c r="L1469" s="2">
        <v>8</v>
      </c>
      <c r="M1469" t="str">
        <f>IF(Revv_bike_sales_data[[#This Row],[delivery_days]]&lt;=7, "Yes", "No")</f>
        <v>No</v>
      </c>
      <c r="N1469" t="s">
        <v>16</v>
      </c>
      <c r="O1469" s="2">
        <v>41131</v>
      </c>
    </row>
    <row r="1470" spans="1:15" x14ac:dyDescent="0.3">
      <c r="A1470" s="2">
        <v>1460</v>
      </c>
      <c r="B1470" s="1">
        <v>44987.791666666664</v>
      </c>
      <c r="C1470" s="1" t="str">
        <f t="shared" si="44"/>
        <v>03-2023</v>
      </c>
      <c r="D1470" s="2">
        <f t="shared" si="45"/>
        <v>9</v>
      </c>
      <c r="E1470" t="s">
        <v>17</v>
      </c>
      <c r="F1470" t="s">
        <v>14</v>
      </c>
      <c r="G1470" t="s">
        <v>19</v>
      </c>
      <c r="H1470" s="2">
        <v>99036</v>
      </c>
      <c r="I1470" s="2">
        <v>0</v>
      </c>
      <c r="J1470" s="2">
        <v>87325</v>
      </c>
      <c r="K1470" s="2">
        <v>30221</v>
      </c>
      <c r="L1470" s="2">
        <v>10</v>
      </c>
      <c r="M1470" t="str">
        <f>IF(Revv_bike_sales_data[[#This Row],[delivery_days]]&lt;=7, "Yes", "No")</f>
        <v>No</v>
      </c>
      <c r="N1470" t="s">
        <v>16</v>
      </c>
      <c r="O1470" s="2">
        <v>57104</v>
      </c>
    </row>
    <row r="1471" spans="1:15" x14ac:dyDescent="0.3">
      <c r="A1471" s="2">
        <v>1461</v>
      </c>
      <c r="B1471" s="1">
        <v>44987.833333333336</v>
      </c>
      <c r="C1471" s="1" t="str">
        <f t="shared" si="44"/>
        <v>03-2023</v>
      </c>
      <c r="D1471" s="2">
        <f t="shared" si="45"/>
        <v>9</v>
      </c>
      <c r="E1471" t="s">
        <v>22</v>
      </c>
      <c r="F1471" t="s">
        <v>14</v>
      </c>
      <c r="G1471" t="s">
        <v>21</v>
      </c>
      <c r="H1471" s="2">
        <v>92538</v>
      </c>
      <c r="I1471" s="2">
        <v>0</v>
      </c>
      <c r="J1471" s="2">
        <v>50600</v>
      </c>
      <c r="K1471" s="2">
        <v>69781</v>
      </c>
      <c r="L1471" s="2">
        <v>9</v>
      </c>
      <c r="M1471" t="str">
        <f>IF(Revv_bike_sales_data[[#This Row],[delivery_days]]&lt;=7, "Yes", "No")</f>
        <v>No</v>
      </c>
      <c r="N1471" t="s">
        <v>24</v>
      </c>
      <c r="O1471" s="2">
        <v>-19181</v>
      </c>
    </row>
    <row r="1472" spans="1:15" x14ac:dyDescent="0.3">
      <c r="A1472" s="2">
        <v>1462</v>
      </c>
      <c r="B1472" s="1">
        <v>44987.875</v>
      </c>
      <c r="C1472" s="1" t="str">
        <f t="shared" si="44"/>
        <v>03-2023</v>
      </c>
      <c r="D1472" s="2">
        <f t="shared" si="45"/>
        <v>9</v>
      </c>
      <c r="E1472" t="s">
        <v>13</v>
      </c>
      <c r="F1472" t="s">
        <v>14</v>
      </c>
      <c r="G1472" t="s">
        <v>15</v>
      </c>
      <c r="H1472" s="2">
        <v>31490</v>
      </c>
      <c r="I1472" s="2">
        <v>2</v>
      </c>
      <c r="J1472" s="2">
        <v>86526</v>
      </c>
      <c r="K1472" s="2">
        <v>22087</v>
      </c>
      <c r="L1472" s="2">
        <v>10</v>
      </c>
      <c r="M1472" t="str">
        <f>IF(Revv_bike_sales_data[[#This Row],[delivery_days]]&lt;=7, "Yes", "No")</f>
        <v>No</v>
      </c>
      <c r="N1472" t="s">
        <v>16</v>
      </c>
      <c r="O1472" s="2">
        <v>64439</v>
      </c>
    </row>
    <row r="1473" spans="1:15" x14ac:dyDescent="0.3">
      <c r="A1473" s="2">
        <v>1463</v>
      </c>
      <c r="B1473" s="1">
        <v>44987.916666666664</v>
      </c>
      <c r="C1473" s="1" t="str">
        <f t="shared" si="44"/>
        <v>03-2023</v>
      </c>
      <c r="D1473" s="2">
        <f t="shared" si="45"/>
        <v>9</v>
      </c>
      <c r="E1473" t="s">
        <v>18</v>
      </c>
      <c r="F1473" t="s">
        <v>23</v>
      </c>
      <c r="G1473" t="s">
        <v>19</v>
      </c>
      <c r="H1473" s="2">
        <v>20015</v>
      </c>
      <c r="I1473" s="2">
        <v>9</v>
      </c>
      <c r="J1473" s="2">
        <v>38149</v>
      </c>
      <c r="K1473" s="2">
        <v>101998</v>
      </c>
      <c r="L1473" s="2">
        <v>11</v>
      </c>
      <c r="M1473" t="str">
        <f>IF(Revv_bike_sales_data[[#This Row],[delivery_days]]&lt;=7, "Yes", "No")</f>
        <v>No</v>
      </c>
      <c r="N1473" t="s">
        <v>16</v>
      </c>
      <c r="O1473" s="2">
        <v>-63849</v>
      </c>
    </row>
    <row r="1474" spans="1:15" x14ac:dyDescent="0.3">
      <c r="A1474" s="2">
        <v>1464</v>
      </c>
      <c r="B1474" s="1">
        <v>44987.958333333336</v>
      </c>
      <c r="C1474" s="1" t="str">
        <f t="shared" si="44"/>
        <v>03-2023</v>
      </c>
      <c r="D1474" s="2">
        <f t="shared" si="45"/>
        <v>9</v>
      </c>
      <c r="E1474" t="s">
        <v>13</v>
      </c>
      <c r="F1474" t="s">
        <v>14</v>
      </c>
      <c r="G1474" t="s">
        <v>21</v>
      </c>
      <c r="H1474" s="2">
        <v>30491</v>
      </c>
      <c r="I1474" s="2">
        <v>7</v>
      </c>
      <c r="J1474" s="2">
        <v>170468</v>
      </c>
      <c r="K1474" s="2">
        <v>37789</v>
      </c>
      <c r="L1474" s="2">
        <v>13</v>
      </c>
      <c r="M1474" t="str">
        <f>IF(Revv_bike_sales_data[[#This Row],[delivery_days]]&lt;=7, "Yes", "No")</f>
        <v>No</v>
      </c>
      <c r="N1474" t="s">
        <v>16</v>
      </c>
      <c r="O1474" s="2">
        <v>132679</v>
      </c>
    </row>
    <row r="1475" spans="1:15" x14ac:dyDescent="0.3">
      <c r="A1475" s="2">
        <v>1465</v>
      </c>
      <c r="B1475" s="1">
        <v>44988</v>
      </c>
      <c r="C1475" s="1" t="str">
        <f t="shared" si="44"/>
        <v>03-2023</v>
      </c>
      <c r="D1475" s="2">
        <f t="shared" si="45"/>
        <v>9</v>
      </c>
      <c r="E1475" t="s">
        <v>17</v>
      </c>
      <c r="F1475" t="s">
        <v>23</v>
      </c>
      <c r="G1475" t="s">
        <v>15</v>
      </c>
      <c r="H1475" s="2">
        <v>8134</v>
      </c>
      <c r="I1475" s="2">
        <v>7</v>
      </c>
      <c r="J1475" s="2">
        <v>179396</v>
      </c>
      <c r="K1475" s="2">
        <v>71023</v>
      </c>
      <c r="L1475" s="2">
        <v>9</v>
      </c>
      <c r="M1475" t="str">
        <f>IF(Revv_bike_sales_data[[#This Row],[delivery_days]]&lt;=7, "Yes", "No")</f>
        <v>No</v>
      </c>
      <c r="N1475" t="s">
        <v>24</v>
      </c>
      <c r="O1475" s="2">
        <v>108373</v>
      </c>
    </row>
    <row r="1476" spans="1:15" x14ac:dyDescent="0.3">
      <c r="A1476" s="2">
        <v>1466</v>
      </c>
      <c r="B1476" s="1">
        <v>44988.041666666664</v>
      </c>
      <c r="C1476" s="1" t="str">
        <f t="shared" si="44"/>
        <v>03-2023</v>
      </c>
      <c r="D1476" s="2">
        <f t="shared" si="45"/>
        <v>9</v>
      </c>
      <c r="E1476" t="s">
        <v>18</v>
      </c>
      <c r="F1476" t="s">
        <v>14</v>
      </c>
      <c r="G1476" t="s">
        <v>15</v>
      </c>
      <c r="H1476" s="2">
        <v>77534</v>
      </c>
      <c r="I1476" s="2">
        <v>2</v>
      </c>
      <c r="J1476" s="2">
        <v>137168</v>
      </c>
      <c r="K1476" s="2">
        <v>48400</v>
      </c>
      <c r="L1476" s="2">
        <v>14</v>
      </c>
      <c r="M1476" t="str">
        <f>IF(Revv_bike_sales_data[[#This Row],[delivery_days]]&lt;=7, "Yes", "No")</f>
        <v>No</v>
      </c>
      <c r="N1476" t="s">
        <v>16</v>
      </c>
      <c r="O1476" s="2">
        <v>88768</v>
      </c>
    </row>
    <row r="1477" spans="1:15" x14ac:dyDescent="0.3">
      <c r="A1477" s="2">
        <v>1467</v>
      </c>
      <c r="B1477" s="1">
        <v>44988.083333333336</v>
      </c>
      <c r="C1477" s="1" t="str">
        <f t="shared" si="44"/>
        <v>03-2023</v>
      </c>
      <c r="D1477" s="2">
        <f t="shared" si="45"/>
        <v>9</v>
      </c>
      <c r="E1477" t="s">
        <v>17</v>
      </c>
      <c r="F1477" t="s">
        <v>14</v>
      </c>
      <c r="G1477" t="s">
        <v>15</v>
      </c>
      <c r="H1477" s="2">
        <v>76952</v>
      </c>
      <c r="I1477" s="2">
        <v>6</v>
      </c>
      <c r="J1477" s="2">
        <v>134813</v>
      </c>
      <c r="K1477" s="2">
        <v>17199</v>
      </c>
      <c r="L1477" s="2">
        <v>5</v>
      </c>
      <c r="M1477" t="str">
        <f>IF(Revv_bike_sales_data[[#This Row],[delivery_days]]&lt;=7, "Yes", "No")</f>
        <v>Yes</v>
      </c>
      <c r="N1477" t="s">
        <v>16</v>
      </c>
      <c r="O1477" s="2">
        <v>117614</v>
      </c>
    </row>
    <row r="1478" spans="1:15" x14ac:dyDescent="0.3">
      <c r="A1478" s="2">
        <v>1468</v>
      </c>
      <c r="B1478" s="1">
        <v>44988.125</v>
      </c>
      <c r="C1478" s="1" t="str">
        <f t="shared" si="44"/>
        <v>03-2023</v>
      </c>
      <c r="D1478" s="2">
        <f t="shared" si="45"/>
        <v>9</v>
      </c>
      <c r="E1478" t="s">
        <v>22</v>
      </c>
      <c r="F1478" t="s">
        <v>14</v>
      </c>
      <c r="G1478" t="s">
        <v>21</v>
      </c>
      <c r="H1478" s="2">
        <v>29877</v>
      </c>
      <c r="I1478" s="2">
        <v>2</v>
      </c>
      <c r="J1478" s="2">
        <v>116779</v>
      </c>
      <c r="K1478" s="2">
        <v>62316</v>
      </c>
      <c r="L1478" s="2">
        <v>11</v>
      </c>
      <c r="M1478" t="str">
        <f>IF(Revv_bike_sales_data[[#This Row],[delivery_days]]&lt;=7, "Yes", "No")</f>
        <v>No</v>
      </c>
      <c r="N1478" t="s">
        <v>24</v>
      </c>
      <c r="O1478" s="2">
        <v>54463</v>
      </c>
    </row>
    <row r="1479" spans="1:15" x14ac:dyDescent="0.3">
      <c r="A1479" s="2">
        <v>1469</v>
      </c>
      <c r="B1479" s="1">
        <v>44988.166666666664</v>
      </c>
      <c r="C1479" s="1" t="str">
        <f t="shared" si="44"/>
        <v>03-2023</v>
      </c>
      <c r="D1479" s="2">
        <f t="shared" si="45"/>
        <v>9</v>
      </c>
      <c r="E1479" t="s">
        <v>25</v>
      </c>
      <c r="F1479" t="s">
        <v>14</v>
      </c>
      <c r="G1479" t="s">
        <v>15</v>
      </c>
      <c r="H1479" s="2">
        <v>33501</v>
      </c>
      <c r="I1479" s="2">
        <v>3</v>
      </c>
      <c r="J1479" s="2">
        <v>159266</v>
      </c>
      <c r="K1479" s="2">
        <v>124559</v>
      </c>
      <c r="L1479" s="2">
        <v>9</v>
      </c>
      <c r="M1479" t="str">
        <f>IF(Revv_bike_sales_data[[#This Row],[delivery_days]]&lt;=7, "Yes", "No")</f>
        <v>No</v>
      </c>
      <c r="N1479" t="s">
        <v>16</v>
      </c>
      <c r="O1479" s="2">
        <v>34707</v>
      </c>
    </row>
    <row r="1480" spans="1:15" x14ac:dyDescent="0.3">
      <c r="A1480" s="2">
        <v>1470</v>
      </c>
      <c r="B1480" s="1">
        <v>44988.208333333336</v>
      </c>
      <c r="C1480" s="1" t="str">
        <f t="shared" si="44"/>
        <v>03-2023</v>
      </c>
      <c r="D1480" s="2">
        <f t="shared" si="45"/>
        <v>9</v>
      </c>
      <c r="E1480" t="s">
        <v>18</v>
      </c>
      <c r="F1480" t="s">
        <v>14</v>
      </c>
      <c r="G1480" t="s">
        <v>15</v>
      </c>
      <c r="H1480" s="2">
        <v>1891</v>
      </c>
      <c r="I1480" s="2">
        <v>8</v>
      </c>
      <c r="J1480" s="2">
        <v>57398</v>
      </c>
      <c r="K1480" s="2">
        <v>102273</v>
      </c>
      <c r="L1480" s="2">
        <v>4</v>
      </c>
      <c r="M1480" t="str">
        <f>IF(Revv_bike_sales_data[[#This Row],[delivery_days]]&lt;=7, "Yes", "No")</f>
        <v>Yes</v>
      </c>
      <c r="N1480" t="s">
        <v>16</v>
      </c>
      <c r="O1480" s="2">
        <v>-44875</v>
      </c>
    </row>
    <row r="1481" spans="1:15" x14ac:dyDescent="0.3">
      <c r="A1481" s="2">
        <v>1471</v>
      </c>
      <c r="B1481" s="1">
        <v>44988.25</v>
      </c>
      <c r="C1481" s="1" t="str">
        <f t="shared" si="44"/>
        <v>03-2023</v>
      </c>
      <c r="D1481" s="2">
        <f t="shared" si="45"/>
        <v>9</v>
      </c>
      <c r="E1481" t="s">
        <v>22</v>
      </c>
      <c r="F1481" t="s">
        <v>14</v>
      </c>
      <c r="G1481" t="s">
        <v>19</v>
      </c>
      <c r="H1481" s="2">
        <v>65706</v>
      </c>
      <c r="I1481" s="2">
        <v>3</v>
      </c>
      <c r="J1481" s="2">
        <v>29789</v>
      </c>
      <c r="K1481" s="2">
        <v>67062</v>
      </c>
      <c r="L1481" s="2">
        <v>2</v>
      </c>
      <c r="M1481" t="str">
        <f>IF(Revv_bike_sales_data[[#This Row],[delivery_days]]&lt;=7, "Yes", "No")</f>
        <v>Yes</v>
      </c>
      <c r="N1481" t="s">
        <v>16</v>
      </c>
      <c r="O1481" s="2">
        <v>-37273</v>
      </c>
    </row>
    <row r="1482" spans="1:15" x14ac:dyDescent="0.3">
      <c r="A1482" s="2">
        <v>1472</v>
      </c>
      <c r="B1482" s="1">
        <v>44988.291666666664</v>
      </c>
      <c r="C1482" s="1" t="str">
        <f t="shared" si="44"/>
        <v>03-2023</v>
      </c>
      <c r="D1482" s="2">
        <f t="shared" si="45"/>
        <v>9</v>
      </c>
      <c r="E1482" t="s">
        <v>22</v>
      </c>
      <c r="F1482" t="s">
        <v>14</v>
      </c>
      <c r="G1482" t="s">
        <v>20</v>
      </c>
      <c r="H1482" s="2">
        <v>42715</v>
      </c>
      <c r="I1482" s="2">
        <v>2</v>
      </c>
      <c r="J1482" s="2">
        <v>89967</v>
      </c>
      <c r="K1482" s="2">
        <v>130310</v>
      </c>
      <c r="L1482" s="2">
        <v>3</v>
      </c>
      <c r="M1482" t="str">
        <f>IF(Revv_bike_sales_data[[#This Row],[delivery_days]]&lt;=7, "Yes", "No")</f>
        <v>Yes</v>
      </c>
      <c r="N1482" t="s">
        <v>16</v>
      </c>
      <c r="O1482" s="2">
        <v>-40343</v>
      </c>
    </row>
    <row r="1483" spans="1:15" x14ac:dyDescent="0.3">
      <c r="A1483" s="2">
        <v>1473</v>
      </c>
      <c r="B1483" s="1">
        <v>44988.333333333336</v>
      </c>
      <c r="C1483" s="1" t="str">
        <f t="shared" ref="C1483:C1546" si="46">TEXT(B1483,"mm-yyyy")</f>
        <v>03-2023</v>
      </c>
      <c r="D1483" s="2">
        <f t="shared" ref="D1483:D1546" si="47">WEEKNUM(B1483)</f>
        <v>9</v>
      </c>
      <c r="E1483" t="s">
        <v>18</v>
      </c>
      <c r="F1483" t="s">
        <v>23</v>
      </c>
      <c r="G1483" t="s">
        <v>21</v>
      </c>
      <c r="H1483" s="2">
        <v>80220</v>
      </c>
      <c r="I1483" s="2">
        <v>4</v>
      </c>
      <c r="J1483" s="2">
        <v>123837</v>
      </c>
      <c r="K1483" s="2">
        <v>86609</v>
      </c>
      <c r="L1483" s="2">
        <v>1</v>
      </c>
      <c r="M1483" t="str">
        <f>IF(Revv_bike_sales_data[[#This Row],[delivery_days]]&lt;=7, "Yes", "No")</f>
        <v>Yes</v>
      </c>
      <c r="N1483" t="s">
        <v>24</v>
      </c>
      <c r="O1483" s="2">
        <v>37228</v>
      </c>
    </row>
    <row r="1484" spans="1:15" x14ac:dyDescent="0.3">
      <c r="A1484" s="2">
        <v>1474</v>
      </c>
      <c r="B1484" s="1">
        <v>44988.375</v>
      </c>
      <c r="C1484" s="1" t="str">
        <f t="shared" si="46"/>
        <v>03-2023</v>
      </c>
      <c r="D1484" s="2">
        <f t="shared" si="47"/>
        <v>9</v>
      </c>
      <c r="E1484" t="s">
        <v>17</v>
      </c>
      <c r="F1484" t="s">
        <v>14</v>
      </c>
      <c r="G1484" t="s">
        <v>20</v>
      </c>
      <c r="H1484" s="2">
        <v>27614</v>
      </c>
      <c r="I1484" s="2">
        <v>6</v>
      </c>
      <c r="J1484" s="2">
        <v>126967</v>
      </c>
      <c r="K1484" s="2">
        <v>31744</v>
      </c>
      <c r="L1484" s="2">
        <v>5</v>
      </c>
      <c r="M1484" t="str">
        <f>IF(Revv_bike_sales_data[[#This Row],[delivery_days]]&lt;=7, "Yes", "No")</f>
        <v>Yes</v>
      </c>
      <c r="N1484" t="s">
        <v>16</v>
      </c>
      <c r="O1484" s="2">
        <v>95223</v>
      </c>
    </row>
    <row r="1485" spans="1:15" x14ac:dyDescent="0.3">
      <c r="A1485" s="2">
        <v>1475</v>
      </c>
      <c r="B1485" s="1">
        <v>44988.416666666664</v>
      </c>
      <c r="C1485" s="1" t="str">
        <f t="shared" si="46"/>
        <v>03-2023</v>
      </c>
      <c r="D1485" s="2">
        <f t="shared" si="47"/>
        <v>9</v>
      </c>
      <c r="E1485" t="s">
        <v>22</v>
      </c>
      <c r="F1485" t="s">
        <v>14</v>
      </c>
      <c r="G1485" t="s">
        <v>19</v>
      </c>
      <c r="H1485" s="2">
        <v>12382</v>
      </c>
      <c r="I1485" s="2">
        <v>4</v>
      </c>
      <c r="J1485" s="2">
        <v>156201</v>
      </c>
      <c r="K1485" s="2">
        <v>91095</v>
      </c>
      <c r="L1485" s="2">
        <v>1</v>
      </c>
      <c r="M1485" t="str">
        <f>IF(Revv_bike_sales_data[[#This Row],[delivery_days]]&lt;=7, "Yes", "No")</f>
        <v>Yes</v>
      </c>
      <c r="N1485" t="s">
        <v>16</v>
      </c>
      <c r="O1485" s="2">
        <v>65106</v>
      </c>
    </row>
    <row r="1486" spans="1:15" x14ac:dyDescent="0.3">
      <c r="A1486" s="2">
        <v>1476</v>
      </c>
      <c r="B1486" s="1">
        <v>44988.458333333336</v>
      </c>
      <c r="C1486" s="1" t="str">
        <f t="shared" si="46"/>
        <v>03-2023</v>
      </c>
      <c r="D1486" s="2">
        <f t="shared" si="47"/>
        <v>9</v>
      </c>
      <c r="E1486" t="s">
        <v>13</v>
      </c>
      <c r="F1486" t="s">
        <v>14</v>
      </c>
      <c r="G1486" t="s">
        <v>20</v>
      </c>
      <c r="H1486" s="2">
        <v>17773</v>
      </c>
      <c r="I1486" s="2">
        <v>3</v>
      </c>
      <c r="J1486" s="2">
        <v>84683</v>
      </c>
      <c r="K1486" s="2">
        <v>70517</v>
      </c>
      <c r="L1486" s="2">
        <v>12</v>
      </c>
      <c r="M1486" t="str">
        <f>IF(Revv_bike_sales_data[[#This Row],[delivery_days]]&lt;=7, "Yes", "No")</f>
        <v>No</v>
      </c>
      <c r="N1486" t="s">
        <v>16</v>
      </c>
      <c r="O1486" s="2">
        <v>14166</v>
      </c>
    </row>
    <row r="1487" spans="1:15" x14ac:dyDescent="0.3">
      <c r="A1487" s="2">
        <v>1477</v>
      </c>
      <c r="B1487" s="1">
        <v>44988.5</v>
      </c>
      <c r="C1487" s="1" t="str">
        <f t="shared" si="46"/>
        <v>03-2023</v>
      </c>
      <c r="D1487" s="2">
        <f t="shared" si="47"/>
        <v>9</v>
      </c>
      <c r="E1487" t="s">
        <v>22</v>
      </c>
      <c r="F1487" t="s">
        <v>14</v>
      </c>
      <c r="G1487" t="s">
        <v>15</v>
      </c>
      <c r="H1487" s="2">
        <v>46147</v>
      </c>
      <c r="I1487" s="2">
        <v>7</v>
      </c>
      <c r="J1487" s="2">
        <v>70331</v>
      </c>
      <c r="K1487" s="2">
        <v>113231</v>
      </c>
      <c r="L1487" s="2">
        <v>11</v>
      </c>
      <c r="M1487" t="str">
        <f>IF(Revv_bike_sales_data[[#This Row],[delivery_days]]&lt;=7, "Yes", "No")</f>
        <v>No</v>
      </c>
      <c r="N1487" t="s">
        <v>16</v>
      </c>
      <c r="O1487" s="2">
        <v>-42900</v>
      </c>
    </row>
    <row r="1488" spans="1:15" x14ac:dyDescent="0.3">
      <c r="A1488" s="2">
        <v>1478</v>
      </c>
      <c r="B1488" s="1">
        <v>44988.541666666664</v>
      </c>
      <c r="C1488" s="1" t="str">
        <f t="shared" si="46"/>
        <v>03-2023</v>
      </c>
      <c r="D1488" s="2">
        <f t="shared" si="47"/>
        <v>9</v>
      </c>
      <c r="E1488" t="s">
        <v>17</v>
      </c>
      <c r="F1488" t="s">
        <v>14</v>
      </c>
      <c r="G1488" t="s">
        <v>15</v>
      </c>
      <c r="H1488" s="2">
        <v>83165</v>
      </c>
      <c r="I1488" s="2">
        <v>3</v>
      </c>
      <c r="J1488" s="2">
        <v>59626</v>
      </c>
      <c r="K1488" s="2">
        <v>63865</v>
      </c>
      <c r="L1488" s="2">
        <v>1</v>
      </c>
      <c r="M1488" t="str">
        <f>IF(Revv_bike_sales_data[[#This Row],[delivery_days]]&lt;=7, "Yes", "No")</f>
        <v>Yes</v>
      </c>
      <c r="N1488" t="s">
        <v>16</v>
      </c>
      <c r="O1488" s="2">
        <v>-4239</v>
      </c>
    </row>
    <row r="1489" spans="1:15" x14ac:dyDescent="0.3">
      <c r="A1489" s="2">
        <v>1479</v>
      </c>
      <c r="B1489" s="1">
        <v>44988.583333333336</v>
      </c>
      <c r="C1489" s="1" t="str">
        <f t="shared" si="46"/>
        <v>03-2023</v>
      </c>
      <c r="D1489" s="2">
        <f t="shared" si="47"/>
        <v>9</v>
      </c>
      <c r="E1489" t="s">
        <v>17</v>
      </c>
      <c r="F1489" t="s">
        <v>14</v>
      </c>
      <c r="G1489" t="s">
        <v>21</v>
      </c>
      <c r="H1489" s="2">
        <v>65392</v>
      </c>
      <c r="I1489" s="2">
        <v>1</v>
      </c>
      <c r="J1489" s="2">
        <v>37342</v>
      </c>
      <c r="K1489" s="2">
        <v>88937</v>
      </c>
      <c r="L1489" s="2">
        <v>14</v>
      </c>
      <c r="M1489" t="str">
        <f>IF(Revv_bike_sales_data[[#This Row],[delivery_days]]&lt;=7, "Yes", "No")</f>
        <v>No</v>
      </c>
      <c r="N1489" t="s">
        <v>16</v>
      </c>
      <c r="O1489" s="2">
        <v>-51595</v>
      </c>
    </row>
    <row r="1490" spans="1:15" x14ac:dyDescent="0.3">
      <c r="A1490" s="2">
        <v>1480</v>
      </c>
      <c r="B1490" s="1">
        <v>44988.625</v>
      </c>
      <c r="C1490" s="1" t="str">
        <f t="shared" si="46"/>
        <v>03-2023</v>
      </c>
      <c r="D1490" s="2">
        <f t="shared" si="47"/>
        <v>9</v>
      </c>
      <c r="E1490" t="s">
        <v>13</v>
      </c>
      <c r="F1490" t="s">
        <v>23</v>
      </c>
      <c r="G1490" t="s">
        <v>21</v>
      </c>
      <c r="H1490" s="2">
        <v>43179</v>
      </c>
      <c r="I1490" s="2">
        <v>9</v>
      </c>
      <c r="J1490" s="2">
        <v>61417</v>
      </c>
      <c r="K1490" s="2">
        <v>92195</v>
      </c>
      <c r="L1490" s="2">
        <v>11</v>
      </c>
      <c r="M1490" t="str">
        <f>IF(Revv_bike_sales_data[[#This Row],[delivery_days]]&lt;=7, "Yes", "No")</f>
        <v>No</v>
      </c>
      <c r="N1490" t="s">
        <v>16</v>
      </c>
      <c r="O1490" s="2">
        <v>-30778</v>
      </c>
    </row>
    <row r="1491" spans="1:15" x14ac:dyDescent="0.3">
      <c r="A1491" s="2">
        <v>1481</v>
      </c>
      <c r="B1491" s="1">
        <v>44988.666666666664</v>
      </c>
      <c r="C1491" s="1" t="str">
        <f t="shared" si="46"/>
        <v>03-2023</v>
      </c>
      <c r="D1491" s="2">
        <f t="shared" si="47"/>
        <v>9</v>
      </c>
      <c r="E1491" t="s">
        <v>22</v>
      </c>
      <c r="F1491" t="s">
        <v>14</v>
      </c>
      <c r="G1491" t="s">
        <v>21</v>
      </c>
      <c r="H1491" s="2">
        <v>927</v>
      </c>
      <c r="I1491" s="2">
        <v>5</v>
      </c>
      <c r="J1491" s="2">
        <v>77664</v>
      </c>
      <c r="K1491" s="2">
        <v>122426</v>
      </c>
      <c r="L1491" s="2">
        <v>11</v>
      </c>
      <c r="M1491" t="str">
        <f>IF(Revv_bike_sales_data[[#This Row],[delivery_days]]&lt;=7, "Yes", "No")</f>
        <v>No</v>
      </c>
      <c r="N1491" t="s">
        <v>16</v>
      </c>
      <c r="O1491" s="2">
        <v>-44762</v>
      </c>
    </row>
    <row r="1492" spans="1:15" x14ac:dyDescent="0.3">
      <c r="A1492" s="2">
        <v>1482</v>
      </c>
      <c r="B1492" s="1">
        <v>44988.708333333336</v>
      </c>
      <c r="C1492" s="1" t="str">
        <f t="shared" si="46"/>
        <v>03-2023</v>
      </c>
      <c r="D1492" s="2">
        <f t="shared" si="47"/>
        <v>9</v>
      </c>
      <c r="E1492" t="s">
        <v>17</v>
      </c>
      <c r="F1492" t="s">
        <v>14</v>
      </c>
      <c r="G1492" t="s">
        <v>19</v>
      </c>
      <c r="H1492" s="2">
        <v>97452</v>
      </c>
      <c r="I1492" s="2">
        <v>1</v>
      </c>
      <c r="J1492" s="2">
        <v>33833</v>
      </c>
      <c r="K1492" s="2">
        <v>28894</v>
      </c>
      <c r="L1492" s="2">
        <v>13</v>
      </c>
      <c r="M1492" t="str">
        <f>IF(Revv_bike_sales_data[[#This Row],[delivery_days]]&lt;=7, "Yes", "No")</f>
        <v>No</v>
      </c>
      <c r="N1492" t="s">
        <v>24</v>
      </c>
      <c r="O1492" s="2">
        <v>4939</v>
      </c>
    </row>
    <row r="1493" spans="1:15" x14ac:dyDescent="0.3">
      <c r="A1493" s="2">
        <v>1483</v>
      </c>
      <c r="B1493" s="1">
        <v>44988.75</v>
      </c>
      <c r="C1493" s="1" t="str">
        <f t="shared" si="46"/>
        <v>03-2023</v>
      </c>
      <c r="D1493" s="2">
        <f t="shared" si="47"/>
        <v>9</v>
      </c>
      <c r="E1493" t="s">
        <v>18</v>
      </c>
      <c r="F1493" t="s">
        <v>14</v>
      </c>
      <c r="G1493" t="s">
        <v>21</v>
      </c>
      <c r="H1493" s="2">
        <v>66767</v>
      </c>
      <c r="I1493" s="2">
        <v>2</v>
      </c>
      <c r="J1493" s="2">
        <v>85658</v>
      </c>
      <c r="K1493" s="2">
        <v>44160</v>
      </c>
      <c r="L1493" s="2">
        <v>7</v>
      </c>
      <c r="M1493" t="str">
        <f>IF(Revv_bike_sales_data[[#This Row],[delivery_days]]&lt;=7, "Yes", "No")</f>
        <v>Yes</v>
      </c>
      <c r="N1493" t="s">
        <v>16</v>
      </c>
      <c r="O1493" s="2">
        <v>41498</v>
      </c>
    </row>
    <row r="1494" spans="1:15" x14ac:dyDescent="0.3">
      <c r="A1494" s="2">
        <v>1484</v>
      </c>
      <c r="B1494" s="1">
        <v>44988.791666666664</v>
      </c>
      <c r="C1494" s="1" t="str">
        <f t="shared" si="46"/>
        <v>03-2023</v>
      </c>
      <c r="D1494" s="2">
        <f t="shared" si="47"/>
        <v>9</v>
      </c>
      <c r="E1494" t="s">
        <v>25</v>
      </c>
      <c r="F1494" t="s">
        <v>14</v>
      </c>
      <c r="G1494" t="s">
        <v>19</v>
      </c>
      <c r="H1494" s="2">
        <v>1299</v>
      </c>
      <c r="I1494" s="2">
        <v>0</v>
      </c>
      <c r="J1494" s="2">
        <v>156809</v>
      </c>
      <c r="K1494" s="2">
        <v>68095</v>
      </c>
      <c r="L1494" s="2">
        <v>2</v>
      </c>
      <c r="M1494" t="str">
        <f>IF(Revv_bike_sales_data[[#This Row],[delivery_days]]&lt;=7, "Yes", "No")</f>
        <v>Yes</v>
      </c>
      <c r="N1494" t="s">
        <v>16</v>
      </c>
      <c r="O1494" s="2">
        <v>88714</v>
      </c>
    </row>
    <row r="1495" spans="1:15" x14ac:dyDescent="0.3">
      <c r="A1495" s="2">
        <v>1485</v>
      </c>
      <c r="B1495" s="1">
        <v>44988.833333333336</v>
      </c>
      <c r="C1495" s="1" t="str">
        <f t="shared" si="46"/>
        <v>03-2023</v>
      </c>
      <c r="D1495" s="2">
        <f t="shared" si="47"/>
        <v>9</v>
      </c>
      <c r="E1495" t="s">
        <v>25</v>
      </c>
      <c r="F1495" t="s">
        <v>14</v>
      </c>
      <c r="G1495" t="s">
        <v>15</v>
      </c>
      <c r="H1495" s="2">
        <v>56159</v>
      </c>
      <c r="I1495" s="2">
        <v>4</v>
      </c>
      <c r="J1495" s="2">
        <v>119965</v>
      </c>
      <c r="K1495" s="2">
        <v>44272</v>
      </c>
      <c r="L1495" s="2">
        <v>8</v>
      </c>
      <c r="M1495" t="str">
        <f>IF(Revv_bike_sales_data[[#This Row],[delivery_days]]&lt;=7, "Yes", "No")</f>
        <v>No</v>
      </c>
      <c r="N1495" t="s">
        <v>24</v>
      </c>
      <c r="O1495" s="2">
        <v>75693</v>
      </c>
    </row>
    <row r="1496" spans="1:15" x14ac:dyDescent="0.3">
      <c r="A1496" s="2">
        <v>1486</v>
      </c>
      <c r="B1496" s="1">
        <v>44988.875</v>
      </c>
      <c r="C1496" s="1" t="str">
        <f t="shared" si="46"/>
        <v>03-2023</v>
      </c>
      <c r="D1496" s="2">
        <f t="shared" si="47"/>
        <v>9</v>
      </c>
      <c r="E1496" t="s">
        <v>25</v>
      </c>
      <c r="F1496" t="s">
        <v>14</v>
      </c>
      <c r="G1496" t="s">
        <v>20</v>
      </c>
      <c r="H1496" s="2">
        <v>94909</v>
      </c>
      <c r="I1496" s="2">
        <v>8</v>
      </c>
      <c r="J1496" s="2">
        <v>89054</v>
      </c>
      <c r="K1496" s="2">
        <v>69021</v>
      </c>
      <c r="L1496" s="2">
        <v>6</v>
      </c>
      <c r="M1496" t="str">
        <f>IF(Revv_bike_sales_data[[#This Row],[delivery_days]]&lt;=7, "Yes", "No")</f>
        <v>Yes</v>
      </c>
      <c r="N1496" t="s">
        <v>16</v>
      </c>
      <c r="O1496" s="2">
        <v>20033</v>
      </c>
    </row>
    <row r="1497" spans="1:15" x14ac:dyDescent="0.3">
      <c r="A1497" s="2">
        <v>1487</v>
      </c>
      <c r="B1497" s="1">
        <v>44988.916666666664</v>
      </c>
      <c r="C1497" s="1" t="str">
        <f t="shared" si="46"/>
        <v>03-2023</v>
      </c>
      <c r="D1497" s="2">
        <f t="shared" si="47"/>
        <v>9</v>
      </c>
      <c r="E1497" t="s">
        <v>22</v>
      </c>
      <c r="F1497" t="s">
        <v>14</v>
      </c>
      <c r="G1497" t="s">
        <v>15</v>
      </c>
      <c r="H1497" s="2">
        <v>7525</v>
      </c>
      <c r="I1497" s="2">
        <v>1</v>
      </c>
      <c r="J1497" s="2">
        <v>26299</v>
      </c>
      <c r="K1497" s="2">
        <v>105048</v>
      </c>
      <c r="L1497" s="2">
        <v>4</v>
      </c>
      <c r="M1497" t="str">
        <f>IF(Revv_bike_sales_data[[#This Row],[delivery_days]]&lt;=7, "Yes", "No")</f>
        <v>Yes</v>
      </c>
      <c r="N1497" t="s">
        <v>24</v>
      </c>
      <c r="O1497" s="2">
        <v>-78749</v>
      </c>
    </row>
    <row r="1498" spans="1:15" x14ac:dyDescent="0.3">
      <c r="A1498" s="2">
        <v>1488</v>
      </c>
      <c r="B1498" s="1">
        <v>44988.958333333336</v>
      </c>
      <c r="C1498" s="1" t="str">
        <f t="shared" si="46"/>
        <v>03-2023</v>
      </c>
      <c r="D1498" s="2">
        <f t="shared" si="47"/>
        <v>9</v>
      </c>
      <c r="E1498" t="s">
        <v>13</v>
      </c>
      <c r="F1498" t="s">
        <v>14</v>
      </c>
      <c r="G1498" t="s">
        <v>15</v>
      </c>
      <c r="H1498" s="2">
        <v>14981</v>
      </c>
      <c r="I1498" s="2">
        <v>6</v>
      </c>
      <c r="J1498" s="2">
        <v>90875</v>
      </c>
      <c r="K1498" s="2">
        <v>48645</v>
      </c>
      <c r="L1498" s="2">
        <v>9</v>
      </c>
      <c r="M1498" t="str">
        <f>IF(Revv_bike_sales_data[[#This Row],[delivery_days]]&lt;=7, "Yes", "No")</f>
        <v>No</v>
      </c>
      <c r="N1498" t="s">
        <v>16</v>
      </c>
      <c r="O1498" s="2">
        <v>42230</v>
      </c>
    </row>
    <row r="1499" spans="1:15" x14ac:dyDescent="0.3">
      <c r="A1499" s="2">
        <v>1489</v>
      </c>
      <c r="B1499" s="1">
        <v>44989</v>
      </c>
      <c r="C1499" s="1" t="str">
        <f t="shared" si="46"/>
        <v>03-2023</v>
      </c>
      <c r="D1499" s="2">
        <f t="shared" si="47"/>
        <v>9</v>
      </c>
      <c r="E1499" t="s">
        <v>17</v>
      </c>
      <c r="F1499" t="s">
        <v>14</v>
      </c>
      <c r="G1499" t="s">
        <v>15</v>
      </c>
      <c r="H1499" s="2">
        <v>25911</v>
      </c>
      <c r="I1499" s="2">
        <v>4</v>
      </c>
      <c r="J1499" s="2">
        <v>139286</v>
      </c>
      <c r="K1499" s="2">
        <v>127079</v>
      </c>
      <c r="L1499" s="2">
        <v>10</v>
      </c>
      <c r="M1499" t="str">
        <f>IF(Revv_bike_sales_data[[#This Row],[delivery_days]]&lt;=7, "Yes", "No")</f>
        <v>No</v>
      </c>
      <c r="N1499" t="s">
        <v>16</v>
      </c>
      <c r="O1499" s="2">
        <v>12207</v>
      </c>
    </row>
    <row r="1500" spans="1:15" x14ac:dyDescent="0.3">
      <c r="A1500" s="2">
        <v>1490</v>
      </c>
      <c r="B1500" s="1">
        <v>44989.041666666664</v>
      </c>
      <c r="C1500" s="1" t="str">
        <f t="shared" si="46"/>
        <v>03-2023</v>
      </c>
      <c r="D1500" s="2">
        <f t="shared" si="47"/>
        <v>9</v>
      </c>
      <c r="E1500" t="s">
        <v>18</v>
      </c>
      <c r="F1500" t="s">
        <v>14</v>
      </c>
      <c r="G1500" t="s">
        <v>21</v>
      </c>
      <c r="H1500" s="2">
        <v>97394</v>
      </c>
      <c r="I1500" s="2">
        <v>1</v>
      </c>
      <c r="J1500" s="2">
        <v>123730</v>
      </c>
      <c r="K1500" s="2">
        <v>36179</v>
      </c>
      <c r="L1500" s="2">
        <v>8</v>
      </c>
      <c r="M1500" t="str">
        <f>IF(Revv_bike_sales_data[[#This Row],[delivery_days]]&lt;=7, "Yes", "No")</f>
        <v>No</v>
      </c>
      <c r="N1500" t="s">
        <v>16</v>
      </c>
      <c r="O1500" s="2">
        <v>87551</v>
      </c>
    </row>
    <row r="1501" spans="1:15" x14ac:dyDescent="0.3">
      <c r="A1501" s="2">
        <v>1491</v>
      </c>
      <c r="B1501" s="1">
        <v>44989.083333333336</v>
      </c>
      <c r="C1501" s="1" t="str">
        <f t="shared" si="46"/>
        <v>03-2023</v>
      </c>
      <c r="D1501" s="2">
        <f t="shared" si="47"/>
        <v>9</v>
      </c>
      <c r="E1501" t="s">
        <v>18</v>
      </c>
      <c r="F1501" t="s">
        <v>14</v>
      </c>
      <c r="G1501" t="s">
        <v>21</v>
      </c>
      <c r="H1501" s="2">
        <v>15461</v>
      </c>
      <c r="I1501" s="2">
        <v>7</v>
      </c>
      <c r="J1501" s="2">
        <v>81298</v>
      </c>
      <c r="K1501" s="2">
        <v>137479</v>
      </c>
      <c r="L1501" s="2">
        <v>13</v>
      </c>
      <c r="M1501" t="str">
        <f>IF(Revv_bike_sales_data[[#This Row],[delivery_days]]&lt;=7, "Yes", "No")</f>
        <v>No</v>
      </c>
      <c r="N1501" t="s">
        <v>16</v>
      </c>
      <c r="O1501" s="2">
        <v>-56181</v>
      </c>
    </row>
    <row r="1502" spans="1:15" x14ac:dyDescent="0.3">
      <c r="A1502" s="2">
        <v>1492</v>
      </c>
      <c r="B1502" s="1">
        <v>44989.125</v>
      </c>
      <c r="C1502" s="1" t="str">
        <f t="shared" si="46"/>
        <v>03-2023</v>
      </c>
      <c r="D1502" s="2">
        <f t="shared" si="47"/>
        <v>9</v>
      </c>
      <c r="E1502" t="s">
        <v>22</v>
      </c>
      <c r="F1502" t="s">
        <v>14</v>
      </c>
      <c r="G1502" t="s">
        <v>21</v>
      </c>
      <c r="H1502" s="2">
        <v>22267</v>
      </c>
      <c r="I1502" s="2">
        <v>5</v>
      </c>
      <c r="J1502" s="2">
        <v>146035</v>
      </c>
      <c r="K1502" s="2">
        <v>25691</v>
      </c>
      <c r="L1502" s="2">
        <v>10</v>
      </c>
      <c r="M1502" t="str">
        <f>IF(Revv_bike_sales_data[[#This Row],[delivery_days]]&lt;=7, "Yes", "No")</f>
        <v>No</v>
      </c>
      <c r="N1502" t="s">
        <v>16</v>
      </c>
      <c r="O1502" s="2">
        <v>120344</v>
      </c>
    </row>
    <row r="1503" spans="1:15" x14ac:dyDescent="0.3">
      <c r="A1503" s="2">
        <v>1493</v>
      </c>
      <c r="B1503" s="1">
        <v>44989.166666666664</v>
      </c>
      <c r="C1503" s="1" t="str">
        <f t="shared" si="46"/>
        <v>03-2023</v>
      </c>
      <c r="D1503" s="2">
        <f t="shared" si="47"/>
        <v>9</v>
      </c>
      <c r="E1503" t="s">
        <v>25</v>
      </c>
      <c r="F1503" t="s">
        <v>14</v>
      </c>
      <c r="G1503" t="s">
        <v>20</v>
      </c>
      <c r="H1503" s="2">
        <v>52190</v>
      </c>
      <c r="I1503" s="2">
        <v>3</v>
      </c>
      <c r="J1503" s="2">
        <v>134825</v>
      </c>
      <c r="K1503" s="2">
        <v>96646</v>
      </c>
      <c r="L1503" s="2">
        <v>3</v>
      </c>
      <c r="M1503" t="str">
        <f>IF(Revv_bike_sales_data[[#This Row],[delivery_days]]&lt;=7, "Yes", "No")</f>
        <v>Yes</v>
      </c>
      <c r="N1503" t="s">
        <v>16</v>
      </c>
      <c r="O1503" s="2">
        <v>38179</v>
      </c>
    </row>
    <row r="1504" spans="1:15" x14ac:dyDescent="0.3">
      <c r="A1504" s="2">
        <v>1494</v>
      </c>
      <c r="B1504" s="1">
        <v>44989.208333333336</v>
      </c>
      <c r="C1504" s="1" t="str">
        <f t="shared" si="46"/>
        <v>03-2023</v>
      </c>
      <c r="D1504" s="2">
        <f t="shared" si="47"/>
        <v>9</v>
      </c>
      <c r="E1504" t="s">
        <v>22</v>
      </c>
      <c r="F1504" t="s">
        <v>14</v>
      </c>
      <c r="G1504" t="s">
        <v>21</v>
      </c>
      <c r="H1504" s="2">
        <v>53370</v>
      </c>
      <c r="I1504" s="2">
        <v>3</v>
      </c>
      <c r="J1504" s="2">
        <v>140637</v>
      </c>
      <c r="K1504" s="2">
        <v>115827</v>
      </c>
      <c r="L1504" s="2">
        <v>3</v>
      </c>
      <c r="M1504" t="str">
        <f>IF(Revv_bike_sales_data[[#This Row],[delivery_days]]&lt;=7, "Yes", "No")</f>
        <v>Yes</v>
      </c>
      <c r="N1504" t="s">
        <v>16</v>
      </c>
      <c r="O1504" s="2">
        <v>24810</v>
      </c>
    </row>
    <row r="1505" spans="1:15" x14ac:dyDescent="0.3">
      <c r="A1505" s="2">
        <v>1495</v>
      </c>
      <c r="B1505" s="1">
        <v>44989.25</v>
      </c>
      <c r="C1505" s="1" t="str">
        <f t="shared" si="46"/>
        <v>03-2023</v>
      </c>
      <c r="D1505" s="2">
        <f t="shared" si="47"/>
        <v>9</v>
      </c>
      <c r="E1505" t="s">
        <v>13</v>
      </c>
      <c r="F1505" t="s">
        <v>14</v>
      </c>
      <c r="G1505" t="s">
        <v>19</v>
      </c>
      <c r="H1505" s="2">
        <v>36635</v>
      </c>
      <c r="I1505" s="2">
        <v>1</v>
      </c>
      <c r="J1505" s="2">
        <v>97618</v>
      </c>
      <c r="K1505" s="2">
        <v>60311</v>
      </c>
      <c r="L1505" s="2">
        <v>4</v>
      </c>
      <c r="M1505" t="str">
        <f>IF(Revv_bike_sales_data[[#This Row],[delivery_days]]&lt;=7, "Yes", "No")</f>
        <v>Yes</v>
      </c>
      <c r="N1505" t="s">
        <v>16</v>
      </c>
      <c r="O1505" s="2">
        <v>37307</v>
      </c>
    </row>
    <row r="1506" spans="1:15" x14ac:dyDescent="0.3">
      <c r="A1506" s="2">
        <v>1496</v>
      </c>
      <c r="B1506" s="1">
        <v>44989.291666666664</v>
      </c>
      <c r="C1506" s="1" t="str">
        <f t="shared" si="46"/>
        <v>03-2023</v>
      </c>
      <c r="D1506" s="2">
        <f t="shared" si="47"/>
        <v>9</v>
      </c>
      <c r="E1506" t="s">
        <v>13</v>
      </c>
      <c r="F1506" t="s">
        <v>14</v>
      </c>
      <c r="G1506" t="s">
        <v>15</v>
      </c>
      <c r="H1506" s="2">
        <v>65014</v>
      </c>
      <c r="I1506" s="2">
        <v>2</v>
      </c>
      <c r="J1506" s="2">
        <v>50532</v>
      </c>
      <c r="K1506" s="2">
        <v>110381</v>
      </c>
      <c r="L1506" s="2">
        <v>14</v>
      </c>
      <c r="M1506" t="str">
        <f>IF(Revv_bike_sales_data[[#This Row],[delivery_days]]&lt;=7, "Yes", "No")</f>
        <v>No</v>
      </c>
      <c r="N1506" t="s">
        <v>16</v>
      </c>
      <c r="O1506" s="2">
        <v>-59849</v>
      </c>
    </row>
    <row r="1507" spans="1:15" x14ac:dyDescent="0.3">
      <c r="A1507" s="2">
        <v>1497</v>
      </c>
      <c r="B1507" s="1">
        <v>44989.333333333336</v>
      </c>
      <c r="C1507" s="1" t="str">
        <f t="shared" si="46"/>
        <v>03-2023</v>
      </c>
      <c r="D1507" s="2">
        <f t="shared" si="47"/>
        <v>9</v>
      </c>
      <c r="E1507" t="s">
        <v>17</v>
      </c>
      <c r="F1507" t="s">
        <v>14</v>
      </c>
      <c r="G1507" t="s">
        <v>20</v>
      </c>
      <c r="H1507" s="2">
        <v>87428</v>
      </c>
      <c r="I1507" s="2">
        <v>6</v>
      </c>
      <c r="J1507" s="2">
        <v>133197</v>
      </c>
      <c r="K1507" s="2">
        <v>54038</v>
      </c>
      <c r="L1507" s="2">
        <v>9</v>
      </c>
      <c r="M1507" t="str">
        <f>IF(Revv_bike_sales_data[[#This Row],[delivery_days]]&lt;=7, "Yes", "No")</f>
        <v>No</v>
      </c>
      <c r="N1507" t="s">
        <v>16</v>
      </c>
      <c r="O1507" s="2">
        <v>79159</v>
      </c>
    </row>
    <row r="1508" spans="1:15" x14ac:dyDescent="0.3">
      <c r="A1508" s="2">
        <v>1498</v>
      </c>
      <c r="B1508" s="1">
        <v>44989.375</v>
      </c>
      <c r="C1508" s="1" t="str">
        <f t="shared" si="46"/>
        <v>03-2023</v>
      </c>
      <c r="D1508" s="2">
        <f t="shared" si="47"/>
        <v>9</v>
      </c>
      <c r="E1508" t="s">
        <v>17</v>
      </c>
      <c r="F1508" t="s">
        <v>14</v>
      </c>
      <c r="G1508" t="s">
        <v>20</v>
      </c>
      <c r="H1508" s="2">
        <v>79298</v>
      </c>
      <c r="I1508" s="2">
        <v>2</v>
      </c>
      <c r="J1508" s="2">
        <v>155860</v>
      </c>
      <c r="K1508" s="2">
        <v>39967</v>
      </c>
      <c r="L1508" s="2">
        <v>9</v>
      </c>
      <c r="M1508" t="str">
        <f>IF(Revv_bike_sales_data[[#This Row],[delivery_days]]&lt;=7, "Yes", "No")</f>
        <v>No</v>
      </c>
      <c r="N1508" t="s">
        <v>16</v>
      </c>
      <c r="O1508" s="2">
        <v>115893</v>
      </c>
    </row>
    <row r="1509" spans="1:15" x14ac:dyDescent="0.3">
      <c r="A1509" s="2">
        <v>1499</v>
      </c>
      <c r="B1509" s="1">
        <v>44989.416666666664</v>
      </c>
      <c r="C1509" s="1" t="str">
        <f t="shared" si="46"/>
        <v>03-2023</v>
      </c>
      <c r="D1509" s="2">
        <f t="shared" si="47"/>
        <v>9</v>
      </c>
      <c r="E1509" t="s">
        <v>13</v>
      </c>
      <c r="F1509" t="s">
        <v>14</v>
      </c>
      <c r="G1509" t="s">
        <v>20</v>
      </c>
      <c r="H1509" s="2">
        <v>71265</v>
      </c>
      <c r="I1509" s="2">
        <v>4</v>
      </c>
      <c r="J1509" s="2">
        <v>85285</v>
      </c>
      <c r="K1509" s="2">
        <v>43478</v>
      </c>
      <c r="L1509" s="2">
        <v>5</v>
      </c>
      <c r="M1509" t="str">
        <f>IF(Revv_bike_sales_data[[#This Row],[delivery_days]]&lt;=7, "Yes", "No")</f>
        <v>Yes</v>
      </c>
      <c r="N1509" t="s">
        <v>16</v>
      </c>
      <c r="O1509" s="2">
        <v>41807</v>
      </c>
    </row>
    <row r="1510" spans="1:15" x14ac:dyDescent="0.3">
      <c r="A1510" s="2">
        <v>1500</v>
      </c>
      <c r="B1510" s="1">
        <v>44989.458333333336</v>
      </c>
      <c r="C1510" s="1" t="str">
        <f t="shared" si="46"/>
        <v>03-2023</v>
      </c>
      <c r="D1510" s="2">
        <f t="shared" si="47"/>
        <v>9</v>
      </c>
      <c r="E1510" t="s">
        <v>13</v>
      </c>
      <c r="F1510" t="s">
        <v>14</v>
      </c>
      <c r="G1510" t="s">
        <v>20</v>
      </c>
      <c r="H1510" s="2">
        <v>24272</v>
      </c>
      <c r="I1510" s="2">
        <v>9</v>
      </c>
      <c r="J1510" s="2">
        <v>43866</v>
      </c>
      <c r="K1510" s="2">
        <v>70775</v>
      </c>
      <c r="L1510" s="2">
        <v>12</v>
      </c>
      <c r="M1510" t="str">
        <f>IF(Revv_bike_sales_data[[#This Row],[delivery_days]]&lt;=7, "Yes", "No")</f>
        <v>No</v>
      </c>
      <c r="N1510" t="s">
        <v>16</v>
      </c>
      <c r="O1510" s="2">
        <v>-26909</v>
      </c>
    </row>
    <row r="1511" spans="1:15" x14ac:dyDescent="0.3">
      <c r="A1511" s="2">
        <v>1501</v>
      </c>
      <c r="B1511" s="1">
        <v>44989.5</v>
      </c>
      <c r="C1511" s="1" t="str">
        <f t="shared" si="46"/>
        <v>03-2023</v>
      </c>
      <c r="D1511" s="2">
        <f t="shared" si="47"/>
        <v>9</v>
      </c>
      <c r="E1511" t="s">
        <v>13</v>
      </c>
      <c r="F1511" t="s">
        <v>14</v>
      </c>
      <c r="G1511" t="s">
        <v>20</v>
      </c>
      <c r="H1511" s="2">
        <v>19299</v>
      </c>
      <c r="I1511" s="2">
        <v>5</v>
      </c>
      <c r="J1511" s="2">
        <v>163665</v>
      </c>
      <c r="K1511" s="2">
        <v>85624</v>
      </c>
      <c r="L1511" s="2">
        <v>9</v>
      </c>
      <c r="M1511" t="str">
        <f>IF(Revv_bike_sales_data[[#This Row],[delivery_days]]&lt;=7, "Yes", "No")</f>
        <v>No</v>
      </c>
      <c r="N1511" t="s">
        <v>16</v>
      </c>
      <c r="O1511" s="2">
        <v>78041</v>
      </c>
    </row>
    <row r="1512" spans="1:15" x14ac:dyDescent="0.3">
      <c r="A1512" s="2">
        <v>1502</v>
      </c>
      <c r="B1512" s="1">
        <v>44989.541666666664</v>
      </c>
      <c r="C1512" s="1" t="str">
        <f t="shared" si="46"/>
        <v>03-2023</v>
      </c>
      <c r="D1512" s="2">
        <f t="shared" si="47"/>
        <v>9</v>
      </c>
      <c r="E1512" t="s">
        <v>22</v>
      </c>
      <c r="F1512" t="s">
        <v>14</v>
      </c>
      <c r="G1512" t="s">
        <v>19</v>
      </c>
      <c r="H1512" s="2">
        <v>24055</v>
      </c>
      <c r="I1512" s="2">
        <v>5</v>
      </c>
      <c r="J1512" s="2">
        <v>34495</v>
      </c>
      <c r="K1512" s="2">
        <v>55332</v>
      </c>
      <c r="L1512" s="2">
        <v>6</v>
      </c>
      <c r="M1512" t="str">
        <f>IF(Revv_bike_sales_data[[#This Row],[delivery_days]]&lt;=7, "Yes", "No")</f>
        <v>Yes</v>
      </c>
      <c r="N1512" t="s">
        <v>16</v>
      </c>
      <c r="O1512" s="2">
        <v>-20837</v>
      </c>
    </row>
    <row r="1513" spans="1:15" x14ac:dyDescent="0.3">
      <c r="A1513" s="2">
        <v>1503</v>
      </c>
      <c r="B1513" s="1">
        <v>44989.583333333336</v>
      </c>
      <c r="C1513" s="1" t="str">
        <f t="shared" si="46"/>
        <v>03-2023</v>
      </c>
      <c r="D1513" s="2">
        <f t="shared" si="47"/>
        <v>9</v>
      </c>
      <c r="E1513" t="s">
        <v>13</v>
      </c>
      <c r="F1513" t="s">
        <v>14</v>
      </c>
      <c r="G1513" t="s">
        <v>15</v>
      </c>
      <c r="H1513" s="2">
        <v>92652</v>
      </c>
      <c r="I1513" s="2">
        <v>3</v>
      </c>
      <c r="J1513" s="2">
        <v>32837</v>
      </c>
      <c r="K1513" s="2">
        <v>22066</v>
      </c>
      <c r="L1513" s="2">
        <v>8</v>
      </c>
      <c r="M1513" t="str">
        <f>IF(Revv_bike_sales_data[[#This Row],[delivery_days]]&lt;=7, "Yes", "No")</f>
        <v>No</v>
      </c>
      <c r="N1513" t="s">
        <v>16</v>
      </c>
      <c r="O1513" s="2">
        <v>10771</v>
      </c>
    </row>
    <row r="1514" spans="1:15" x14ac:dyDescent="0.3">
      <c r="A1514" s="2">
        <v>1504</v>
      </c>
      <c r="B1514" s="1">
        <v>44989.625</v>
      </c>
      <c r="C1514" s="1" t="str">
        <f t="shared" si="46"/>
        <v>03-2023</v>
      </c>
      <c r="D1514" s="2">
        <f t="shared" si="47"/>
        <v>9</v>
      </c>
      <c r="E1514" t="s">
        <v>18</v>
      </c>
      <c r="F1514" t="s">
        <v>23</v>
      </c>
      <c r="G1514" t="s">
        <v>20</v>
      </c>
      <c r="H1514" s="2">
        <v>19833</v>
      </c>
      <c r="I1514" s="2">
        <v>5</v>
      </c>
      <c r="J1514" s="2">
        <v>174752</v>
      </c>
      <c r="K1514" s="2">
        <v>54313</v>
      </c>
      <c r="L1514" s="2">
        <v>11</v>
      </c>
      <c r="M1514" t="str">
        <f>IF(Revv_bike_sales_data[[#This Row],[delivery_days]]&lt;=7, "Yes", "No")</f>
        <v>No</v>
      </c>
      <c r="N1514" t="s">
        <v>16</v>
      </c>
      <c r="O1514" s="2">
        <v>120439</v>
      </c>
    </row>
    <row r="1515" spans="1:15" x14ac:dyDescent="0.3">
      <c r="A1515" s="2">
        <v>1505</v>
      </c>
      <c r="B1515" s="1">
        <v>44989.666666666664</v>
      </c>
      <c r="C1515" s="1" t="str">
        <f t="shared" si="46"/>
        <v>03-2023</v>
      </c>
      <c r="D1515" s="2">
        <f t="shared" si="47"/>
        <v>9</v>
      </c>
      <c r="E1515" t="s">
        <v>25</v>
      </c>
      <c r="F1515" t="s">
        <v>14</v>
      </c>
      <c r="G1515" t="s">
        <v>15</v>
      </c>
      <c r="H1515" s="2">
        <v>4761</v>
      </c>
      <c r="I1515" s="2">
        <v>2</v>
      </c>
      <c r="J1515" s="2">
        <v>55346</v>
      </c>
      <c r="K1515" s="2">
        <v>82857</v>
      </c>
      <c r="L1515" s="2">
        <v>8</v>
      </c>
      <c r="M1515" t="str">
        <f>IF(Revv_bike_sales_data[[#This Row],[delivery_days]]&lt;=7, "Yes", "No")</f>
        <v>No</v>
      </c>
      <c r="N1515" t="s">
        <v>16</v>
      </c>
      <c r="O1515" s="2">
        <v>-27511</v>
      </c>
    </row>
    <row r="1516" spans="1:15" x14ac:dyDescent="0.3">
      <c r="A1516" s="2">
        <v>1506</v>
      </c>
      <c r="B1516" s="1">
        <v>44989.708333333336</v>
      </c>
      <c r="C1516" s="1" t="str">
        <f t="shared" si="46"/>
        <v>03-2023</v>
      </c>
      <c r="D1516" s="2">
        <f t="shared" si="47"/>
        <v>9</v>
      </c>
      <c r="E1516" t="s">
        <v>13</v>
      </c>
      <c r="F1516" t="s">
        <v>14</v>
      </c>
      <c r="G1516" t="s">
        <v>21</v>
      </c>
      <c r="H1516" s="2">
        <v>69502</v>
      </c>
      <c r="I1516" s="2">
        <v>6</v>
      </c>
      <c r="J1516" s="2">
        <v>133621</v>
      </c>
      <c r="K1516" s="2">
        <v>60900</v>
      </c>
      <c r="L1516" s="2">
        <v>12</v>
      </c>
      <c r="M1516" t="str">
        <f>IF(Revv_bike_sales_data[[#This Row],[delivery_days]]&lt;=7, "Yes", "No")</f>
        <v>No</v>
      </c>
      <c r="N1516" t="s">
        <v>16</v>
      </c>
      <c r="O1516" s="2">
        <v>72721</v>
      </c>
    </row>
    <row r="1517" spans="1:15" x14ac:dyDescent="0.3">
      <c r="A1517" s="2">
        <v>1507</v>
      </c>
      <c r="B1517" s="1">
        <v>44989.75</v>
      </c>
      <c r="C1517" s="1" t="str">
        <f t="shared" si="46"/>
        <v>03-2023</v>
      </c>
      <c r="D1517" s="2">
        <f t="shared" si="47"/>
        <v>9</v>
      </c>
      <c r="E1517" t="s">
        <v>25</v>
      </c>
      <c r="F1517" t="s">
        <v>14</v>
      </c>
      <c r="G1517" t="s">
        <v>20</v>
      </c>
      <c r="H1517" s="2">
        <v>47053</v>
      </c>
      <c r="I1517" s="2">
        <v>6</v>
      </c>
      <c r="J1517" s="2">
        <v>48412</v>
      </c>
      <c r="K1517" s="2">
        <v>105069</v>
      </c>
      <c r="L1517" s="2">
        <v>10</v>
      </c>
      <c r="M1517" t="str">
        <f>IF(Revv_bike_sales_data[[#This Row],[delivery_days]]&lt;=7, "Yes", "No")</f>
        <v>No</v>
      </c>
      <c r="N1517" t="s">
        <v>16</v>
      </c>
      <c r="O1517" s="2">
        <v>-56657</v>
      </c>
    </row>
    <row r="1518" spans="1:15" x14ac:dyDescent="0.3">
      <c r="A1518" s="2">
        <v>1508</v>
      </c>
      <c r="B1518" s="1">
        <v>44989.791666666664</v>
      </c>
      <c r="C1518" s="1" t="str">
        <f t="shared" si="46"/>
        <v>03-2023</v>
      </c>
      <c r="D1518" s="2">
        <f t="shared" si="47"/>
        <v>9</v>
      </c>
      <c r="E1518" t="s">
        <v>22</v>
      </c>
      <c r="F1518" t="s">
        <v>14</v>
      </c>
      <c r="G1518" t="s">
        <v>20</v>
      </c>
      <c r="H1518" s="2">
        <v>3588</v>
      </c>
      <c r="I1518" s="2">
        <v>3</v>
      </c>
      <c r="J1518" s="2">
        <v>143833</v>
      </c>
      <c r="K1518" s="2">
        <v>105045</v>
      </c>
      <c r="L1518" s="2">
        <v>7</v>
      </c>
      <c r="M1518" t="str">
        <f>IF(Revv_bike_sales_data[[#This Row],[delivery_days]]&lt;=7, "Yes", "No")</f>
        <v>Yes</v>
      </c>
      <c r="N1518" t="s">
        <v>16</v>
      </c>
      <c r="O1518" s="2">
        <v>38788</v>
      </c>
    </row>
    <row r="1519" spans="1:15" x14ac:dyDescent="0.3">
      <c r="A1519" s="2">
        <v>1509</v>
      </c>
      <c r="B1519" s="1">
        <v>44989.833333333336</v>
      </c>
      <c r="C1519" s="1" t="str">
        <f t="shared" si="46"/>
        <v>03-2023</v>
      </c>
      <c r="D1519" s="2">
        <f t="shared" si="47"/>
        <v>9</v>
      </c>
      <c r="E1519" t="s">
        <v>25</v>
      </c>
      <c r="F1519" t="s">
        <v>23</v>
      </c>
      <c r="G1519" t="s">
        <v>15</v>
      </c>
      <c r="H1519" s="2">
        <v>46283</v>
      </c>
      <c r="I1519" s="2">
        <v>1</v>
      </c>
      <c r="J1519" s="2">
        <v>90206</v>
      </c>
      <c r="K1519" s="2">
        <v>56098</v>
      </c>
      <c r="L1519" s="2">
        <v>4</v>
      </c>
      <c r="M1519" t="str">
        <f>IF(Revv_bike_sales_data[[#This Row],[delivery_days]]&lt;=7, "Yes", "No")</f>
        <v>Yes</v>
      </c>
      <c r="N1519" t="s">
        <v>16</v>
      </c>
      <c r="O1519" s="2">
        <v>34108</v>
      </c>
    </row>
    <row r="1520" spans="1:15" x14ac:dyDescent="0.3">
      <c r="A1520" s="2">
        <v>1510</v>
      </c>
      <c r="B1520" s="1">
        <v>44989.875</v>
      </c>
      <c r="C1520" s="1" t="str">
        <f t="shared" si="46"/>
        <v>03-2023</v>
      </c>
      <c r="D1520" s="2">
        <f t="shared" si="47"/>
        <v>9</v>
      </c>
      <c r="E1520" t="s">
        <v>22</v>
      </c>
      <c r="F1520" t="s">
        <v>14</v>
      </c>
      <c r="G1520" t="s">
        <v>20</v>
      </c>
      <c r="H1520" s="2">
        <v>1615</v>
      </c>
      <c r="I1520" s="2">
        <v>6</v>
      </c>
      <c r="J1520" s="2">
        <v>35934</v>
      </c>
      <c r="K1520" s="2">
        <v>23294</v>
      </c>
      <c r="L1520" s="2">
        <v>4</v>
      </c>
      <c r="M1520" t="str">
        <f>IF(Revv_bike_sales_data[[#This Row],[delivery_days]]&lt;=7, "Yes", "No")</f>
        <v>Yes</v>
      </c>
      <c r="N1520" t="s">
        <v>16</v>
      </c>
      <c r="O1520" s="2">
        <v>12640</v>
      </c>
    </row>
    <row r="1521" spans="1:15" x14ac:dyDescent="0.3">
      <c r="A1521" s="2">
        <v>1511</v>
      </c>
      <c r="B1521" s="1">
        <v>44989.916666666664</v>
      </c>
      <c r="C1521" s="1" t="str">
        <f t="shared" si="46"/>
        <v>03-2023</v>
      </c>
      <c r="D1521" s="2">
        <f t="shared" si="47"/>
        <v>9</v>
      </c>
      <c r="E1521" t="s">
        <v>18</v>
      </c>
      <c r="F1521" t="s">
        <v>23</v>
      </c>
      <c r="G1521" t="s">
        <v>20</v>
      </c>
      <c r="H1521" s="2">
        <v>70614</v>
      </c>
      <c r="I1521" s="2">
        <v>2</v>
      </c>
      <c r="J1521" s="2">
        <v>55723</v>
      </c>
      <c r="K1521" s="2">
        <v>126857</v>
      </c>
      <c r="L1521" s="2">
        <v>6</v>
      </c>
      <c r="M1521" t="str">
        <f>IF(Revv_bike_sales_data[[#This Row],[delivery_days]]&lt;=7, "Yes", "No")</f>
        <v>Yes</v>
      </c>
      <c r="N1521" t="s">
        <v>16</v>
      </c>
      <c r="O1521" s="2">
        <v>-71134</v>
      </c>
    </row>
    <row r="1522" spans="1:15" x14ac:dyDescent="0.3">
      <c r="A1522" s="2">
        <v>1512</v>
      </c>
      <c r="B1522" s="1">
        <v>44989.958333333336</v>
      </c>
      <c r="C1522" s="1" t="str">
        <f t="shared" si="46"/>
        <v>03-2023</v>
      </c>
      <c r="D1522" s="2">
        <f t="shared" si="47"/>
        <v>9</v>
      </c>
      <c r="E1522" t="s">
        <v>22</v>
      </c>
      <c r="F1522" t="s">
        <v>23</v>
      </c>
      <c r="G1522" t="s">
        <v>20</v>
      </c>
      <c r="H1522" s="2">
        <v>68626</v>
      </c>
      <c r="I1522" s="2">
        <v>0</v>
      </c>
      <c r="J1522" s="2">
        <v>152968</v>
      </c>
      <c r="K1522" s="2">
        <v>77580</v>
      </c>
      <c r="L1522" s="2">
        <v>14</v>
      </c>
      <c r="M1522" t="str">
        <f>IF(Revv_bike_sales_data[[#This Row],[delivery_days]]&lt;=7, "Yes", "No")</f>
        <v>No</v>
      </c>
      <c r="N1522" t="s">
        <v>16</v>
      </c>
      <c r="O1522" s="2">
        <v>75388</v>
      </c>
    </row>
    <row r="1523" spans="1:15" x14ac:dyDescent="0.3">
      <c r="A1523" s="2">
        <v>1513</v>
      </c>
      <c r="B1523" s="1">
        <v>44990</v>
      </c>
      <c r="C1523" s="1" t="str">
        <f t="shared" si="46"/>
        <v>03-2023</v>
      </c>
      <c r="D1523" s="2">
        <f t="shared" si="47"/>
        <v>10</v>
      </c>
      <c r="E1523" t="s">
        <v>22</v>
      </c>
      <c r="F1523" t="s">
        <v>23</v>
      </c>
      <c r="G1523" t="s">
        <v>19</v>
      </c>
      <c r="H1523" s="2">
        <v>73408</v>
      </c>
      <c r="I1523" s="2">
        <v>1</v>
      </c>
      <c r="J1523" s="2">
        <v>176477</v>
      </c>
      <c r="K1523" s="2">
        <v>53101</v>
      </c>
      <c r="L1523" s="2">
        <v>9</v>
      </c>
      <c r="M1523" t="str">
        <f>IF(Revv_bike_sales_data[[#This Row],[delivery_days]]&lt;=7, "Yes", "No")</f>
        <v>No</v>
      </c>
      <c r="N1523" t="s">
        <v>16</v>
      </c>
      <c r="O1523" s="2">
        <v>123376</v>
      </c>
    </row>
    <row r="1524" spans="1:15" x14ac:dyDescent="0.3">
      <c r="A1524" s="2">
        <v>1514</v>
      </c>
      <c r="B1524" s="1">
        <v>44990.041666666664</v>
      </c>
      <c r="C1524" s="1" t="str">
        <f t="shared" si="46"/>
        <v>03-2023</v>
      </c>
      <c r="D1524" s="2">
        <f t="shared" si="47"/>
        <v>10</v>
      </c>
      <c r="E1524" t="s">
        <v>17</v>
      </c>
      <c r="F1524" t="s">
        <v>14</v>
      </c>
      <c r="G1524" t="s">
        <v>19</v>
      </c>
      <c r="H1524" s="2">
        <v>69609</v>
      </c>
      <c r="I1524" s="2">
        <v>9</v>
      </c>
      <c r="J1524" s="2">
        <v>174820</v>
      </c>
      <c r="K1524" s="2">
        <v>40059</v>
      </c>
      <c r="L1524" s="2">
        <v>7</v>
      </c>
      <c r="M1524" t="str">
        <f>IF(Revv_bike_sales_data[[#This Row],[delivery_days]]&lt;=7, "Yes", "No")</f>
        <v>Yes</v>
      </c>
      <c r="N1524" t="s">
        <v>16</v>
      </c>
      <c r="O1524" s="2">
        <v>134761</v>
      </c>
    </row>
    <row r="1525" spans="1:15" x14ac:dyDescent="0.3">
      <c r="A1525" s="2">
        <v>1515</v>
      </c>
      <c r="B1525" s="1">
        <v>44990.083333333336</v>
      </c>
      <c r="C1525" s="1" t="str">
        <f t="shared" si="46"/>
        <v>03-2023</v>
      </c>
      <c r="D1525" s="2">
        <f t="shared" si="47"/>
        <v>10</v>
      </c>
      <c r="E1525" t="s">
        <v>13</v>
      </c>
      <c r="F1525" t="s">
        <v>14</v>
      </c>
      <c r="G1525" t="s">
        <v>20</v>
      </c>
      <c r="H1525" s="2">
        <v>3478</v>
      </c>
      <c r="I1525" s="2">
        <v>8</v>
      </c>
      <c r="J1525" s="2">
        <v>178426</v>
      </c>
      <c r="K1525" s="2">
        <v>111784</v>
      </c>
      <c r="L1525" s="2">
        <v>5</v>
      </c>
      <c r="M1525" t="str">
        <f>IF(Revv_bike_sales_data[[#This Row],[delivery_days]]&lt;=7, "Yes", "No")</f>
        <v>Yes</v>
      </c>
      <c r="N1525" t="s">
        <v>16</v>
      </c>
      <c r="O1525" s="2">
        <v>66642</v>
      </c>
    </row>
    <row r="1526" spans="1:15" x14ac:dyDescent="0.3">
      <c r="A1526" s="2">
        <v>1516</v>
      </c>
      <c r="B1526" s="1">
        <v>44990.125</v>
      </c>
      <c r="C1526" s="1" t="str">
        <f t="shared" si="46"/>
        <v>03-2023</v>
      </c>
      <c r="D1526" s="2">
        <f t="shared" si="47"/>
        <v>10</v>
      </c>
      <c r="E1526" t="s">
        <v>13</v>
      </c>
      <c r="F1526" t="s">
        <v>14</v>
      </c>
      <c r="G1526" t="s">
        <v>19</v>
      </c>
      <c r="H1526" s="2">
        <v>9922</v>
      </c>
      <c r="I1526" s="2">
        <v>7</v>
      </c>
      <c r="J1526" s="2">
        <v>146988</v>
      </c>
      <c r="K1526" s="2">
        <v>55626</v>
      </c>
      <c r="L1526" s="2">
        <v>5</v>
      </c>
      <c r="M1526" t="str">
        <f>IF(Revv_bike_sales_data[[#This Row],[delivery_days]]&lt;=7, "Yes", "No")</f>
        <v>Yes</v>
      </c>
      <c r="N1526" t="s">
        <v>16</v>
      </c>
      <c r="O1526" s="2">
        <v>91362</v>
      </c>
    </row>
    <row r="1527" spans="1:15" x14ac:dyDescent="0.3">
      <c r="A1527" s="2">
        <v>1517</v>
      </c>
      <c r="B1527" s="1">
        <v>44990.166666666664</v>
      </c>
      <c r="C1527" s="1" t="str">
        <f t="shared" si="46"/>
        <v>03-2023</v>
      </c>
      <c r="D1527" s="2">
        <f t="shared" si="47"/>
        <v>10</v>
      </c>
      <c r="E1527" t="s">
        <v>18</v>
      </c>
      <c r="F1527" t="s">
        <v>14</v>
      </c>
      <c r="G1527" t="s">
        <v>21</v>
      </c>
      <c r="H1527" s="2">
        <v>44126</v>
      </c>
      <c r="I1527" s="2">
        <v>5</v>
      </c>
      <c r="J1527" s="2">
        <v>173460</v>
      </c>
      <c r="K1527" s="2">
        <v>35703</v>
      </c>
      <c r="L1527" s="2">
        <v>8</v>
      </c>
      <c r="M1527" t="str">
        <f>IF(Revv_bike_sales_data[[#This Row],[delivery_days]]&lt;=7, "Yes", "No")</f>
        <v>No</v>
      </c>
      <c r="N1527" t="s">
        <v>16</v>
      </c>
      <c r="O1527" s="2">
        <v>137757</v>
      </c>
    </row>
    <row r="1528" spans="1:15" x14ac:dyDescent="0.3">
      <c r="A1528" s="2">
        <v>1518</v>
      </c>
      <c r="B1528" s="1">
        <v>44990.208333333336</v>
      </c>
      <c r="C1528" s="1" t="str">
        <f t="shared" si="46"/>
        <v>03-2023</v>
      </c>
      <c r="D1528" s="2">
        <f t="shared" si="47"/>
        <v>10</v>
      </c>
      <c r="E1528" t="s">
        <v>18</v>
      </c>
      <c r="F1528" t="s">
        <v>14</v>
      </c>
      <c r="G1528" t="s">
        <v>20</v>
      </c>
      <c r="H1528" s="2">
        <v>89733</v>
      </c>
      <c r="I1528" s="2">
        <v>5</v>
      </c>
      <c r="J1528" s="2">
        <v>61523</v>
      </c>
      <c r="K1528" s="2">
        <v>118693</v>
      </c>
      <c r="L1528" s="2">
        <v>6</v>
      </c>
      <c r="M1528" t="str">
        <f>IF(Revv_bike_sales_data[[#This Row],[delivery_days]]&lt;=7, "Yes", "No")</f>
        <v>Yes</v>
      </c>
      <c r="N1528" t="s">
        <v>24</v>
      </c>
      <c r="O1528" s="2">
        <v>-57170</v>
      </c>
    </row>
    <row r="1529" spans="1:15" x14ac:dyDescent="0.3">
      <c r="A1529" s="2">
        <v>1519</v>
      </c>
      <c r="B1529" s="1">
        <v>44990.25</v>
      </c>
      <c r="C1529" s="1" t="str">
        <f t="shared" si="46"/>
        <v>03-2023</v>
      </c>
      <c r="D1529" s="2">
        <f t="shared" si="47"/>
        <v>10</v>
      </c>
      <c r="E1529" t="s">
        <v>13</v>
      </c>
      <c r="F1529" t="s">
        <v>14</v>
      </c>
      <c r="G1529" t="s">
        <v>21</v>
      </c>
      <c r="H1529" s="2">
        <v>56674</v>
      </c>
      <c r="I1529" s="2">
        <v>0</v>
      </c>
      <c r="J1529" s="2">
        <v>126150</v>
      </c>
      <c r="K1529" s="2">
        <v>76417</v>
      </c>
      <c r="L1529" s="2">
        <v>1</v>
      </c>
      <c r="M1529" t="str">
        <f>IF(Revv_bike_sales_data[[#This Row],[delivery_days]]&lt;=7, "Yes", "No")</f>
        <v>Yes</v>
      </c>
      <c r="N1529" t="s">
        <v>16</v>
      </c>
      <c r="O1529" s="2">
        <v>49733</v>
      </c>
    </row>
    <row r="1530" spans="1:15" x14ac:dyDescent="0.3">
      <c r="A1530" s="2">
        <v>1520</v>
      </c>
      <c r="B1530" s="1">
        <v>44990.291666666664</v>
      </c>
      <c r="C1530" s="1" t="str">
        <f t="shared" si="46"/>
        <v>03-2023</v>
      </c>
      <c r="D1530" s="2">
        <f t="shared" si="47"/>
        <v>10</v>
      </c>
      <c r="E1530" t="s">
        <v>17</v>
      </c>
      <c r="F1530" t="s">
        <v>14</v>
      </c>
      <c r="G1530" t="s">
        <v>15</v>
      </c>
      <c r="H1530" s="2">
        <v>96856</v>
      </c>
      <c r="I1530" s="2">
        <v>1</v>
      </c>
      <c r="J1530" s="2">
        <v>145950</v>
      </c>
      <c r="K1530" s="2">
        <v>131536</v>
      </c>
      <c r="L1530" s="2">
        <v>1</v>
      </c>
      <c r="M1530" t="str">
        <f>IF(Revv_bike_sales_data[[#This Row],[delivery_days]]&lt;=7, "Yes", "No")</f>
        <v>Yes</v>
      </c>
      <c r="N1530" t="s">
        <v>16</v>
      </c>
      <c r="O1530" s="2">
        <v>14414</v>
      </c>
    </row>
    <row r="1531" spans="1:15" x14ac:dyDescent="0.3">
      <c r="A1531" s="2">
        <v>1521</v>
      </c>
      <c r="B1531" s="1">
        <v>44990.333333333336</v>
      </c>
      <c r="C1531" s="1" t="str">
        <f t="shared" si="46"/>
        <v>03-2023</v>
      </c>
      <c r="D1531" s="2">
        <f t="shared" si="47"/>
        <v>10</v>
      </c>
      <c r="E1531" t="s">
        <v>13</v>
      </c>
      <c r="F1531" t="s">
        <v>14</v>
      </c>
      <c r="G1531" t="s">
        <v>21</v>
      </c>
      <c r="H1531" s="2">
        <v>38243</v>
      </c>
      <c r="I1531" s="2">
        <v>3</v>
      </c>
      <c r="J1531" s="2">
        <v>66646</v>
      </c>
      <c r="K1531" s="2">
        <v>74228</v>
      </c>
      <c r="L1531" s="2">
        <v>9</v>
      </c>
      <c r="M1531" t="str">
        <f>IF(Revv_bike_sales_data[[#This Row],[delivery_days]]&lt;=7, "Yes", "No")</f>
        <v>No</v>
      </c>
      <c r="N1531" t="s">
        <v>16</v>
      </c>
      <c r="O1531" s="2">
        <v>-7582</v>
      </c>
    </row>
    <row r="1532" spans="1:15" x14ac:dyDescent="0.3">
      <c r="A1532" s="2">
        <v>1522</v>
      </c>
      <c r="B1532" s="1">
        <v>44990.375</v>
      </c>
      <c r="C1532" s="1" t="str">
        <f t="shared" si="46"/>
        <v>03-2023</v>
      </c>
      <c r="D1532" s="2">
        <f t="shared" si="47"/>
        <v>10</v>
      </c>
      <c r="E1532" t="s">
        <v>17</v>
      </c>
      <c r="F1532" t="s">
        <v>14</v>
      </c>
      <c r="G1532" t="s">
        <v>15</v>
      </c>
      <c r="H1532" s="2">
        <v>70961</v>
      </c>
      <c r="I1532" s="2">
        <v>2</v>
      </c>
      <c r="J1532" s="2">
        <v>177093</v>
      </c>
      <c r="K1532" s="2">
        <v>18205</v>
      </c>
      <c r="L1532" s="2">
        <v>8</v>
      </c>
      <c r="M1532" t="str">
        <f>IF(Revv_bike_sales_data[[#This Row],[delivery_days]]&lt;=7, "Yes", "No")</f>
        <v>No</v>
      </c>
      <c r="N1532" t="s">
        <v>16</v>
      </c>
      <c r="O1532" s="2">
        <v>158888</v>
      </c>
    </row>
    <row r="1533" spans="1:15" x14ac:dyDescent="0.3">
      <c r="A1533" s="2">
        <v>1523</v>
      </c>
      <c r="B1533" s="1">
        <v>44990.416666666664</v>
      </c>
      <c r="C1533" s="1" t="str">
        <f t="shared" si="46"/>
        <v>03-2023</v>
      </c>
      <c r="D1533" s="2">
        <f t="shared" si="47"/>
        <v>10</v>
      </c>
      <c r="E1533" t="s">
        <v>18</v>
      </c>
      <c r="F1533" t="s">
        <v>14</v>
      </c>
      <c r="G1533" t="s">
        <v>20</v>
      </c>
      <c r="H1533" s="2">
        <v>57699</v>
      </c>
      <c r="I1533" s="2">
        <v>0</v>
      </c>
      <c r="J1533" s="2">
        <v>77776</v>
      </c>
      <c r="K1533" s="2">
        <v>49929</v>
      </c>
      <c r="L1533" s="2">
        <v>6</v>
      </c>
      <c r="M1533" t="str">
        <f>IF(Revv_bike_sales_data[[#This Row],[delivery_days]]&lt;=7, "Yes", "No")</f>
        <v>Yes</v>
      </c>
      <c r="N1533" t="s">
        <v>16</v>
      </c>
      <c r="O1533" s="2">
        <v>27847</v>
      </c>
    </row>
    <row r="1534" spans="1:15" x14ac:dyDescent="0.3">
      <c r="A1534" s="2">
        <v>1524</v>
      </c>
      <c r="B1534" s="1">
        <v>44990.458333333336</v>
      </c>
      <c r="C1534" s="1" t="str">
        <f t="shared" si="46"/>
        <v>03-2023</v>
      </c>
      <c r="D1534" s="2">
        <f t="shared" si="47"/>
        <v>10</v>
      </c>
      <c r="E1534" t="s">
        <v>25</v>
      </c>
      <c r="F1534" t="s">
        <v>14</v>
      </c>
      <c r="G1534" t="s">
        <v>15</v>
      </c>
      <c r="H1534" s="2">
        <v>29930</v>
      </c>
      <c r="I1534" s="2">
        <v>7</v>
      </c>
      <c r="J1534" s="2">
        <v>44116</v>
      </c>
      <c r="K1534" s="2">
        <v>98384</v>
      </c>
      <c r="L1534" s="2">
        <v>13</v>
      </c>
      <c r="M1534" t="str">
        <f>IF(Revv_bike_sales_data[[#This Row],[delivery_days]]&lt;=7, "Yes", "No")</f>
        <v>No</v>
      </c>
      <c r="N1534" t="s">
        <v>16</v>
      </c>
      <c r="O1534" s="2">
        <v>-54268</v>
      </c>
    </row>
    <row r="1535" spans="1:15" x14ac:dyDescent="0.3">
      <c r="A1535" s="2">
        <v>1525</v>
      </c>
      <c r="B1535" s="1">
        <v>44990.5</v>
      </c>
      <c r="C1535" s="1" t="str">
        <f t="shared" si="46"/>
        <v>03-2023</v>
      </c>
      <c r="D1535" s="2">
        <f t="shared" si="47"/>
        <v>10</v>
      </c>
      <c r="E1535" t="s">
        <v>18</v>
      </c>
      <c r="F1535" t="s">
        <v>14</v>
      </c>
      <c r="G1535" t="s">
        <v>15</v>
      </c>
      <c r="H1535" s="2">
        <v>29334</v>
      </c>
      <c r="I1535" s="2">
        <v>6</v>
      </c>
      <c r="J1535" s="2">
        <v>137858</v>
      </c>
      <c r="K1535" s="2">
        <v>48411</v>
      </c>
      <c r="L1535" s="2">
        <v>1</v>
      </c>
      <c r="M1535" t="str">
        <f>IF(Revv_bike_sales_data[[#This Row],[delivery_days]]&lt;=7, "Yes", "No")</f>
        <v>Yes</v>
      </c>
      <c r="N1535" t="s">
        <v>16</v>
      </c>
      <c r="O1535" s="2">
        <v>89447</v>
      </c>
    </row>
    <row r="1536" spans="1:15" x14ac:dyDescent="0.3">
      <c r="A1536" s="2">
        <v>1526</v>
      </c>
      <c r="B1536" s="1">
        <v>44990.541666666664</v>
      </c>
      <c r="C1536" s="1" t="str">
        <f t="shared" si="46"/>
        <v>03-2023</v>
      </c>
      <c r="D1536" s="2">
        <f t="shared" si="47"/>
        <v>10</v>
      </c>
      <c r="E1536" t="s">
        <v>18</v>
      </c>
      <c r="F1536" t="s">
        <v>14</v>
      </c>
      <c r="G1536" t="s">
        <v>21</v>
      </c>
      <c r="H1536" s="2">
        <v>24935</v>
      </c>
      <c r="I1536" s="2">
        <v>3</v>
      </c>
      <c r="J1536" s="2">
        <v>101620</v>
      </c>
      <c r="K1536" s="2">
        <v>95522</v>
      </c>
      <c r="L1536" s="2">
        <v>14</v>
      </c>
      <c r="M1536" t="str">
        <f>IF(Revv_bike_sales_data[[#This Row],[delivery_days]]&lt;=7, "Yes", "No")</f>
        <v>No</v>
      </c>
      <c r="N1536" t="s">
        <v>16</v>
      </c>
      <c r="O1536" s="2">
        <v>6098</v>
      </c>
    </row>
    <row r="1537" spans="1:15" x14ac:dyDescent="0.3">
      <c r="A1537" s="2">
        <v>1527</v>
      </c>
      <c r="B1537" s="1">
        <v>44990.583333333336</v>
      </c>
      <c r="C1537" s="1" t="str">
        <f t="shared" si="46"/>
        <v>03-2023</v>
      </c>
      <c r="D1537" s="2">
        <f t="shared" si="47"/>
        <v>10</v>
      </c>
      <c r="E1537" t="s">
        <v>22</v>
      </c>
      <c r="F1537" t="s">
        <v>14</v>
      </c>
      <c r="G1537" t="s">
        <v>21</v>
      </c>
      <c r="H1537" s="2">
        <v>87712</v>
      </c>
      <c r="I1537" s="2">
        <v>8</v>
      </c>
      <c r="J1537" s="2">
        <v>107604</v>
      </c>
      <c r="K1537" s="2">
        <v>26628</v>
      </c>
      <c r="L1537" s="2">
        <v>2</v>
      </c>
      <c r="M1537" t="str">
        <f>IF(Revv_bike_sales_data[[#This Row],[delivery_days]]&lt;=7, "Yes", "No")</f>
        <v>Yes</v>
      </c>
      <c r="N1537" t="s">
        <v>16</v>
      </c>
      <c r="O1537" s="2">
        <v>80976</v>
      </c>
    </row>
    <row r="1538" spans="1:15" x14ac:dyDescent="0.3">
      <c r="A1538" s="2">
        <v>1528</v>
      </c>
      <c r="B1538" s="1">
        <v>44990.625</v>
      </c>
      <c r="C1538" s="1" t="str">
        <f t="shared" si="46"/>
        <v>03-2023</v>
      </c>
      <c r="D1538" s="2">
        <f t="shared" si="47"/>
        <v>10</v>
      </c>
      <c r="E1538" t="s">
        <v>22</v>
      </c>
      <c r="F1538" t="s">
        <v>14</v>
      </c>
      <c r="G1538" t="s">
        <v>21</v>
      </c>
      <c r="H1538" s="2">
        <v>56297</v>
      </c>
      <c r="I1538" s="2">
        <v>3</v>
      </c>
      <c r="J1538" s="2">
        <v>119452</v>
      </c>
      <c r="K1538" s="2">
        <v>118655</v>
      </c>
      <c r="L1538" s="2">
        <v>10</v>
      </c>
      <c r="M1538" t="str">
        <f>IF(Revv_bike_sales_data[[#This Row],[delivery_days]]&lt;=7, "Yes", "No")</f>
        <v>No</v>
      </c>
      <c r="N1538" t="s">
        <v>16</v>
      </c>
      <c r="O1538" s="2">
        <v>797</v>
      </c>
    </row>
    <row r="1539" spans="1:15" x14ac:dyDescent="0.3">
      <c r="A1539" s="2">
        <v>1529</v>
      </c>
      <c r="B1539" s="1">
        <v>44990.666666666664</v>
      </c>
      <c r="C1539" s="1" t="str">
        <f t="shared" si="46"/>
        <v>03-2023</v>
      </c>
      <c r="D1539" s="2">
        <f t="shared" si="47"/>
        <v>10</v>
      </c>
      <c r="E1539" t="s">
        <v>22</v>
      </c>
      <c r="F1539" t="s">
        <v>23</v>
      </c>
      <c r="G1539" t="s">
        <v>20</v>
      </c>
      <c r="H1539" s="2">
        <v>44054</v>
      </c>
      <c r="I1539" s="2">
        <v>0</v>
      </c>
      <c r="J1539" s="2">
        <v>158991</v>
      </c>
      <c r="K1539" s="2">
        <v>85089</v>
      </c>
      <c r="L1539" s="2">
        <v>3</v>
      </c>
      <c r="M1539" t="str">
        <f>IF(Revv_bike_sales_data[[#This Row],[delivery_days]]&lt;=7, "Yes", "No")</f>
        <v>Yes</v>
      </c>
      <c r="N1539" t="s">
        <v>16</v>
      </c>
      <c r="O1539" s="2">
        <v>73902</v>
      </c>
    </row>
    <row r="1540" spans="1:15" x14ac:dyDescent="0.3">
      <c r="A1540" s="2">
        <v>1530</v>
      </c>
      <c r="B1540" s="1">
        <v>44990.708333333336</v>
      </c>
      <c r="C1540" s="1" t="str">
        <f t="shared" si="46"/>
        <v>03-2023</v>
      </c>
      <c r="D1540" s="2">
        <f t="shared" si="47"/>
        <v>10</v>
      </c>
      <c r="E1540" t="s">
        <v>22</v>
      </c>
      <c r="F1540" t="s">
        <v>14</v>
      </c>
      <c r="G1540" t="s">
        <v>20</v>
      </c>
      <c r="H1540" s="2">
        <v>55055</v>
      </c>
      <c r="I1540" s="2">
        <v>9</v>
      </c>
      <c r="J1540" s="2">
        <v>48550</v>
      </c>
      <c r="K1540" s="2">
        <v>21518</v>
      </c>
      <c r="L1540" s="2">
        <v>10</v>
      </c>
      <c r="M1540" t="str">
        <f>IF(Revv_bike_sales_data[[#This Row],[delivery_days]]&lt;=7, "Yes", "No")</f>
        <v>No</v>
      </c>
      <c r="N1540" t="s">
        <v>16</v>
      </c>
      <c r="O1540" s="2">
        <v>27032</v>
      </c>
    </row>
    <row r="1541" spans="1:15" x14ac:dyDescent="0.3">
      <c r="A1541" s="2">
        <v>1531</v>
      </c>
      <c r="B1541" s="1">
        <v>44990.75</v>
      </c>
      <c r="C1541" s="1" t="str">
        <f t="shared" si="46"/>
        <v>03-2023</v>
      </c>
      <c r="D1541" s="2">
        <f t="shared" si="47"/>
        <v>10</v>
      </c>
      <c r="E1541" t="s">
        <v>17</v>
      </c>
      <c r="F1541" t="s">
        <v>14</v>
      </c>
      <c r="G1541" t="s">
        <v>21</v>
      </c>
      <c r="H1541" s="2">
        <v>85850</v>
      </c>
      <c r="I1541" s="2">
        <v>0</v>
      </c>
      <c r="J1541" s="2">
        <v>95227</v>
      </c>
      <c r="K1541" s="2">
        <v>53491</v>
      </c>
      <c r="L1541" s="2">
        <v>12</v>
      </c>
      <c r="M1541" t="str">
        <f>IF(Revv_bike_sales_data[[#This Row],[delivery_days]]&lt;=7, "Yes", "No")</f>
        <v>No</v>
      </c>
      <c r="N1541" t="s">
        <v>16</v>
      </c>
      <c r="O1541" s="2">
        <v>41736</v>
      </c>
    </row>
    <row r="1542" spans="1:15" x14ac:dyDescent="0.3">
      <c r="A1542" s="2">
        <v>1532</v>
      </c>
      <c r="B1542" s="1">
        <v>44990.791666666664</v>
      </c>
      <c r="C1542" s="1" t="str">
        <f t="shared" si="46"/>
        <v>03-2023</v>
      </c>
      <c r="D1542" s="2">
        <f t="shared" si="47"/>
        <v>10</v>
      </c>
      <c r="E1542" t="s">
        <v>13</v>
      </c>
      <c r="F1542" t="s">
        <v>14</v>
      </c>
      <c r="G1542" t="s">
        <v>20</v>
      </c>
      <c r="H1542" s="2">
        <v>15216</v>
      </c>
      <c r="I1542" s="2">
        <v>0</v>
      </c>
      <c r="J1542" s="2">
        <v>48212</v>
      </c>
      <c r="K1542" s="2">
        <v>22946</v>
      </c>
      <c r="L1542" s="2">
        <v>3</v>
      </c>
      <c r="M1542" t="str">
        <f>IF(Revv_bike_sales_data[[#This Row],[delivery_days]]&lt;=7, "Yes", "No")</f>
        <v>Yes</v>
      </c>
      <c r="N1542" t="s">
        <v>16</v>
      </c>
      <c r="O1542" s="2">
        <v>25266</v>
      </c>
    </row>
    <row r="1543" spans="1:15" x14ac:dyDescent="0.3">
      <c r="A1543" s="2">
        <v>1533</v>
      </c>
      <c r="B1543" s="1">
        <v>44990.833333333336</v>
      </c>
      <c r="C1543" s="1" t="str">
        <f t="shared" si="46"/>
        <v>03-2023</v>
      </c>
      <c r="D1543" s="2">
        <f t="shared" si="47"/>
        <v>10</v>
      </c>
      <c r="E1543" t="s">
        <v>25</v>
      </c>
      <c r="F1543" t="s">
        <v>14</v>
      </c>
      <c r="G1543" t="s">
        <v>20</v>
      </c>
      <c r="H1543" s="2">
        <v>60761</v>
      </c>
      <c r="I1543" s="2">
        <v>0</v>
      </c>
      <c r="J1543" s="2">
        <v>65118</v>
      </c>
      <c r="K1543" s="2">
        <v>15610</v>
      </c>
      <c r="L1543" s="2">
        <v>2</v>
      </c>
      <c r="M1543" t="str">
        <f>IF(Revv_bike_sales_data[[#This Row],[delivery_days]]&lt;=7, "Yes", "No")</f>
        <v>Yes</v>
      </c>
      <c r="N1543" t="s">
        <v>16</v>
      </c>
      <c r="O1543" s="2">
        <v>49508</v>
      </c>
    </row>
    <row r="1544" spans="1:15" x14ac:dyDescent="0.3">
      <c r="A1544" s="2">
        <v>1534</v>
      </c>
      <c r="B1544" s="1">
        <v>44990.875</v>
      </c>
      <c r="C1544" s="1" t="str">
        <f t="shared" si="46"/>
        <v>03-2023</v>
      </c>
      <c r="D1544" s="2">
        <f t="shared" si="47"/>
        <v>10</v>
      </c>
      <c r="E1544" t="s">
        <v>18</v>
      </c>
      <c r="F1544" t="s">
        <v>14</v>
      </c>
      <c r="G1544" t="s">
        <v>15</v>
      </c>
      <c r="H1544" s="2">
        <v>28028</v>
      </c>
      <c r="I1544" s="2">
        <v>3</v>
      </c>
      <c r="J1544" s="2">
        <v>53602</v>
      </c>
      <c r="K1544" s="2">
        <v>84838</v>
      </c>
      <c r="L1544" s="2">
        <v>12</v>
      </c>
      <c r="M1544" t="str">
        <f>IF(Revv_bike_sales_data[[#This Row],[delivery_days]]&lt;=7, "Yes", "No")</f>
        <v>No</v>
      </c>
      <c r="N1544" t="s">
        <v>16</v>
      </c>
      <c r="O1544" s="2">
        <v>-31236</v>
      </c>
    </row>
    <row r="1545" spans="1:15" x14ac:dyDescent="0.3">
      <c r="A1545" s="2">
        <v>1535</v>
      </c>
      <c r="B1545" s="1">
        <v>44990.916666666664</v>
      </c>
      <c r="C1545" s="1" t="str">
        <f t="shared" si="46"/>
        <v>03-2023</v>
      </c>
      <c r="D1545" s="2">
        <f t="shared" si="47"/>
        <v>10</v>
      </c>
      <c r="E1545" t="s">
        <v>17</v>
      </c>
      <c r="F1545" t="s">
        <v>14</v>
      </c>
      <c r="G1545" t="s">
        <v>15</v>
      </c>
      <c r="H1545" s="2">
        <v>2495</v>
      </c>
      <c r="I1545" s="2">
        <v>0</v>
      </c>
      <c r="J1545" s="2">
        <v>42540</v>
      </c>
      <c r="K1545" s="2">
        <v>49311</v>
      </c>
      <c r="L1545" s="2">
        <v>2</v>
      </c>
      <c r="M1545" t="str">
        <f>IF(Revv_bike_sales_data[[#This Row],[delivery_days]]&lt;=7, "Yes", "No")</f>
        <v>Yes</v>
      </c>
      <c r="N1545" t="s">
        <v>16</v>
      </c>
      <c r="O1545" s="2">
        <v>-6771</v>
      </c>
    </row>
    <row r="1546" spans="1:15" x14ac:dyDescent="0.3">
      <c r="A1546" s="2">
        <v>1536</v>
      </c>
      <c r="B1546" s="1">
        <v>44990.958333333336</v>
      </c>
      <c r="C1546" s="1" t="str">
        <f t="shared" si="46"/>
        <v>03-2023</v>
      </c>
      <c r="D1546" s="2">
        <f t="shared" si="47"/>
        <v>10</v>
      </c>
      <c r="E1546" t="s">
        <v>25</v>
      </c>
      <c r="F1546" t="s">
        <v>14</v>
      </c>
      <c r="G1546" t="s">
        <v>21</v>
      </c>
      <c r="H1546" s="2">
        <v>22914</v>
      </c>
      <c r="I1546" s="2">
        <v>1</v>
      </c>
      <c r="J1546" s="2">
        <v>96455</v>
      </c>
      <c r="K1546" s="2">
        <v>114770</v>
      </c>
      <c r="L1546" s="2">
        <v>6</v>
      </c>
      <c r="M1546" t="str">
        <f>IF(Revv_bike_sales_data[[#This Row],[delivery_days]]&lt;=7, "Yes", "No")</f>
        <v>Yes</v>
      </c>
      <c r="N1546" t="s">
        <v>16</v>
      </c>
      <c r="O1546" s="2">
        <v>-18315</v>
      </c>
    </row>
    <row r="1547" spans="1:15" x14ac:dyDescent="0.3">
      <c r="A1547" s="2">
        <v>1537</v>
      </c>
      <c r="B1547" s="1">
        <v>44991</v>
      </c>
      <c r="C1547" s="1" t="str">
        <f t="shared" ref="C1547:C1610" si="48">TEXT(B1547,"mm-yyyy")</f>
        <v>03-2023</v>
      </c>
      <c r="D1547" s="2">
        <f t="shared" ref="D1547:D1610" si="49">WEEKNUM(B1547)</f>
        <v>10</v>
      </c>
      <c r="E1547" t="s">
        <v>17</v>
      </c>
      <c r="F1547" t="s">
        <v>14</v>
      </c>
      <c r="G1547" t="s">
        <v>20</v>
      </c>
      <c r="H1547" s="2">
        <v>14344</v>
      </c>
      <c r="I1547" s="2">
        <v>3</v>
      </c>
      <c r="J1547" s="2">
        <v>47277</v>
      </c>
      <c r="K1547" s="2">
        <v>56876</v>
      </c>
      <c r="L1547" s="2">
        <v>7</v>
      </c>
      <c r="M1547" t="str">
        <f>IF(Revv_bike_sales_data[[#This Row],[delivery_days]]&lt;=7, "Yes", "No")</f>
        <v>Yes</v>
      </c>
      <c r="N1547" t="s">
        <v>16</v>
      </c>
      <c r="O1547" s="2">
        <v>-9599</v>
      </c>
    </row>
    <row r="1548" spans="1:15" x14ac:dyDescent="0.3">
      <c r="A1548" s="2">
        <v>1538</v>
      </c>
      <c r="B1548" s="1">
        <v>44991.041666666664</v>
      </c>
      <c r="C1548" s="1" t="str">
        <f t="shared" si="48"/>
        <v>03-2023</v>
      </c>
      <c r="D1548" s="2">
        <f t="shared" si="49"/>
        <v>10</v>
      </c>
      <c r="E1548" t="s">
        <v>17</v>
      </c>
      <c r="F1548" t="s">
        <v>14</v>
      </c>
      <c r="G1548" t="s">
        <v>15</v>
      </c>
      <c r="H1548" s="2">
        <v>37159</v>
      </c>
      <c r="I1548" s="2">
        <v>6</v>
      </c>
      <c r="J1548" s="2">
        <v>144133</v>
      </c>
      <c r="K1548" s="2">
        <v>95192</v>
      </c>
      <c r="L1548" s="2">
        <v>4</v>
      </c>
      <c r="M1548" t="str">
        <f>IF(Revv_bike_sales_data[[#This Row],[delivery_days]]&lt;=7, "Yes", "No")</f>
        <v>Yes</v>
      </c>
      <c r="N1548" t="s">
        <v>16</v>
      </c>
      <c r="O1548" s="2">
        <v>48941</v>
      </c>
    </row>
    <row r="1549" spans="1:15" x14ac:dyDescent="0.3">
      <c r="A1549" s="2">
        <v>1539</v>
      </c>
      <c r="B1549" s="1">
        <v>44991.083333333336</v>
      </c>
      <c r="C1549" s="1" t="str">
        <f t="shared" si="48"/>
        <v>03-2023</v>
      </c>
      <c r="D1549" s="2">
        <f t="shared" si="49"/>
        <v>10</v>
      </c>
      <c r="E1549" t="s">
        <v>18</v>
      </c>
      <c r="F1549" t="s">
        <v>14</v>
      </c>
      <c r="G1549" t="s">
        <v>19</v>
      </c>
      <c r="H1549" s="2">
        <v>16022</v>
      </c>
      <c r="I1549" s="2">
        <v>1</v>
      </c>
      <c r="J1549" s="2">
        <v>173748</v>
      </c>
      <c r="K1549" s="2">
        <v>119540</v>
      </c>
      <c r="L1549" s="2">
        <v>1</v>
      </c>
      <c r="M1549" t="str">
        <f>IF(Revv_bike_sales_data[[#This Row],[delivery_days]]&lt;=7, "Yes", "No")</f>
        <v>Yes</v>
      </c>
      <c r="N1549" t="s">
        <v>16</v>
      </c>
      <c r="O1549" s="2">
        <v>54208</v>
      </c>
    </row>
    <row r="1550" spans="1:15" x14ac:dyDescent="0.3">
      <c r="A1550" s="2">
        <v>1540</v>
      </c>
      <c r="B1550" s="1">
        <v>44991.125</v>
      </c>
      <c r="C1550" s="1" t="str">
        <f t="shared" si="48"/>
        <v>03-2023</v>
      </c>
      <c r="D1550" s="2">
        <f t="shared" si="49"/>
        <v>10</v>
      </c>
      <c r="E1550" t="s">
        <v>13</v>
      </c>
      <c r="F1550" t="s">
        <v>23</v>
      </c>
      <c r="G1550" t="s">
        <v>20</v>
      </c>
      <c r="H1550" s="2">
        <v>74534</v>
      </c>
      <c r="I1550" s="2">
        <v>7</v>
      </c>
      <c r="J1550" s="2">
        <v>34752</v>
      </c>
      <c r="K1550" s="2">
        <v>127023</v>
      </c>
      <c r="L1550" s="2">
        <v>6</v>
      </c>
      <c r="M1550" t="str">
        <f>IF(Revv_bike_sales_data[[#This Row],[delivery_days]]&lt;=7, "Yes", "No")</f>
        <v>Yes</v>
      </c>
      <c r="N1550" t="s">
        <v>16</v>
      </c>
      <c r="O1550" s="2">
        <v>-92271</v>
      </c>
    </row>
    <row r="1551" spans="1:15" x14ac:dyDescent="0.3">
      <c r="A1551" s="2">
        <v>1541</v>
      </c>
      <c r="B1551" s="1">
        <v>44991.166666666664</v>
      </c>
      <c r="C1551" s="1" t="str">
        <f t="shared" si="48"/>
        <v>03-2023</v>
      </c>
      <c r="D1551" s="2">
        <f t="shared" si="49"/>
        <v>10</v>
      </c>
      <c r="E1551" t="s">
        <v>22</v>
      </c>
      <c r="F1551" t="s">
        <v>23</v>
      </c>
      <c r="G1551" t="s">
        <v>19</v>
      </c>
      <c r="H1551" s="2">
        <v>42822</v>
      </c>
      <c r="I1551" s="2">
        <v>6</v>
      </c>
      <c r="J1551" s="2">
        <v>150332</v>
      </c>
      <c r="K1551" s="2">
        <v>65333</v>
      </c>
      <c r="L1551" s="2">
        <v>7</v>
      </c>
      <c r="M1551" t="str">
        <f>IF(Revv_bike_sales_data[[#This Row],[delivery_days]]&lt;=7, "Yes", "No")</f>
        <v>Yes</v>
      </c>
      <c r="N1551" t="s">
        <v>16</v>
      </c>
      <c r="O1551" s="2">
        <v>84999</v>
      </c>
    </row>
    <row r="1552" spans="1:15" x14ac:dyDescent="0.3">
      <c r="A1552" s="2">
        <v>1542</v>
      </c>
      <c r="B1552" s="1">
        <v>44991.208333333336</v>
      </c>
      <c r="C1552" s="1" t="str">
        <f t="shared" si="48"/>
        <v>03-2023</v>
      </c>
      <c r="D1552" s="2">
        <f t="shared" si="49"/>
        <v>10</v>
      </c>
      <c r="E1552" t="s">
        <v>13</v>
      </c>
      <c r="F1552" t="s">
        <v>14</v>
      </c>
      <c r="G1552" t="s">
        <v>21</v>
      </c>
      <c r="H1552" s="2">
        <v>68138</v>
      </c>
      <c r="I1552" s="2">
        <v>8</v>
      </c>
      <c r="J1552" s="2">
        <v>43302</v>
      </c>
      <c r="K1552" s="2">
        <v>66298</v>
      </c>
      <c r="L1552" s="2">
        <v>4</v>
      </c>
      <c r="M1552" t="str">
        <f>IF(Revv_bike_sales_data[[#This Row],[delivery_days]]&lt;=7, "Yes", "No")</f>
        <v>Yes</v>
      </c>
      <c r="N1552" t="s">
        <v>16</v>
      </c>
      <c r="O1552" s="2">
        <v>-22996</v>
      </c>
    </row>
    <row r="1553" spans="1:15" x14ac:dyDescent="0.3">
      <c r="A1553" s="2">
        <v>1543</v>
      </c>
      <c r="B1553" s="1">
        <v>44991.25</v>
      </c>
      <c r="C1553" s="1" t="str">
        <f t="shared" si="48"/>
        <v>03-2023</v>
      </c>
      <c r="D1553" s="2">
        <f t="shared" si="49"/>
        <v>10</v>
      </c>
      <c r="E1553" t="s">
        <v>18</v>
      </c>
      <c r="F1553" t="s">
        <v>14</v>
      </c>
      <c r="G1553" t="s">
        <v>20</v>
      </c>
      <c r="H1553" s="2">
        <v>9024</v>
      </c>
      <c r="I1553" s="2">
        <v>5</v>
      </c>
      <c r="J1553" s="2">
        <v>91236</v>
      </c>
      <c r="K1553" s="2">
        <v>99192</v>
      </c>
      <c r="L1553" s="2">
        <v>6</v>
      </c>
      <c r="M1553" t="str">
        <f>IF(Revv_bike_sales_data[[#This Row],[delivery_days]]&lt;=7, "Yes", "No")</f>
        <v>Yes</v>
      </c>
      <c r="N1553" t="s">
        <v>16</v>
      </c>
      <c r="O1553" s="2">
        <v>-7956</v>
      </c>
    </row>
    <row r="1554" spans="1:15" x14ac:dyDescent="0.3">
      <c r="A1554" s="2">
        <v>1544</v>
      </c>
      <c r="B1554" s="1">
        <v>44991.291666666664</v>
      </c>
      <c r="C1554" s="1" t="str">
        <f t="shared" si="48"/>
        <v>03-2023</v>
      </c>
      <c r="D1554" s="2">
        <f t="shared" si="49"/>
        <v>10</v>
      </c>
      <c r="E1554" t="s">
        <v>18</v>
      </c>
      <c r="F1554" t="s">
        <v>14</v>
      </c>
      <c r="G1554" t="s">
        <v>21</v>
      </c>
      <c r="H1554" s="2">
        <v>31346</v>
      </c>
      <c r="I1554" s="2">
        <v>3</v>
      </c>
      <c r="J1554" s="2">
        <v>89467</v>
      </c>
      <c r="K1554" s="2">
        <v>56811</v>
      </c>
      <c r="L1554" s="2">
        <v>9</v>
      </c>
      <c r="M1554" t="str">
        <f>IF(Revv_bike_sales_data[[#This Row],[delivery_days]]&lt;=7, "Yes", "No")</f>
        <v>No</v>
      </c>
      <c r="N1554" t="s">
        <v>16</v>
      </c>
      <c r="O1554" s="2">
        <v>32656</v>
      </c>
    </row>
    <row r="1555" spans="1:15" x14ac:dyDescent="0.3">
      <c r="A1555" s="2">
        <v>1545</v>
      </c>
      <c r="B1555" s="1">
        <v>44991.333333333336</v>
      </c>
      <c r="C1555" s="1" t="str">
        <f t="shared" si="48"/>
        <v>03-2023</v>
      </c>
      <c r="D1555" s="2">
        <f t="shared" si="49"/>
        <v>10</v>
      </c>
      <c r="E1555" t="s">
        <v>18</v>
      </c>
      <c r="F1555" t="s">
        <v>14</v>
      </c>
      <c r="G1555" t="s">
        <v>21</v>
      </c>
      <c r="H1555" s="2">
        <v>74143</v>
      </c>
      <c r="I1555" s="2">
        <v>5</v>
      </c>
      <c r="J1555" s="2">
        <v>127350</v>
      </c>
      <c r="K1555" s="2">
        <v>85072</v>
      </c>
      <c r="L1555" s="2">
        <v>4</v>
      </c>
      <c r="M1555" t="str">
        <f>IF(Revv_bike_sales_data[[#This Row],[delivery_days]]&lt;=7, "Yes", "No")</f>
        <v>Yes</v>
      </c>
      <c r="N1555" t="s">
        <v>24</v>
      </c>
      <c r="O1555" s="2">
        <v>42278</v>
      </c>
    </row>
    <row r="1556" spans="1:15" x14ac:dyDescent="0.3">
      <c r="A1556" s="2">
        <v>1546</v>
      </c>
      <c r="B1556" s="1">
        <v>44991.375</v>
      </c>
      <c r="C1556" s="1" t="str">
        <f t="shared" si="48"/>
        <v>03-2023</v>
      </c>
      <c r="D1556" s="2">
        <f t="shared" si="49"/>
        <v>10</v>
      </c>
      <c r="E1556" t="s">
        <v>25</v>
      </c>
      <c r="F1556" t="s">
        <v>14</v>
      </c>
      <c r="G1556" t="s">
        <v>21</v>
      </c>
      <c r="H1556" s="2">
        <v>60596</v>
      </c>
      <c r="I1556" s="2">
        <v>3</v>
      </c>
      <c r="J1556" s="2">
        <v>28048</v>
      </c>
      <c r="K1556" s="2">
        <v>130407</v>
      </c>
      <c r="L1556" s="2">
        <v>12</v>
      </c>
      <c r="M1556" t="str">
        <f>IF(Revv_bike_sales_data[[#This Row],[delivery_days]]&lt;=7, "Yes", "No")</f>
        <v>No</v>
      </c>
      <c r="N1556" t="s">
        <v>16</v>
      </c>
      <c r="O1556" s="2">
        <v>-102359</v>
      </c>
    </row>
    <row r="1557" spans="1:15" x14ac:dyDescent="0.3">
      <c r="A1557" s="2">
        <v>1547</v>
      </c>
      <c r="B1557" s="1">
        <v>44991.416666666664</v>
      </c>
      <c r="C1557" s="1" t="str">
        <f t="shared" si="48"/>
        <v>03-2023</v>
      </c>
      <c r="D1557" s="2">
        <f t="shared" si="49"/>
        <v>10</v>
      </c>
      <c r="E1557" t="s">
        <v>13</v>
      </c>
      <c r="F1557" t="s">
        <v>23</v>
      </c>
      <c r="G1557" t="s">
        <v>21</v>
      </c>
      <c r="H1557" s="2">
        <v>84304</v>
      </c>
      <c r="I1557" s="2">
        <v>6</v>
      </c>
      <c r="J1557" s="2">
        <v>83906</v>
      </c>
      <c r="K1557" s="2">
        <v>134368</v>
      </c>
      <c r="L1557" s="2">
        <v>14</v>
      </c>
      <c r="M1557" t="str">
        <f>IF(Revv_bike_sales_data[[#This Row],[delivery_days]]&lt;=7, "Yes", "No")</f>
        <v>No</v>
      </c>
      <c r="N1557" t="s">
        <v>16</v>
      </c>
      <c r="O1557" s="2">
        <v>-50462</v>
      </c>
    </row>
    <row r="1558" spans="1:15" x14ac:dyDescent="0.3">
      <c r="A1558" s="2">
        <v>1548</v>
      </c>
      <c r="B1558" s="1">
        <v>44991.458333333336</v>
      </c>
      <c r="C1558" s="1" t="str">
        <f t="shared" si="48"/>
        <v>03-2023</v>
      </c>
      <c r="D1558" s="2">
        <f t="shared" si="49"/>
        <v>10</v>
      </c>
      <c r="E1558" t="s">
        <v>13</v>
      </c>
      <c r="F1558" t="s">
        <v>14</v>
      </c>
      <c r="G1558" t="s">
        <v>21</v>
      </c>
      <c r="H1558" s="2">
        <v>48203</v>
      </c>
      <c r="I1558" s="2">
        <v>8</v>
      </c>
      <c r="J1558" s="2">
        <v>101637</v>
      </c>
      <c r="K1558" s="2">
        <v>57974</v>
      </c>
      <c r="L1558" s="2">
        <v>10</v>
      </c>
      <c r="M1558" t="str">
        <f>IF(Revv_bike_sales_data[[#This Row],[delivery_days]]&lt;=7, "Yes", "No")</f>
        <v>No</v>
      </c>
      <c r="N1558" t="s">
        <v>16</v>
      </c>
      <c r="O1558" s="2">
        <v>43663</v>
      </c>
    </row>
    <row r="1559" spans="1:15" x14ac:dyDescent="0.3">
      <c r="A1559" s="2">
        <v>1549</v>
      </c>
      <c r="B1559" s="1">
        <v>44991.5</v>
      </c>
      <c r="C1559" s="1" t="str">
        <f t="shared" si="48"/>
        <v>03-2023</v>
      </c>
      <c r="D1559" s="2">
        <f t="shared" si="49"/>
        <v>10</v>
      </c>
      <c r="E1559" t="s">
        <v>17</v>
      </c>
      <c r="F1559" t="s">
        <v>14</v>
      </c>
      <c r="G1559" t="s">
        <v>20</v>
      </c>
      <c r="H1559" s="2">
        <v>24899</v>
      </c>
      <c r="I1559" s="2">
        <v>2</v>
      </c>
      <c r="J1559" s="2">
        <v>54778</v>
      </c>
      <c r="K1559" s="2">
        <v>34856</v>
      </c>
      <c r="L1559" s="2">
        <v>4</v>
      </c>
      <c r="M1559" t="str">
        <f>IF(Revv_bike_sales_data[[#This Row],[delivery_days]]&lt;=7, "Yes", "No")</f>
        <v>Yes</v>
      </c>
      <c r="N1559" t="s">
        <v>16</v>
      </c>
      <c r="O1559" s="2">
        <v>19922</v>
      </c>
    </row>
    <row r="1560" spans="1:15" x14ac:dyDescent="0.3">
      <c r="A1560" s="2">
        <v>1550</v>
      </c>
      <c r="B1560" s="1">
        <v>44991.541666666664</v>
      </c>
      <c r="C1560" s="1" t="str">
        <f t="shared" si="48"/>
        <v>03-2023</v>
      </c>
      <c r="D1560" s="2">
        <f t="shared" si="49"/>
        <v>10</v>
      </c>
      <c r="E1560" t="s">
        <v>17</v>
      </c>
      <c r="F1560" t="s">
        <v>14</v>
      </c>
      <c r="G1560" t="s">
        <v>19</v>
      </c>
      <c r="H1560" s="2">
        <v>75660</v>
      </c>
      <c r="I1560" s="2">
        <v>2</v>
      </c>
      <c r="J1560" s="2">
        <v>145918</v>
      </c>
      <c r="K1560" s="2">
        <v>116946</v>
      </c>
      <c r="L1560" s="2">
        <v>10</v>
      </c>
      <c r="M1560" t="str">
        <f>IF(Revv_bike_sales_data[[#This Row],[delivery_days]]&lt;=7, "Yes", "No")</f>
        <v>No</v>
      </c>
      <c r="N1560" t="s">
        <v>16</v>
      </c>
      <c r="O1560" s="2">
        <v>28972</v>
      </c>
    </row>
    <row r="1561" spans="1:15" x14ac:dyDescent="0.3">
      <c r="A1561" s="2">
        <v>1551</v>
      </c>
      <c r="B1561" s="1">
        <v>44991.583333333336</v>
      </c>
      <c r="C1561" s="1" t="str">
        <f t="shared" si="48"/>
        <v>03-2023</v>
      </c>
      <c r="D1561" s="2">
        <f t="shared" si="49"/>
        <v>10</v>
      </c>
      <c r="E1561" t="s">
        <v>17</v>
      </c>
      <c r="F1561" t="s">
        <v>23</v>
      </c>
      <c r="G1561" t="s">
        <v>20</v>
      </c>
      <c r="H1561" s="2">
        <v>93162</v>
      </c>
      <c r="I1561" s="2">
        <v>1</v>
      </c>
      <c r="J1561" s="2">
        <v>115036</v>
      </c>
      <c r="K1561" s="2">
        <v>59830</v>
      </c>
      <c r="L1561" s="2">
        <v>12</v>
      </c>
      <c r="M1561" t="str">
        <f>IF(Revv_bike_sales_data[[#This Row],[delivery_days]]&lt;=7, "Yes", "No")</f>
        <v>No</v>
      </c>
      <c r="N1561" t="s">
        <v>16</v>
      </c>
      <c r="O1561" s="2">
        <v>55206</v>
      </c>
    </row>
    <row r="1562" spans="1:15" x14ac:dyDescent="0.3">
      <c r="A1562" s="2">
        <v>1552</v>
      </c>
      <c r="B1562" s="1">
        <v>44991.625</v>
      </c>
      <c r="C1562" s="1" t="str">
        <f t="shared" si="48"/>
        <v>03-2023</v>
      </c>
      <c r="D1562" s="2">
        <f t="shared" si="49"/>
        <v>10</v>
      </c>
      <c r="E1562" t="s">
        <v>18</v>
      </c>
      <c r="F1562" t="s">
        <v>14</v>
      </c>
      <c r="G1562" t="s">
        <v>20</v>
      </c>
      <c r="H1562" s="2">
        <v>89167</v>
      </c>
      <c r="I1562" s="2">
        <v>0</v>
      </c>
      <c r="J1562" s="2">
        <v>168746</v>
      </c>
      <c r="K1562" s="2">
        <v>96983</v>
      </c>
      <c r="L1562" s="2">
        <v>5</v>
      </c>
      <c r="M1562" t="str">
        <f>IF(Revv_bike_sales_data[[#This Row],[delivery_days]]&lt;=7, "Yes", "No")</f>
        <v>Yes</v>
      </c>
      <c r="N1562" t="s">
        <v>16</v>
      </c>
      <c r="O1562" s="2">
        <v>71763</v>
      </c>
    </row>
    <row r="1563" spans="1:15" x14ac:dyDescent="0.3">
      <c r="A1563" s="2">
        <v>1553</v>
      </c>
      <c r="B1563" s="1">
        <v>44991.666666666664</v>
      </c>
      <c r="C1563" s="1" t="str">
        <f t="shared" si="48"/>
        <v>03-2023</v>
      </c>
      <c r="D1563" s="2">
        <f t="shared" si="49"/>
        <v>10</v>
      </c>
      <c r="E1563" t="s">
        <v>13</v>
      </c>
      <c r="F1563" t="s">
        <v>14</v>
      </c>
      <c r="G1563" t="s">
        <v>20</v>
      </c>
      <c r="H1563" s="2">
        <v>49091</v>
      </c>
      <c r="I1563" s="2">
        <v>0</v>
      </c>
      <c r="J1563" s="2">
        <v>36957</v>
      </c>
      <c r="K1563" s="2">
        <v>60823</v>
      </c>
      <c r="L1563" s="2">
        <v>3</v>
      </c>
      <c r="M1563" t="str">
        <f>IF(Revv_bike_sales_data[[#This Row],[delivery_days]]&lt;=7, "Yes", "No")</f>
        <v>Yes</v>
      </c>
      <c r="N1563" t="s">
        <v>16</v>
      </c>
      <c r="O1563" s="2">
        <v>-23866</v>
      </c>
    </row>
    <row r="1564" spans="1:15" x14ac:dyDescent="0.3">
      <c r="A1564" s="2">
        <v>1554</v>
      </c>
      <c r="B1564" s="1">
        <v>44991.708333333336</v>
      </c>
      <c r="C1564" s="1" t="str">
        <f t="shared" si="48"/>
        <v>03-2023</v>
      </c>
      <c r="D1564" s="2">
        <f t="shared" si="49"/>
        <v>10</v>
      </c>
      <c r="E1564" t="s">
        <v>18</v>
      </c>
      <c r="F1564" t="s">
        <v>14</v>
      </c>
      <c r="G1564" t="s">
        <v>15</v>
      </c>
      <c r="H1564" s="2">
        <v>21214</v>
      </c>
      <c r="I1564" s="2">
        <v>2</v>
      </c>
      <c r="J1564" s="2">
        <v>97644</v>
      </c>
      <c r="K1564" s="2">
        <v>113863</v>
      </c>
      <c r="L1564" s="2">
        <v>10</v>
      </c>
      <c r="M1564" t="str">
        <f>IF(Revv_bike_sales_data[[#This Row],[delivery_days]]&lt;=7, "Yes", "No")</f>
        <v>No</v>
      </c>
      <c r="N1564" t="s">
        <v>16</v>
      </c>
      <c r="O1564" s="2">
        <v>-16219</v>
      </c>
    </row>
    <row r="1565" spans="1:15" x14ac:dyDescent="0.3">
      <c r="A1565" s="2">
        <v>1555</v>
      </c>
      <c r="B1565" s="1">
        <v>44991.75</v>
      </c>
      <c r="C1565" s="1" t="str">
        <f t="shared" si="48"/>
        <v>03-2023</v>
      </c>
      <c r="D1565" s="2">
        <f t="shared" si="49"/>
        <v>10</v>
      </c>
      <c r="E1565" t="s">
        <v>25</v>
      </c>
      <c r="F1565" t="s">
        <v>14</v>
      </c>
      <c r="G1565" t="s">
        <v>15</v>
      </c>
      <c r="H1565" s="2">
        <v>36377</v>
      </c>
      <c r="I1565" s="2">
        <v>6</v>
      </c>
      <c r="J1565" s="2">
        <v>138294</v>
      </c>
      <c r="K1565" s="2">
        <v>137134</v>
      </c>
      <c r="L1565" s="2">
        <v>2</v>
      </c>
      <c r="M1565" t="str">
        <f>IF(Revv_bike_sales_data[[#This Row],[delivery_days]]&lt;=7, "Yes", "No")</f>
        <v>Yes</v>
      </c>
      <c r="N1565" t="s">
        <v>16</v>
      </c>
      <c r="O1565" s="2">
        <v>1160</v>
      </c>
    </row>
    <row r="1566" spans="1:15" x14ac:dyDescent="0.3">
      <c r="A1566" s="2">
        <v>1556</v>
      </c>
      <c r="B1566" s="1">
        <v>44991.791666666664</v>
      </c>
      <c r="C1566" s="1" t="str">
        <f t="shared" si="48"/>
        <v>03-2023</v>
      </c>
      <c r="D1566" s="2">
        <f t="shared" si="49"/>
        <v>10</v>
      </c>
      <c r="E1566" t="s">
        <v>17</v>
      </c>
      <c r="F1566" t="s">
        <v>14</v>
      </c>
      <c r="G1566" t="s">
        <v>20</v>
      </c>
      <c r="H1566" s="2">
        <v>84606</v>
      </c>
      <c r="I1566" s="2">
        <v>8</v>
      </c>
      <c r="J1566" s="2">
        <v>42829</v>
      </c>
      <c r="K1566" s="2">
        <v>115037</v>
      </c>
      <c r="L1566" s="2">
        <v>9</v>
      </c>
      <c r="M1566" t="str">
        <f>IF(Revv_bike_sales_data[[#This Row],[delivery_days]]&lt;=7, "Yes", "No")</f>
        <v>No</v>
      </c>
      <c r="N1566" t="s">
        <v>16</v>
      </c>
      <c r="O1566" s="2">
        <v>-72208</v>
      </c>
    </row>
    <row r="1567" spans="1:15" x14ac:dyDescent="0.3">
      <c r="A1567" s="2">
        <v>1557</v>
      </c>
      <c r="B1567" s="1">
        <v>44991.833333333336</v>
      </c>
      <c r="C1567" s="1" t="str">
        <f t="shared" si="48"/>
        <v>03-2023</v>
      </c>
      <c r="D1567" s="2">
        <f t="shared" si="49"/>
        <v>10</v>
      </c>
      <c r="E1567" t="s">
        <v>18</v>
      </c>
      <c r="F1567" t="s">
        <v>23</v>
      </c>
      <c r="G1567" t="s">
        <v>19</v>
      </c>
      <c r="H1567" s="2">
        <v>78518</v>
      </c>
      <c r="I1567" s="2">
        <v>1</v>
      </c>
      <c r="J1567" s="2">
        <v>30837</v>
      </c>
      <c r="K1567" s="2">
        <v>89397</v>
      </c>
      <c r="L1567" s="2">
        <v>13</v>
      </c>
      <c r="M1567" t="str">
        <f>IF(Revv_bike_sales_data[[#This Row],[delivery_days]]&lt;=7, "Yes", "No")</f>
        <v>No</v>
      </c>
      <c r="N1567" t="s">
        <v>16</v>
      </c>
      <c r="O1567" s="2">
        <v>-58560</v>
      </c>
    </row>
    <row r="1568" spans="1:15" x14ac:dyDescent="0.3">
      <c r="A1568" s="2">
        <v>1558</v>
      </c>
      <c r="B1568" s="1">
        <v>44991.875</v>
      </c>
      <c r="C1568" s="1" t="str">
        <f t="shared" si="48"/>
        <v>03-2023</v>
      </c>
      <c r="D1568" s="2">
        <f t="shared" si="49"/>
        <v>10</v>
      </c>
      <c r="E1568" t="s">
        <v>18</v>
      </c>
      <c r="F1568" t="s">
        <v>14</v>
      </c>
      <c r="G1568" t="s">
        <v>20</v>
      </c>
      <c r="H1568" s="2">
        <v>59636</v>
      </c>
      <c r="I1568" s="2">
        <v>6</v>
      </c>
      <c r="J1568" s="2">
        <v>171104</v>
      </c>
      <c r="K1568" s="2">
        <v>100814</v>
      </c>
      <c r="L1568" s="2">
        <v>1</v>
      </c>
      <c r="M1568" t="str">
        <f>IF(Revv_bike_sales_data[[#This Row],[delivery_days]]&lt;=7, "Yes", "No")</f>
        <v>Yes</v>
      </c>
      <c r="N1568" t="s">
        <v>16</v>
      </c>
      <c r="O1568" s="2">
        <v>70290</v>
      </c>
    </row>
    <row r="1569" spans="1:15" x14ac:dyDescent="0.3">
      <c r="A1569" s="2">
        <v>1559</v>
      </c>
      <c r="B1569" s="1">
        <v>44991.916666666664</v>
      </c>
      <c r="C1569" s="1" t="str">
        <f t="shared" si="48"/>
        <v>03-2023</v>
      </c>
      <c r="D1569" s="2">
        <f t="shared" si="49"/>
        <v>10</v>
      </c>
      <c r="E1569" t="s">
        <v>25</v>
      </c>
      <c r="F1569" t="s">
        <v>14</v>
      </c>
      <c r="G1569" t="s">
        <v>21</v>
      </c>
      <c r="H1569" s="2">
        <v>33914</v>
      </c>
      <c r="I1569" s="2">
        <v>0</v>
      </c>
      <c r="J1569" s="2">
        <v>124770</v>
      </c>
      <c r="K1569" s="2">
        <v>82078</v>
      </c>
      <c r="L1569" s="2">
        <v>5</v>
      </c>
      <c r="M1569" t="str">
        <f>IF(Revv_bike_sales_data[[#This Row],[delivery_days]]&lt;=7, "Yes", "No")</f>
        <v>Yes</v>
      </c>
      <c r="N1569" t="s">
        <v>16</v>
      </c>
      <c r="O1569" s="2">
        <v>42692</v>
      </c>
    </row>
    <row r="1570" spans="1:15" x14ac:dyDescent="0.3">
      <c r="A1570" s="2">
        <v>1560</v>
      </c>
      <c r="B1570" s="1">
        <v>44991.958333333336</v>
      </c>
      <c r="C1570" s="1" t="str">
        <f t="shared" si="48"/>
        <v>03-2023</v>
      </c>
      <c r="D1570" s="2">
        <f t="shared" si="49"/>
        <v>10</v>
      </c>
      <c r="E1570" t="s">
        <v>22</v>
      </c>
      <c r="F1570" t="s">
        <v>14</v>
      </c>
      <c r="G1570" t="s">
        <v>15</v>
      </c>
      <c r="H1570" s="2">
        <v>87076</v>
      </c>
      <c r="I1570" s="2">
        <v>1</v>
      </c>
      <c r="J1570" s="2">
        <v>51352</v>
      </c>
      <c r="K1570" s="2">
        <v>122767</v>
      </c>
      <c r="L1570" s="2">
        <v>5</v>
      </c>
      <c r="M1570" t="str">
        <f>IF(Revv_bike_sales_data[[#This Row],[delivery_days]]&lt;=7, "Yes", "No")</f>
        <v>Yes</v>
      </c>
      <c r="N1570" t="s">
        <v>16</v>
      </c>
      <c r="O1570" s="2">
        <v>-71415</v>
      </c>
    </row>
    <row r="1571" spans="1:15" x14ac:dyDescent="0.3">
      <c r="A1571" s="2">
        <v>1561</v>
      </c>
      <c r="B1571" s="1">
        <v>44992</v>
      </c>
      <c r="C1571" s="1" t="str">
        <f t="shared" si="48"/>
        <v>03-2023</v>
      </c>
      <c r="D1571" s="2">
        <f t="shared" si="49"/>
        <v>10</v>
      </c>
      <c r="E1571" t="s">
        <v>13</v>
      </c>
      <c r="F1571" t="s">
        <v>14</v>
      </c>
      <c r="G1571" t="s">
        <v>15</v>
      </c>
      <c r="H1571" s="2">
        <v>79443</v>
      </c>
      <c r="I1571" s="2">
        <v>5</v>
      </c>
      <c r="J1571" s="2">
        <v>55215</v>
      </c>
      <c r="K1571" s="2">
        <v>82951</v>
      </c>
      <c r="L1571" s="2">
        <v>8</v>
      </c>
      <c r="M1571" t="str">
        <f>IF(Revv_bike_sales_data[[#This Row],[delivery_days]]&lt;=7, "Yes", "No")</f>
        <v>No</v>
      </c>
      <c r="N1571" t="s">
        <v>16</v>
      </c>
      <c r="O1571" s="2">
        <v>-27736</v>
      </c>
    </row>
    <row r="1572" spans="1:15" x14ac:dyDescent="0.3">
      <c r="A1572" s="2">
        <v>1562</v>
      </c>
      <c r="B1572" s="1">
        <v>44992.041666666664</v>
      </c>
      <c r="C1572" s="1" t="str">
        <f t="shared" si="48"/>
        <v>03-2023</v>
      </c>
      <c r="D1572" s="2">
        <f t="shared" si="49"/>
        <v>10</v>
      </c>
      <c r="E1572" t="s">
        <v>22</v>
      </c>
      <c r="F1572" t="s">
        <v>14</v>
      </c>
      <c r="G1572" t="s">
        <v>20</v>
      </c>
      <c r="H1572" s="2">
        <v>45968</v>
      </c>
      <c r="I1572" s="2">
        <v>4</v>
      </c>
      <c r="J1572" s="2">
        <v>66247</v>
      </c>
      <c r="K1572" s="2">
        <v>124287</v>
      </c>
      <c r="L1572" s="2">
        <v>6</v>
      </c>
      <c r="M1572" t="str">
        <f>IF(Revv_bike_sales_data[[#This Row],[delivery_days]]&lt;=7, "Yes", "No")</f>
        <v>Yes</v>
      </c>
      <c r="N1572" t="s">
        <v>16</v>
      </c>
      <c r="O1572" s="2">
        <v>-58040</v>
      </c>
    </row>
    <row r="1573" spans="1:15" x14ac:dyDescent="0.3">
      <c r="A1573" s="2">
        <v>1563</v>
      </c>
      <c r="B1573" s="1">
        <v>44992.083333333336</v>
      </c>
      <c r="C1573" s="1" t="str">
        <f t="shared" si="48"/>
        <v>03-2023</v>
      </c>
      <c r="D1573" s="2">
        <f t="shared" si="49"/>
        <v>10</v>
      </c>
      <c r="E1573" t="s">
        <v>17</v>
      </c>
      <c r="F1573" t="s">
        <v>14</v>
      </c>
      <c r="G1573" t="s">
        <v>20</v>
      </c>
      <c r="H1573" s="2">
        <v>99341</v>
      </c>
      <c r="I1573" s="2">
        <v>7</v>
      </c>
      <c r="J1573" s="2">
        <v>154692</v>
      </c>
      <c r="K1573" s="2">
        <v>27905</v>
      </c>
      <c r="L1573" s="2">
        <v>6</v>
      </c>
      <c r="M1573" t="str">
        <f>IF(Revv_bike_sales_data[[#This Row],[delivery_days]]&lt;=7, "Yes", "No")</f>
        <v>Yes</v>
      </c>
      <c r="N1573" t="s">
        <v>16</v>
      </c>
      <c r="O1573" s="2">
        <v>126787</v>
      </c>
    </row>
    <row r="1574" spans="1:15" x14ac:dyDescent="0.3">
      <c r="A1574" s="2">
        <v>1564</v>
      </c>
      <c r="B1574" s="1">
        <v>44992.125</v>
      </c>
      <c r="C1574" s="1" t="str">
        <f t="shared" si="48"/>
        <v>03-2023</v>
      </c>
      <c r="D1574" s="2">
        <f t="shared" si="49"/>
        <v>10</v>
      </c>
      <c r="E1574" t="s">
        <v>18</v>
      </c>
      <c r="F1574" t="s">
        <v>14</v>
      </c>
      <c r="G1574" t="s">
        <v>19</v>
      </c>
      <c r="H1574" s="2">
        <v>80202</v>
      </c>
      <c r="I1574" s="2">
        <v>1</v>
      </c>
      <c r="J1574" s="2">
        <v>91714</v>
      </c>
      <c r="K1574" s="2">
        <v>135778</v>
      </c>
      <c r="L1574" s="2">
        <v>6</v>
      </c>
      <c r="M1574" t="str">
        <f>IF(Revv_bike_sales_data[[#This Row],[delivery_days]]&lt;=7, "Yes", "No")</f>
        <v>Yes</v>
      </c>
      <c r="N1574" t="s">
        <v>16</v>
      </c>
      <c r="O1574" s="2">
        <v>-44064</v>
      </c>
    </row>
    <row r="1575" spans="1:15" x14ac:dyDescent="0.3">
      <c r="A1575" s="2">
        <v>1565</v>
      </c>
      <c r="B1575" s="1">
        <v>44992.166666666664</v>
      </c>
      <c r="C1575" s="1" t="str">
        <f t="shared" si="48"/>
        <v>03-2023</v>
      </c>
      <c r="D1575" s="2">
        <f t="shared" si="49"/>
        <v>10</v>
      </c>
      <c r="E1575" t="s">
        <v>25</v>
      </c>
      <c r="F1575" t="s">
        <v>14</v>
      </c>
      <c r="G1575" t="s">
        <v>19</v>
      </c>
      <c r="H1575" s="2">
        <v>72608</v>
      </c>
      <c r="I1575" s="2">
        <v>0</v>
      </c>
      <c r="J1575" s="2">
        <v>60319</v>
      </c>
      <c r="K1575" s="2">
        <v>36601</v>
      </c>
      <c r="L1575" s="2">
        <v>4</v>
      </c>
      <c r="M1575" t="str">
        <f>IF(Revv_bike_sales_data[[#This Row],[delivery_days]]&lt;=7, "Yes", "No")</f>
        <v>Yes</v>
      </c>
      <c r="N1575" t="s">
        <v>16</v>
      </c>
      <c r="O1575" s="2">
        <v>23718</v>
      </c>
    </row>
    <row r="1576" spans="1:15" x14ac:dyDescent="0.3">
      <c r="A1576" s="2">
        <v>1566</v>
      </c>
      <c r="B1576" s="1">
        <v>44992.208333333336</v>
      </c>
      <c r="C1576" s="1" t="str">
        <f t="shared" si="48"/>
        <v>03-2023</v>
      </c>
      <c r="D1576" s="2">
        <f t="shared" si="49"/>
        <v>10</v>
      </c>
      <c r="E1576" t="s">
        <v>25</v>
      </c>
      <c r="F1576" t="s">
        <v>14</v>
      </c>
      <c r="G1576" t="s">
        <v>21</v>
      </c>
      <c r="H1576" s="2">
        <v>99038</v>
      </c>
      <c r="I1576" s="2">
        <v>6</v>
      </c>
      <c r="J1576" s="2">
        <v>144058</v>
      </c>
      <c r="K1576" s="2">
        <v>118691</v>
      </c>
      <c r="L1576" s="2">
        <v>1</v>
      </c>
      <c r="M1576" t="str">
        <f>IF(Revv_bike_sales_data[[#This Row],[delivery_days]]&lt;=7, "Yes", "No")</f>
        <v>Yes</v>
      </c>
      <c r="N1576" t="s">
        <v>16</v>
      </c>
      <c r="O1576" s="2">
        <v>25367</v>
      </c>
    </row>
    <row r="1577" spans="1:15" x14ac:dyDescent="0.3">
      <c r="A1577" s="2">
        <v>1567</v>
      </c>
      <c r="B1577" s="1">
        <v>44992.25</v>
      </c>
      <c r="C1577" s="1" t="str">
        <f t="shared" si="48"/>
        <v>03-2023</v>
      </c>
      <c r="D1577" s="2">
        <f t="shared" si="49"/>
        <v>10</v>
      </c>
      <c r="E1577" t="s">
        <v>13</v>
      </c>
      <c r="F1577" t="s">
        <v>14</v>
      </c>
      <c r="G1577" t="s">
        <v>20</v>
      </c>
      <c r="H1577" s="2">
        <v>93008</v>
      </c>
      <c r="I1577" s="2">
        <v>5</v>
      </c>
      <c r="J1577" s="2">
        <v>41025</v>
      </c>
      <c r="K1577" s="2">
        <v>102099</v>
      </c>
      <c r="L1577" s="2">
        <v>3</v>
      </c>
      <c r="M1577" t="str">
        <f>IF(Revv_bike_sales_data[[#This Row],[delivery_days]]&lt;=7, "Yes", "No")</f>
        <v>Yes</v>
      </c>
      <c r="N1577" t="s">
        <v>16</v>
      </c>
      <c r="O1577" s="2">
        <v>-61074</v>
      </c>
    </row>
    <row r="1578" spans="1:15" x14ac:dyDescent="0.3">
      <c r="A1578" s="2">
        <v>1568</v>
      </c>
      <c r="B1578" s="1">
        <v>44992.291666666664</v>
      </c>
      <c r="C1578" s="1" t="str">
        <f t="shared" si="48"/>
        <v>03-2023</v>
      </c>
      <c r="D1578" s="2">
        <f t="shared" si="49"/>
        <v>10</v>
      </c>
      <c r="E1578" t="s">
        <v>22</v>
      </c>
      <c r="F1578" t="s">
        <v>23</v>
      </c>
      <c r="G1578" t="s">
        <v>20</v>
      </c>
      <c r="H1578" s="2">
        <v>47335</v>
      </c>
      <c r="I1578" s="2">
        <v>7</v>
      </c>
      <c r="J1578" s="2">
        <v>34780</v>
      </c>
      <c r="K1578" s="2">
        <v>55955</v>
      </c>
      <c r="L1578" s="2">
        <v>13</v>
      </c>
      <c r="M1578" t="str">
        <f>IF(Revv_bike_sales_data[[#This Row],[delivery_days]]&lt;=7, "Yes", "No")</f>
        <v>No</v>
      </c>
      <c r="N1578" t="s">
        <v>16</v>
      </c>
      <c r="O1578" s="2">
        <v>-21175</v>
      </c>
    </row>
    <row r="1579" spans="1:15" x14ac:dyDescent="0.3">
      <c r="A1579" s="2">
        <v>1569</v>
      </c>
      <c r="B1579" s="1">
        <v>44992.333333333336</v>
      </c>
      <c r="C1579" s="1" t="str">
        <f t="shared" si="48"/>
        <v>03-2023</v>
      </c>
      <c r="D1579" s="2">
        <f t="shared" si="49"/>
        <v>10</v>
      </c>
      <c r="E1579" t="s">
        <v>13</v>
      </c>
      <c r="F1579" t="s">
        <v>14</v>
      </c>
      <c r="G1579" t="s">
        <v>20</v>
      </c>
      <c r="H1579" s="2">
        <v>63833</v>
      </c>
      <c r="I1579" s="2">
        <v>7</v>
      </c>
      <c r="J1579" s="2">
        <v>47706</v>
      </c>
      <c r="K1579" s="2">
        <v>87179</v>
      </c>
      <c r="L1579" s="2">
        <v>13</v>
      </c>
      <c r="M1579" t="str">
        <f>IF(Revv_bike_sales_data[[#This Row],[delivery_days]]&lt;=7, "Yes", "No")</f>
        <v>No</v>
      </c>
      <c r="N1579" t="s">
        <v>16</v>
      </c>
      <c r="O1579" s="2">
        <v>-39473</v>
      </c>
    </row>
    <row r="1580" spans="1:15" x14ac:dyDescent="0.3">
      <c r="A1580" s="2">
        <v>1570</v>
      </c>
      <c r="B1580" s="1">
        <v>44992.375</v>
      </c>
      <c r="C1580" s="1" t="str">
        <f t="shared" si="48"/>
        <v>03-2023</v>
      </c>
      <c r="D1580" s="2">
        <f t="shared" si="49"/>
        <v>10</v>
      </c>
      <c r="E1580" t="s">
        <v>18</v>
      </c>
      <c r="F1580" t="s">
        <v>14</v>
      </c>
      <c r="G1580" t="s">
        <v>15</v>
      </c>
      <c r="H1580" s="2">
        <v>42964</v>
      </c>
      <c r="I1580" s="2">
        <v>1</v>
      </c>
      <c r="J1580" s="2">
        <v>100503</v>
      </c>
      <c r="K1580" s="2">
        <v>63435</v>
      </c>
      <c r="L1580" s="2">
        <v>10</v>
      </c>
      <c r="M1580" t="str">
        <f>IF(Revv_bike_sales_data[[#This Row],[delivery_days]]&lt;=7, "Yes", "No")</f>
        <v>No</v>
      </c>
      <c r="N1580" t="s">
        <v>16</v>
      </c>
      <c r="O1580" s="2">
        <v>37068</v>
      </c>
    </row>
    <row r="1581" spans="1:15" x14ac:dyDescent="0.3">
      <c r="A1581" s="2">
        <v>1571</v>
      </c>
      <c r="B1581" s="1">
        <v>44992.416666666664</v>
      </c>
      <c r="C1581" s="1" t="str">
        <f t="shared" si="48"/>
        <v>03-2023</v>
      </c>
      <c r="D1581" s="2">
        <f t="shared" si="49"/>
        <v>10</v>
      </c>
      <c r="E1581" t="s">
        <v>13</v>
      </c>
      <c r="F1581" t="s">
        <v>14</v>
      </c>
      <c r="G1581" t="s">
        <v>21</v>
      </c>
      <c r="H1581" s="2">
        <v>23423</v>
      </c>
      <c r="I1581" s="2">
        <v>7</v>
      </c>
      <c r="J1581" s="2">
        <v>128166</v>
      </c>
      <c r="K1581" s="2">
        <v>39044</v>
      </c>
      <c r="L1581" s="2">
        <v>12</v>
      </c>
      <c r="M1581" t="str">
        <f>IF(Revv_bike_sales_data[[#This Row],[delivery_days]]&lt;=7, "Yes", "No")</f>
        <v>No</v>
      </c>
      <c r="N1581" t="s">
        <v>16</v>
      </c>
      <c r="O1581" s="2">
        <v>89122</v>
      </c>
    </row>
    <row r="1582" spans="1:15" x14ac:dyDescent="0.3">
      <c r="A1582" s="2">
        <v>1572</v>
      </c>
      <c r="B1582" s="1">
        <v>44992.458333333336</v>
      </c>
      <c r="C1582" s="1" t="str">
        <f t="shared" si="48"/>
        <v>03-2023</v>
      </c>
      <c r="D1582" s="2">
        <f t="shared" si="49"/>
        <v>10</v>
      </c>
      <c r="E1582" t="s">
        <v>25</v>
      </c>
      <c r="F1582" t="s">
        <v>14</v>
      </c>
      <c r="G1582" t="s">
        <v>19</v>
      </c>
      <c r="H1582" s="2">
        <v>62355</v>
      </c>
      <c r="I1582" s="2">
        <v>5</v>
      </c>
      <c r="J1582" s="2">
        <v>34179</v>
      </c>
      <c r="K1582" s="2">
        <v>26246</v>
      </c>
      <c r="L1582" s="2">
        <v>11</v>
      </c>
      <c r="M1582" t="str">
        <f>IF(Revv_bike_sales_data[[#This Row],[delivery_days]]&lt;=7, "Yes", "No")</f>
        <v>No</v>
      </c>
      <c r="N1582" t="s">
        <v>24</v>
      </c>
      <c r="O1582" s="2">
        <v>7933</v>
      </c>
    </row>
    <row r="1583" spans="1:15" x14ac:dyDescent="0.3">
      <c r="A1583" s="2">
        <v>1573</v>
      </c>
      <c r="B1583" s="1">
        <v>44992.5</v>
      </c>
      <c r="C1583" s="1" t="str">
        <f t="shared" si="48"/>
        <v>03-2023</v>
      </c>
      <c r="D1583" s="2">
        <f t="shared" si="49"/>
        <v>10</v>
      </c>
      <c r="E1583" t="s">
        <v>25</v>
      </c>
      <c r="F1583" t="s">
        <v>14</v>
      </c>
      <c r="G1583" t="s">
        <v>15</v>
      </c>
      <c r="H1583" s="2">
        <v>67945</v>
      </c>
      <c r="I1583" s="2">
        <v>8</v>
      </c>
      <c r="J1583" s="2">
        <v>173659</v>
      </c>
      <c r="K1583" s="2">
        <v>17458</v>
      </c>
      <c r="L1583" s="2">
        <v>6</v>
      </c>
      <c r="M1583" t="str">
        <f>IF(Revv_bike_sales_data[[#This Row],[delivery_days]]&lt;=7, "Yes", "No")</f>
        <v>Yes</v>
      </c>
      <c r="N1583" t="s">
        <v>16</v>
      </c>
      <c r="O1583" s="2">
        <v>156201</v>
      </c>
    </row>
    <row r="1584" spans="1:15" x14ac:dyDescent="0.3">
      <c r="A1584" s="2">
        <v>1574</v>
      </c>
      <c r="B1584" s="1">
        <v>44992.541666666664</v>
      </c>
      <c r="C1584" s="1" t="str">
        <f t="shared" si="48"/>
        <v>03-2023</v>
      </c>
      <c r="D1584" s="2">
        <f t="shared" si="49"/>
        <v>10</v>
      </c>
      <c r="E1584" t="s">
        <v>17</v>
      </c>
      <c r="F1584" t="s">
        <v>14</v>
      </c>
      <c r="G1584" t="s">
        <v>15</v>
      </c>
      <c r="H1584" s="2">
        <v>98884</v>
      </c>
      <c r="I1584" s="2">
        <v>6</v>
      </c>
      <c r="J1584" s="2">
        <v>179805</v>
      </c>
      <c r="K1584" s="2">
        <v>73507</v>
      </c>
      <c r="L1584" s="2">
        <v>5</v>
      </c>
      <c r="M1584" t="str">
        <f>IF(Revv_bike_sales_data[[#This Row],[delivery_days]]&lt;=7, "Yes", "No")</f>
        <v>Yes</v>
      </c>
      <c r="N1584" t="s">
        <v>16</v>
      </c>
      <c r="O1584" s="2">
        <v>106298</v>
      </c>
    </row>
    <row r="1585" spans="1:15" x14ac:dyDescent="0.3">
      <c r="A1585" s="2">
        <v>1575</v>
      </c>
      <c r="B1585" s="1">
        <v>44992.583333333336</v>
      </c>
      <c r="C1585" s="1" t="str">
        <f t="shared" si="48"/>
        <v>03-2023</v>
      </c>
      <c r="D1585" s="2">
        <f t="shared" si="49"/>
        <v>10</v>
      </c>
      <c r="E1585" t="s">
        <v>17</v>
      </c>
      <c r="F1585" t="s">
        <v>14</v>
      </c>
      <c r="G1585" t="s">
        <v>15</v>
      </c>
      <c r="H1585" s="2">
        <v>68119</v>
      </c>
      <c r="I1585" s="2">
        <v>1</v>
      </c>
      <c r="J1585" s="2">
        <v>124423</v>
      </c>
      <c r="K1585" s="2">
        <v>21028</v>
      </c>
      <c r="L1585" s="2">
        <v>10</v>
      </c>
      <c r="M1585" t="str">
        <f>IF(Revv_bike_sales_data[[#This Row],[delivery_days]]&lt;=7, "Yes", "No")</f>
        <v>No</v>
      </c>
      <c r="N1585" t="s">
        <v>16</v>
      </c>
      <c r="O1585" s="2">
        <v>103395</v>
      </c>
    </row>
    <row r="1586" spans="1:15" x14ac:dyDescent="0.3">
      <c r="A1586" s="2">
        <v>1576</v>
      </c>
      <c r="B1586" s="1">
        <v>44992.625</v>
      </c>
      <c r="C1586" s="1" t="str">
        <f t="shared" si="48"/>
        <v>03-2023</v>
      </c>
      <c r="D1586" s="2">
        <f t="shared" si="49"/>
        <v>10</v>
      </c>
      <c r="E1586" t="s">
        <v>18</v>
      </c>
      <c r="F1586" t="s">
        <v>14</v>
      </c>
      <c r="G1586" t="s">
        <v>15</v>
      </c>
      <c r="H1586" s="2">
        <v>46646</v>
      </c>
      <c r="I1586" s="2">
        <v>7</v>
      </c>
      <c r="J1586" s="2">
        <v>148076</v>
      </c>
      <c r="K1586" s="2">
        <v>118751</v>
      </c>
      <c r="L1586" s="2">
        <v>1</v>
      </c>
      <c r="M1586" t="str">
        <f>IF(Revv_bike_sales_data[[#This Row],[delivery_days]]&lt;=7, "Yes", "No")</f>
        <v>Yes</v>
      </c>
      <c r="N1586" t="s">
        <v>16</v>
      </c>
      <c r="O1586" s="2">
        <v>29325</v>
      </c>
    </row>
    <row r="1587" spans="1:15" x14ac:dyDescent="0.3">
      <c r="A1587" s="2">
        <v>1577</v>
      </c>
      <c r="B1587" s="1">
        <v>44992.666666666664</v>
      </c>
      <c r="C1587" s="1" t="str">
        <f t="shared" si="48"/>
        <v>03-2023</v>
      </c>
      <c r="D1587" s="2">
        <f t="shared" si="49"/>
        <v>10</v>
      </c>
      <c r="E1587" t="s">
        <v>22</v>
      </c>
      <c r="F1587" t="s">
        <v>14</v>
      </c>
      <c r="G1587" t="s">
        <v>21</v>
      </c>
      <c r="H1587" s="2">
        <v>60532</v>
      </c>
      <c r="I1587" s="2">
        <v>8</v>
      </c>
      <c r="J1587" s="2">
        <v>160047</v>
      </c>
      <c r="K1587" s="2">
        <v>134247</v>
      </c>
      <c r="L1587" s="2">
        <v>5</v>
      </c>
      <c r="M1587" t="str">
        <f>IF(Revv_bike_sales_data[[#This Row],[delivery_days]]&lt;=7, "Yes", "No")</f>
        <v>Yes</v>
      </c>
      <c r="N1587" t="s">
        <v>16</v>
      </c>
      <c r="O1587" s="2">
        <v>25800</v>
      </c>
    </row>
    <row r="1588" spans="1:15" x14ac:dyDescent="0.3">
      <c r="A1588" s="2">
        <v>1578</v>
      </c>
      <c r="B1588" s="1">
        <v>44992.708333333336</v>
      </c>
      <c r="C1588" s="1" t="str">
        <f t="shared" si="48"/>
        <v>03-2023</v>
      </c>
      <c r="D1588" s="2">
        <f t="shared" si="49"/>
        <v>10</v>
      </c>
      <c r="E1588" t="s">
        <v>13</v>
      </c>
      <c r="F1588" t="s">
        <v>14</v>
      </c>
      <c r="G1588" t="s">
        <v>20</v>
      </c>
      <c r="H1588" s="2">
        <v>17640</v>
      </c>
      <c r="I1588" s="2">
        <v>6</v>
      </c>
      <c r="J1588" s="2">
        <v>100138</v>
      </c>
      <c r="K1588" s="2">
        <v>66901</v>
      </c>
      <c r="L1588" s="2">
        <v>2</v>
      </c>
      <c r="M1588" t="str">
        <f>IF(Revv_bike_sales_data[[#This Row],[delivery_days]]&lt;=7, "Yes", "No")</f>
        <v>Yes</v>
      </c>
      <c r="N1588" t="s">
        <v>16</v>
      </c>
      <c r="O1588" s="2">
        <v>33237</v>
      </c>
    </row>
    <row r="1589" spans="1:15" x14ac:dyDescent="0.3">
      <c r="A1589" s="2">
        <v>1579</v>
      </c>
      <c r="B1589" s="1">
        <v>44992.75</v>
      </c>
      <c r="C1589" s="1" t="str">
        <f t="shared" si="48"/>
        <v>03-2023</v>
      </c>
      <c r="D1589" s="2">
        <f t="shared" si="49"/>
        <v>10</v>
      </c>
      <c r="E1589" t="s">
        <v>18</v>
      </c>
      <c r="F1589" t="s">
        <v>23</v>
      </c>
      <c r="G1589" t="s">
        <v>19</v>
      </c>
      <c r="H1589" s="2">
        <v>3170</v>
      </c>
      <c r="I1589" s="2">
        <v>3</v>
      </c>
      <c r="J1589" s="2">
        <v>111706</v>
      </c>
      <c r="K1589" s="2">
        <v>115252</v>
      </c>
      <c r="L1589" s="2">
        <v>1</v>
      </c>
      <c r="M1589" t="str">
        <f>IF(Revv_bike_sales_data[[#This Row],[delivery_days]]&lt;=7, "Yes", "No")</f>
        <v>Yes</v>
      </c>
      <c r="N1589" t="s">
        <v>16</v>
      </c>
      <c r="O1589" s="2">
        <v>-3546</v>
      </c>
    </row>
    <row r="1590" spans="1:15" x14ac:dyDescent="0.3">
      <c r="A1590" s="2">
        <v>1580</v>
      </c>
      <c r="B1590" s="1">
        <v>44992.791666666664</v>
      </c>
      <c r="C1590" s="1" t="str">
        <f t="shared" si="48"/>
        <v>03-2023</v>
      </c>
      <c r="D1590" s="2">
        <f t="shared" si="49"/>
        <v>10</v>
      </c>
      <c r="E1590" t="s">
        <v>17</v>
      </c>
      <c r="F1590" t="s">
        <v>14</v>
      </c>
      <c r="G1590" t="s">
        <v>19</v>
      </c>
      <c r="H1590" s="2">
        <v>37019</v>
      </c>
      <c r="I1590" s="2">
        <v>8</v>
      </c>
      <c r="J1590" s="2">
        <v>141905</v>
      </c>
      <c r="K1590" s="2">
        <v>21306</v>
      </c>
      <c r="L1590" s="2">
        <v>4</v>
      </c>
      <c r="M1590" t="str">
        <f>IF(Revv_bike_sales_data[[#This Row],[delivery_days]]&lt;=7, "Yes", "No")</f>
        <v>Yes</v>
      </c>
      <c r="N1590" t="s">
        <v>16</v>
      </c>
      <c r="O1590" s="2">
        <v>120599</v>
      </c>
    </row>
    <row r="1591" spans="1:15" x14ac:dyDescent="0.3">
      <c r="A1591" s="2">
        <v>1581</v>
      </c>
      <c r="B1591" s="1">
        <v>44992.833333333336</v>
      </c>
      <c r="C1591" s="1" t="str">
        <f t="shared" si="48"/>
        <v>03-2023</v>
      </c>
      <c r="D1591" s="2">
        <f t="shared" si="49"/>
        <v>10</v>
      </c>
      <c r="E1591" t="s">
        <v>13</v>
      </c>
      <c r="F1591" t="s">
        <v>14</v>
      </c>
      <c r="G1591" t="s">
        <v>15</v>
      </c>
      <c r="H1591" s="2">
        <v>45012</v>
      </c>
      <c r="I1591" s="2">
        <v>3</v>
      </c>
      <c r="J1591" s="2">
        <v>53830</v>
      </c>
      <c r="K1591" s="2">
        <v>121555</v>
      </c>
      <c r="L1591" s="2">
        <v>6</v>
      </c>
      <c r="M1591" t="str">
        <f>IF(Revv_bike_sales_data[[#This Row],[delivery_days]]&lt;=7, "Yes", "No")</f>
        <v>Yes</v>
      </c>
      <c r="N1591" t="s">
        <v>16</v>
      </c>
      <c r="O1591" s="2">
        <v>-67725</v>
      </c>
    </row>
    <row r="1592" spans="1:15" x14ac:dyDescent="0.3">
      <c r="A1592" s="2">
        <v>1582</v>
      </c>
      <c r="B1592" s="1">
        <v>44992.875</v>
      </c>
      <c r="C1592" s="1" t="str">
        <f t="shared" si="48"/>
        <v>03-2023</v>
      </c>
      <c r="D1592" s="2">
        <f t="shared" si="49"/>
        <v>10</v>
      </c>
      <c r="E1592" t="s">
        <v>17</v>
      </c>
      <c r="F1592" t="s">
        <v>23</v>
      </c>
      <c r="G1592" t="s">
        <v>15</v>
      </c>
      <c r="H1592" s="2">
        <v>58311</v>
      </c>
      <c r="I1592" s="2">
        <v>3</v>
      </c>
      <c r="J1592" s="2">
        <v>135076</v>
      </c>
      <c r="K1592" s="2">
        <v>121396</v>
      </c>
      <c r="L1592" s="2">
        <v>7</v>
      </c>
      <c r="M1592" t="str">
        <f>IF(Revv_bike_sales_data[[#This Row],[delivery_days]]&lt;=7, "Yes", "No")</f>
        <v>Yes</v>
      </c>
      <c r="N1592" t="s">
        <v>16</v>
      </c>
      <c r="O1592" s="2">
        <v>13680</v>
      </c>
    </row>
    <row r="1593" spans="1:15" x14ac:dyDescent="0.3">
      <c r="A1593" s="2">
        <v>1583</v>
      </c>
      <c r="B1593" s="1">
        <v>44992.916666666664</v>
      </c>
      <c r="C1593" s="1" t="str">
        <f t="shared" si="48"/>
        <v>03-2023</v>
      </c>
      <c r="D1593" s="2">
        <f t="shared" si="49"/>
        <v>10</v>
      </c>
      <c r="E1593" t="s">
        <v>13</v>
      </c>
      <c r="F1593" t="s">
        <v>23</v>
      </c>
      <c r="G1593" t="s">
        <v>21</v>
      </c>
      <c r="H1593" s="2">
        <v>15191</v>
      </c>
      <c r="I1593" s="2">
        <v>8</v>
      </c>
      <c r="J1593" s="2">
        <v>55609</v>
      </c>
      <c r="K1593" s="2">
        <v>42678</v>
      </c>
      <c r="L1593" s="2">
        <v>9</v>
      </c>
      <c r="M1593" t="str">
        <f>IF(Revv_bike_sales_data[[#This Row],[delivery_days]]&lt;=7, "Yes", "No")</f>
        <v>No</v>
      </c>
      <c r="N1593" t="s">
        <v>16</v>
      </c>
      <c r="O1593" s="2">
        <v>12931</v>
      </c>
    </row>
    <row r="1594" spans="1:15" x14ac:dyDescent="0.3">
      <c r="A1594" s="2">
        <v>1584</v>
      </c>
      <c r="B1594" s="1">
        <v>44992.958333333336</v>
      </c>
      <c r="C1594" s="1" t="str">
        <f t="shared" si="48"/>
        <v>03-2023</v>
      </c>
      <c r="D1594" s="2">
        <f t="shared" si="49"/>
        <v>10</v>
      </c>
      <c r="E1594" t="s">
        <v>22</v>
      </c>
      <c r="F1594" t="s">
        <v>14</v>
      </c>
      <c r="G1594" t="s">
        <v>15</v>
      </c>
      <c r="H1594" s="2">
        <v>34762</v>
      </c>
      <c r="I1594" s="2">
        <v>7</v>
      </c>
      <c r="J1594" s="2">
        <v>42401</v>
      </c>
      <c r="K1594" s="2">
        <v>105444</v>
      </c>
      <c r="L1594" s="2">
        <v>5</v>
      </c>
      <c r="M1594" t="str">
        <f>IF(Revv_bike_sales_data[[#This Row],[delivery_days]]&lt;=7, "Yes", "No")</f>
        <v>Yes</v>
      </c>
      <c r="N1594" t="s">
        <v>16</v>
      </c>
      <c r="O1594" s="2">
        <v>-63043</v>
      </c>
    </row>
    <row r="1595" spans="1:15" x14ac:dyDescent="0.3">
      <c r="A1595" s="2">
        <v>1585</v>
      </c>
      <c r="B1595" s="1">
        <v>44993</v>
      </c>
      <c r="C1595" s="1" t="str">
        <f t="shared" si="48"/>
        <v>03-2023</v>
      </c>
      <c r="D1595" s="2">
        <f t="shared" si="49"/>
        <v>10</v>
      </c>
      <c r="E1595" t="s">
        <v>18</v>
      </c>
      <c r="F1595" t="s">
        <v>14</v>
      </c>
      <c r="G1595" t="s">
        <v>19</v>
      </c>
      <c r="H1595" s="2">
        <v>55392</v>
      </c>
      <c r="I1595" s="2">
        <v>3</v>
      </c>
      <c r="J1595" s="2">
        <v>128480</v>
      </c>
      <c r="K1595" s="2">
        <v>27363</v>
      </c>
      <c r="L1595" s="2">
        <v>8</v>
      </c>
      <c r="M1595" t="str">
        <f>IF(Revv_bike_sales_data[[#This Row],[delivery_days]]&lt;=7, "Yes", "No")</f>
        <v>No</v>
      </c>
      <c r="N1595" t="s">
        <v>16</v>
      </c>
      <c r="O1595" s="2">
        <v>101117</v>
      </c>
    </row>
    <row r="1596" spans="1:15" x14ac:dyDescent="0.3">
      <c r="A1596" s="2">
        <v>1586</v>
      </c>
      <c r="B1596" s="1">
        <v>44993.041666666664</v>
      </c>
      <c r="C1596" s="1" t="str">
        <f t="shared" si="48"/>
        <v>03-2023</v>
      </c>
      <c r="D1596" s="2">
        <f t="shared" si="49"/>
        <v>10</v>
      </c>
      <c r="E1596" t="s">
        <v>13</v>
      </c>
      <c r="F1596" t="s">
        <v>14</v>
      </c>
      <c r="G1596" t="s">
        <v>19</v>
      </c>
      <c r="H1596" s="2">
        <v>26095</v>
      </c>
      <c r="I1596" s="2">
        <v>7</v>
      </c>
      <c r="J1596" s="2">
        <v>143278</v>
      </c>
      <c r="K1596" s="2">
        <v>29066</v>
      </c>
      <c r="L1596" s="2">
        <v>8</v>
      </c>
      <c r="M1596" t="str">
        <f>IF(Revv_bike_sales_data[[#This Row],[delivery_days]]&lt;=7, "Yes", "No")</f>
        <v>No</v>
      </c>
      <c r="N1596" t="s">
        <v>16</v>
      </c>
      <c r="O1596" s="2">
        <v>114212</v>
      </c>
    </row>
    <row r="1597" spans="1:15" x14ac:dyDescent="0.3">
      <c r="A1597" s="2">
        <v>1587</v>
      </c>
      <c r="B1597" s="1">
        <v>44993.083333333336</v>
      </c>
      <c r="C1597" s="1" t="str">
        <f t="shared" si="48"/>
        <v>03-2023</v>
      </c>
      <c r="D1597" s="2">
        <f t="shared" si="49"/>
        <v>10</v>
      </c>
      <c r="E1597" t="s">
        <v>25</v>
      </c>
      <c r="F1597" t="s">
        <v>14</v>
      </c>
      <c r="G1597" t="s">
        <v>20</v>
      </c>
      <c r="H1597" s="2">
        <v>57707</v>
      </c>
      <c r="I1597" s="2">
        <v>7</v>
      </c>
      <c r="J1597" s="2">
        <v>82391</v>
      </c>
      <c r="K1597" s="2">
        <v>78804</v>
      </c>
      <c r="L1597" s="2">
        <v>11</v>
      </c>
      <c r="M1597" t="str">
        <f>IF(Revv_bike_sales_data[[#This Row],[delivery_days]]&lt;=7, "Yes", "No")</f>
        <v>No</v>
      </c>
      <c r="N1597" t="s">
        <v>16</v>
      </c>
      <c r="O1597" s="2">
        <v>3587</v>
      </c>
    </row>
    <row r="1598" spans="1:15" x14ac:dyDescent="0.3">
      <c r="A1598" s="2">
        <v>1588</v>
      </c>
      <c r="B1598" s="1">
        <v>44993.125</v>
      </c>
      <c r="C1598" s="1" t="str">
        <f t="shared" si="48"/>
        <v>03-2023</v>
      </c>
      <c r="D1598" s="2">
        <f t="shared" si="49"/>
        <v>10</v>
      </c>
      <c r="E1598" t="s">
        <v>25</v>
      </c>
      <c r="F1598" t="s">
        <v>14</v>
      </c>
      <c r="G1598" t="s">
        <v>20</v>
      </c>
      <c r="H1598" s="2">
        <v>33940</v>
      </c>
      <c r="I1598" s="2">
        <v>6</v>
      </c>
      <c r="J1598" s="2">
        <v>151543</v>
      </c>
      <c r="K1598" s="2">
        <v>129433</v>
      </c>
      <c r="L1598" s="2">
        <v>9</v>
      </c>
      <c r="M1598" t="str">
        <f>IF(Revv_bike_sales_data[[#This Row],[delivery_days]]&lt;=7, "Yes", "No")</f>
        <v>No</v>
      </c>
      <c r="N1598" t="s">
        <v>16</v>
      </c>
      <c r="O1598" s="2">
        <v>22110</v>
      </c>
    </row>
    <row r="1599" spans="1:15" x14ac:dyDescent="0.3">
      <c r="A1599" s="2">
        <v>1589</v>
      </c>
      <c r="B1599" s="1">
        <v>44993.166666666664</v>
      </c>
      <c r="C1599" s="1" t="str">
        <f t="shared" si="48"/>
        <v>03-2023</v>
      </c>
      <c r="D1599" s="2">
        <f t="shared" si="49"/>
        <v>10</v>
      </c>
      <c r="E1599" t="s">
        <v>13</v>
      </c>
      <c r="F1599" t="s">
        <v>14</v>
      </c>
      <c r="G1599" t="s">
        <v>19</v>
      </c>
      <c r="H1599" s="2">
        <v>9130</v>
      </c>
      <c r="I1599" s="2">
        <v>9</v>
      </c>
      <c r="J1599" s="2">
        <v>153886</v>
      </c>
      <c r="K1599" s="2">
        <v>63544</v>
      </c>
      <c r="L1599" s="2">
        <v>3</v>
      </c>
      <c r="M1599" t="str">
        <f>IF(Revv_bike_sales_data[[#This Row],[delivery_days]]&lt;=7, "Yes", "No")</f>
        <v>Yes</v>
      </c>
      <c r="N1599" t="s">
        <v>16</v>
      </c>
      <c r="O1599" s="2">
        <v>90342</v>
      </c>
    </row>
    <row r="1600" spans="1:15" x14ac:dyDescent="0.3">
      <c r="A1600" s="2">
        <v>1590</v>
      </c>
      <c r="B1600" s="1">
        <v>44993.208333333336</v>
      </c>
      <c r="C1600" s="1" t="str">
        <f t="shared" si="48"/>
        <v>03-2023</v>
      </c>
      <c r="D1600" s="2">
        <f t="shared" si="49"/>
        <v>10</v>
      </c>
      <c r="E1600" t="s">
        <v>13</v>
      </c>
      <c r="F1600" t="s">
        <v>14</v>
      </c>
      <c r="G1600" t="s">
        <v>19</v>
      </c>
      <c r="H1600" s="2">
        <v>31750</v>
      </c>
      <c r="I1600" s="2">
        <v>5</v>
      </c>
      <c r="J1600" s="2">
        <v>119583</v>
      </c>
      <c r="K1600" s="2">
        <v>113247</v>
      </c>
      <c r="L1600" s="2">
        <v>3</v>
      </c>
      <c r="M1600" t="str">
        <f>IF(Revv_bike_sales_data[[#This Row],[delivery_days]]&lt;=7, "Yes", "No")</f>
        <v>Yes</v>
      </c>
      <c r="N1600" t="s">
        <v>16</v>
      </c>
      <c r="O1600" s="2">
        <v>6336</v>
      </c>
    </row>
    <row r="1601" spans="1:15" x14ac:dyDescent="0.3">
      <c r="A1601" s="2">
        <v>1591</v>
      </c>
      <c r="B1601" s="1">
        <v>44993.25</v>
      </c>
      <c r="C1601" s="1" t="str">
        <f t="shared" si="48"/>
        <v>03-2023</v>
      </c>
      <c r="D1601" s="2">
        <f t="shared" si="49"/>
        <v>10</v>
      </c>
      <c r="E1601" t="s">
        <v>13</v>
      </c>
      <c r="F1601" t="s">
        <v>14</v>
      </c>
      <c r="G1601" t="s">
        <v>21</v>
      </c>
      <c r="H1601" s="2">
        <v>94834</v>
      </c>
      <c r="I1601" s="2">
        <v>7</v>
      </c>
      <c r="J1601" s="2">
        <v>162719</v>
      </c>
      <c r="K1601" s="2">
        <v>15189</v>
      </c>
      <c r="L1601" s="2">
        <v>9</v>
      </c>
      <c r="M1601" t="str">
        <f>IF(Revv_bike_sales_data[[#This Row],[delivery_days]]&lt;=7, "Yes", "No")</f>
        <v>No</v>
      </c>
      <c r="N1601" t="s">
        <v>16</v>
      </c>
      <c r="O1601" s="2">
        <v>147530</v>
      </c>
    </row>
    <row r="1602" spans="1:15" x14ac:dyDescent="0.3">
      <c r="A1602" s="2">
        <v>1592</v>
      </c>
      <c r="B1602" s="1">
        <v>44993.291666666664</v>
      </c>
      <c r="C1602" s="1" t="str">
        <f t="shared" si="48"/>
        <v>03-2023</v>
      </c>
      <c r="D1602" s="2">
        <f t="shared" si="49"/>
        <v>10</v>
      </c>
      <c r="E1602" t="s">
        <v>25</v>
      </c>
      <c r="F1602" t="s">
        <v>14</v>
      </c>
      <c r="G1602" t="s">
        <v>21</v>
      </c>
      <c r="H1602" s="2">
        <v>99248</v>
      </c>
      <c r="I1602" s="2">
        <v>6</v>
      </c>
      <c r="J1602" s="2">
        <v>177178</v>
      </c>
      <c r="K1602" s="2">
        <v>26752</v>
      </c>
      <c r="L1602" s="2">
        <v>7</v>
      </c>
      <c r="M1602" t="str">
        <f>IF(Revv_bike_sales_data[[#This Row],[delivery_days]]&lt;=7, "Yes", "No")</f>
        <v>Yes</v>
      </c>
      <c r="N1602" t="s">
        <v>16</v>
      </c>
      <c r="O1602" s="2">
        <v>150426</v>
      </c>
    </row>
    <row r="1603" spans="1:15" x14ac:dyDescent="0.3">
      <c r="A1603" s="2">
        <v>1593</v>
      </c>
      <c r="B1603" s="1">
        <v>44993.333333333336</v>
      </c>
      <c r="C1603" s="1" t="str">
        <f t="shared" si="48"/>
        <v>03-2023</v>
      </c>
      <c r="D1603" s="2">
        <f t="shared" si="49"/>
        <v>10</v>
      </c>
      <c r="E1603" t="s">
        <v>25</v>
      </c>
      <c r="F1603" t="s">
        <v>14</v>
      </c>
      <c r="G1603" t="s">
        <v>19</v>
      </c>
      <c r="H1603" s="2">
        <v>78018</v>
      </c>
      <c r="I1603" s="2">
        <v>4</v>
      </c>
      <c r="J1603" s="2">
        <v>31015</v>
      </c>
      <c r="K1603" s="2">
        <v>135696</v>
      </c>
      <c r="L1603" s="2">
        <v>4</v>
      </c>
      <c r="M1603" t="str">
        <f>IF(Revv_bike_sales_data[[#This Row],[delivery_days]]&lt;=7, "Yes", "No")</f>
        <v>Yes</v>
      </c>
      <c r="N1603" t="s">
        <v>16</v>
      </c>
      <c r="O1603" s="2">
        <v>-104681</v>
      </c>
    </row>
    <row r="1604" spans="1:15" x14ac:dyDescent="0.3">
      <c r="A1604" s="2">
        <v>1594</v>
      </c>
      <c r="B1604" s="1">
        <v>44993.375</v>
      </c>
      <c r="C1604" s="1" t="str">
        <f t="shared" si="48"/>
        <v>03-2023</v>
      </c>
      <c r="D1604" s="2">
        <f t="shared" si="49"/>
        <v>10</v>
      </c>
      <c r="E1604" t="s">
        <v>13</v>
      </c>
      <c r="F1604" t="s">
        <v>14</v>
      </c>
      <c r="G1604" t="s">
        <v>15</v>
      </c>
      <c r="H1604" s="2">
        <v>74691</v>
      </c>
      <c r="I1604" s="2">
        <v>3</v>
      </c>
      <c r="J1604" s="2">
        <v>46506</v>
      </c>
      <c r="K1604" s="2">
        <v>22482</v>
      </c>
      <c r="L1604" s="2">
        <v>1</v>
      </c>
      <c r="M1604" t="str">
        <f>IF(Revv_bike_sales_data[[#This Row],[delivery_days]]&lt;=7, "Yes", "No")</f>
        <v>Yes</v>
      </c>
      <c r="N1604" t="s">
        <v>16</v>
      </c>
      <c r="O1604" s="2">
        <v>24024</v>
      </c>
    </row>
    <row r="1605" spans="1:15" x14ac:dyDescent="0.3">
      <c r="A1605" s="2">
        <v>1595</v>
      </c>
      <c r="B1605" s="1">
        <v>44993.416666666664</v>
      </c>
      <c r="C1605" s="1" t="str">
        <f t="shared" si="48"/>
        <v>03-2023</v>
      </c>
      <c r="D1605" s="2">
        <f t="shared" si="49"/>
        <v>10</v>
      </c>
      <c r="E1605" t="s">
        <v>17</v>
      </c>
      <c r="F1605" t="s">
        <v>14</v>
      </c>
      <c r="G1605" t="s">
        <v>20</v>
      </c>
      <c r="H1605" s="2">
        <v>65291</v>
      </c>
      <c r="I1605" s="2">
        <v>1</v>
      </c>
      <c r="J1605" s="2">
        <v>49067</v>
      </c>
      <c r="K1605" s="2">
        <v>31679</v>
      </c>
      <c r="L1605" s="2">
        <v>7</v>
      </c>
      <c r="M1605" t="str">
        <f>IF(Revv_bike_sales_data[[#This Row],[delivery_days]]&lt;=7, "Yes", "No")</f>
        <v>Yes</v>
      </c>
      <c r="N1605" t="s">
        <v>16</v>
      </c>
      <c r="O1605" s="2">
        <v>17388</v>
      </c>
    </row>
    <row r="1606" spans="1:15" x14ac:dyDescent="0.3">
      <c r="A1606" s="2">
        <v>1596</v>
      </c>
      <c r="B1606" s="1">
        <v>44993.458333333336</v>
      </c>
      <c r="C1606" s="1" t="str">
        <f t="shared" si="48"/>
        <v>03-2023</v>
      </c>
      <c r="D1606" s="2">
        <f t="shared" si="49"/>
        <v>10</v>
      </c>
      <c r="E1606" t="s">
        <v>17</v>
      </c>
      <c r="F1606" t="s">
        <v>14</v>
      </c>
      <c r="G1606" t="s">
        <v>19</v>
      </c>
      <c r="H1606" s="2">
        <v>84618</v>
      </c>
      <c r="I1606" s="2">
        <v>7</v>
      </c>
      <c r="J1606" s="2">
        <v>155819</v>
      </c>
      <c r="K1606" s="2">
        <v>138056</v>
      </c>
      <c r="L1606" s="2">
        <v>10</v>
      </c>
      <c r="M1606" t="str">
        <f>IF(Revv_bike_sales_data[[#This Row],[delivery_days]]&lt;=7, "Yes", "No")</f>
        <v>No</v>
      </c>
      <c r="N1606" t="s">
        <v>16</v>
      </c>
      <c r="O1606" s="2">
        <v>17763</v>
      </c>
    </row>
    <row r="1607" spans="1:15" x14ac:dyDescent="0.3">
      <c r="A1607" s="2">
        <v>1597</v>
      </c>
      <c r="B1607" s="1">
        <v>44993.5</v>
      </c>
      <c r="C1607" s="1" t="str">
        <f t="shared" si="48"/>
        <v>03-2023</v>
      </c>
      <c r="D1607" s="2">
        <f t="shared" si="49"/>
        <v>10</v>
      </c>
      <c r="E1607" t="s">
        <v>22</v>
      </c>
      <c r="F1607" t="s">
        <v>23</v>
      </c>
      <c r="G1607" t="s">
        <v>15</v>
      </c>
      <c r="H1607" s="2">
        <v>64253</v>
      </c>
      <c r="I1607" s="2">
        <v>8</v>
      </c>
      <c r="J1607" s="2">
        <v>27056</v>
      </c>
      <c r="K1607" s="2">
        <v>105088</v>
      </c>
      <c r="L1607" s="2">
        <v>6</v>
      </c>
      <c r="M1607" t="str">
        <f>IF(Revv_bike_sales_data[[#This Row],[delivery_days]]&lt;=7, "Yes", "No")</f>
        <v>Yes</v>
      </c>
      <c r="N1607" t="s">
        <v>16</v>
      </c>
      <c r="O1607" s="2">
        <v>-78032</v>
      </c>
    </row>
    <row r="1608" spans="1:15" x14ac:dyDescent="0.3">
      <c r="A1608" s="2">
        <v>1598</v>
      </c>
      <c r="B1608" s="1">
        <v>44993.541666666664</v>
      </c>
      <c r="C1608" s="1" t="str">
        <f t="shared" si="48"/>
        <v>03-2023</v>
      </c>
      <c r="D1608" s="2">
        <f t="shared" si="49"/>
        <v>10</v>
      </c>
      <c r="E1608" t="s">
        <v>18</v>
      </c>
      <c r="F1608" t="s">
        <v>14</v>
      </c>
      <c r="G1608" t="s">
        <v>19</v>
      </c>
      <c r="H1608" s="2">
        <v>61020</v>
      </c>
      <c r="I1608" s="2">
        <v>3</v>
      </c>
      <c r="J1608" s="2">
        <v>54328</v>
      </c>
      <c r="K1608" s="2">
        <v>15799</v>
      </c>
      <c r="L1608" s="2">
        <v>3</v>
      </c>
      <c r="M1608" t="str">
        <f>IF(Revv_bike_sales_data[[#This Row],[delivery_days]]&lt;=7, "Yes", "No")</f>
        <v>Yes</v>
      </c>
      <c r="N1608" t="s">
        <v>16</v>
      </c>
      <c r="O1608" s="2">
        <v>38529</v>
      </c>
    </row>
    <row r="1609" spans="1:15" x14ac:dyDescent="0.3">
      <c r="A1609" s="2">
        <v>1599</v>
      </c>
      <c r="B1609" s="1">
        <v>44993.583333333336</v>
      </c>
      <c r="C1609" s="1" t="str">
        <f t="shared" si="48"/>
        <v>03-2023</v>
      </c>
      <c r="D1609" s="2">
        <f t="shared" si="49"/>
        <v>10</v>
      </c>
      <c r="E1609" t="s">
        <v>17</v>
      </c>
      <c r="F1609" t="s">
        <v>14</v>
      </c>
      <c r="G1609" t="s">
        <v>20</v>
      </c>
      <c r="H1609" s="2">
        <v>4508</v>
      </c>
      <c r="I1609" s="2">
        <v>3</v>
      </c>
      <c r="J1609" s="2">
        <v>102712</v>
      </c>
      <c r="K1609" s="2">
        <v>105917</v>
      </c>
      <c r="L1609" s="2">
        <v>14</v>
      </c>
      <c r="M1609" t="str">
        <f>IF(Revv_bike_sales_data[[#This Row],[delivery_days]]&lt;=7, "Yes", "No")</f>
        <v>No</v>
      </c>
      <c r="N1609" t="s">
        <v>16</v>
      </c>
      <c r="O1609" s="2">
        <v>-3205</v>
      </c>
    </row>
    <row r="1610" spans="1:15" x14ac:dyDescent="0.3">
      <c r="A1610" s="2">
        <v>1600</v>
      </c>
      <c r="B1610" s="1">
        <v>44993.625</v>
      </c>
      <c r="C1610" s="1" t="str">
        <f t="shared" si="48"/>
        <v>03-2023</v>
      </c>
      <c r="D1610" s="2">
        <f t="shared" si="49"/>
        <v>10</v>
      </c>
      <c r="E1610" t="s">
        <v>25</v>
      </c>
      <c r="F1610" t="s">
        <v>14</v>
      </c>
      <c r="G1610" t="s">
        <v>20</v>
      </c>
      <c r="H1610" s="2">
        <v>44964</v>
      </c>
      <c r="I1610" s="2">
        <v>4</v>
      </c>
      <c r="J1610" s="2">
        <v>77832</v>
      </c>
      <c r="K1610" s="2">
        <v>136691</v>
      </c>
      <c r="L1610" s="2">
        <v>5</v>
      </c>
      <c r="M1610" t="str">
        <f>IF(Revv_bike_sales_data[[#This Row],[delivery_days]]&lt;=7, "Yes", "No")</f>
        <v>Yes</v>
      </c>
      <c r="N1610" t="s">
        <v>16</v>
      </c>
      <c r="O1610" s="2">
        <v>-58859</v>
      </c>
    </row>
    <row r="1611" spans="1:15" x14ac:dyDescent="0.3">
      <c r="A1611" s="2">
        <v>1601</v>
      </c>
      <c r="B1611" s="1">
        <v>44993.666666666664</v>
      </c>
      <c r="C1611" s="1" t="str">
        <f t="shared" ref="C1611:C1674" si="50">TEXT(B1611,"mm-yyyy")</f>
        <v>03-2023</v>
      </c>
      <c r="D1611" s="2">
        <f t="shared" ref="D1611:D1674" si="51">WEEKNUM(B1611)</f>
        <v>10</v>
      </c>
      <c r="E1611" t="s">
        <v>17</v>
      </c>
      <c r="F1611" t="s">
        <v>14</v>
      </c>
      <c r="G1611" t="s">
        <v>21</v>
      </c>
      <c r="H1611" s="2">
        <v>996</v>
      </c>
      <c r="I1611" s="2">
        <v>1</v>
      </c>
      <c r="J1611" s="2">
        <v>67771</v>
      </c>
      <c r="K1611" s="2">
        <v>24934</v>
      </c>
      <c r="L1611" s="2">
        <v>3</v>
      </c>
      <c r="M1611" t="str">
        <f>IF(Revv_bike_sales_data[[#This Row],[delivery_days]]&lt;=7, "Yes", "No")</f>
        <v>Yes</v>
      </c>
      <c r="N1611" t="s">
        <v>16</v>
      </c>
      <c r="O1611" s="2">
        <v>42837</v>
      </c>
    </row>
    <row r="1612" spans="1:15" x14ac:dyDescent="0.3">
      <c r="A1612" s="2">
        <v>1602</v>
      </c>
      <c r="B1612" s="1">
        <v>44993.708333333336</v>
      </c>
      <c r="C1612" s="1" t="str">
        <f t="shared" si="50"/>
        <v>03-2023</v>
      </c>
      <c r="D1612" s="2">
        <f t="shared" si="51"/>
        <v>10</v>
      </c>
      <c r="E1612" t="s">
        <v>22</v>
      </c>
      <c r="F1612" t="s">
        <v>23</v>
      </c>
      <c r="G1612" t="s">
        <v>21</v>
      </c>
      <c r="H1612" s="2">
        <v>23712</v>
      </c>
      <c r="I1612" s="2">
        <v>6</v>
      </c>
      <c r="J1612" s="2">
        <v>122421</v>
      </c>
      <c r="K1612" s="2">
        <v>72558</v>
      </c>
      <c r="L1612" s="2">
        <v>8</v>
      </c>
      <c r="M1612" t="str">
        <f>IF(Revv_bike_sales_data[[#This Row],[delivery_days]]&lt;=7, "Yes", "No")</f>
        <v>No</v>
      </c>
      <c r="N1612" t="s">
        <v>16</v>
      </c>
      <c r="O1612" s="2">
        <v>49863</v>
      </c>
    </row>
    <row r="1613" spans="1:15" x14ac:dyDescent="0.3">
      <c r="A1613" s="2">
        <v>1603</v>
      </c>
      <c r="B1613" s="1">
        <v>44993.75</v>
      </c>
      <c r="C1613" s="1" t="str">
        <f t="shared" si="50"/>
        <v>03-2023</v>
      </c>
      <c r="D1613" s="2">
        <f t="shared" si="51"/>
        <v>10</v>
      </c>
      <c r="E1613" t="s">
        <v>22</v>
      </c>
      <c r="F1613" t="s">
        <v>14</v>
      </c>
      <c r="G1613" t="s">
        <v>21</v>
      </c>
      <c r="H1613" s="2">
        <v>21137</v>
      </c>
      <c r="I1613" s="2">
        <v>4</v>
      </c>
      <c r="J1613" s="2">
        <v>89538</v>
      </c>
      <c r="K1613" s="2">
        <v>74223</v>
      </c>
      <c r="L1613" s="2">
        <v>5</v>
      </c>
      <c r="M1613" t="str">
        <f>IF(Revv_bike_sales_data[[#This Row],[delivery_days]]&lt;=7, "Yes", "No")</f>
        <v>Yes</v>
      </c>
      <c r="N1613" t="s">
        <v>16</v>
      </c>
      <c r="O1613" s="2">
        <v>15315</v>
      </c>
    </row>
    <row r="1614" spans="1:15" x14ac:dyDescent="0.3">
      <c r="A1614" s="2">
        <v>1604</v>
      </c>
      <c r="B1614" s="1">
        <v>44993.791666666664</v>
      </c>
      <c r="C1614" s="1" t="str">
        <f t="shared" si="50"/>
        <v>03-2023</v>
      </c>
      <c r="D1614" s="2">
        <f t="shared" si="51"/>
        <v>10</v>
      </c>
      <c r="E1614" t="s">
        <v>18</v>
      </c>
      <c r="F1614" t="s">
        <v>14</v>
      </c>
      <c r="G1614" t="s">
        <v>21</v>
      </c>
      <c r="H1614" s="2">
        <v>45727</v>
      </c>
      <c r="I1614" s="2">
        <v>5</v>
      </c>
      <c r="J1614" s="2">
        <v>65151</v>
      </c>
      <c r="K1614" s="2">
        <v>99620</v>
      </c>
      <c r="L1614" s="2">
        <v>10</v>
      </c>
      <c r="M1614" t="str">
        <f>IF(Revv_bike_sales_data[[#This Row],[delivery_days]]&lt;=7, "Yes", "No")</f>
        <v>No</v>
      </c>
      <c r="N1614" t="s">
        <v>16</v>
      </c>
      <c r="O1614" s="2">
        <v>-34469</v>
      </c>
    </row>
    <row r="1615" spans="1:15" x14ac:dyDescent="0.3">
      <c r="A1615" s="2">
        <v>1605</v>
      </c>
      <c r="B1615" s="1">
        <v>44993.833333333336</v>
      </c>
      <c r="C1615" s="1" t="str">
        <f t="shared" si="50"/>
        <v>03-2023</v>
      </c>
      <c r="D1615" s="2">
        <f t="shared" si="51"/>
        <v>10</v>
      </c>
      <c r="E1615" t="s">
        <v>17</v>
      </c>
      <c r="F1615" t="s">
        <v>14</v>
      </c>
      <c r="G1615" t="s">
        <v>20</v>
      </c>
      <c r="H1615" s="2">
        <v>82913</v>
      </c>
      <c r="I1615" s="2">
        <v>3</v>
      </c>
      <c r="J1615" s="2">
        <v>157701</v>
      </c>
      <c r="K1615" s="2">
        <v>56556</v>
      </c>
      <c r="L1615" s="2">
        <v>10</v>
      </c>
      <c r="M1615" t="str">
        <f>IF(Revv_bike_sales_data[[#This Row],[delivery_days]]&lt;=7, "Yes", "No")</f>
        <v>No</v>
      </c>
      <c r="N1615" t="s">
        <v>16</v>
      </c>
      <c r="O1615" s="2">
        <v>101145</v>
      </c>
    </row>
    <row r="1616" spans="1:15" x14ac:dyDescent="0.3">
      <c r="A1616" s="2">
        <v>1606</v>
      </c>
      <c r="B1616" s="1">
        <v>44993.875</v>
      </c>
      <c r="C1616" s="1" t="str">
        <f t="shared" si="50"/>
        <v>03-2023</v>
      </c>
      <c r="D1616" s="2">
        <f t="shared" si="51"/>
        <v>10</v>
      </c>
      <c r="E1616" t="s">
        <v>25</v>
      </c>
      <c r="F1616" t="s">
        <v>14</v>
      </c>
      <c r="G1616" t="s">
        <v>15</v>
      </c>
      <c r="H1616" s="2">
        <v>83846</v>
      </c>
      <c r="I1616" s="2">
        <v>7</v>
      </c>
      <c r="J1616" s="2">
        <v>108463</v>
      </c>
      <c r="K1616" s="2">
        <v>24909</v>
      </c>
      <c r="L1616" s="2">
        <v>6</v>
      </c>
      <c r="M1616" t="str">
        <f>IF(Revv_bike_sales_data[[#This Row],[delivery_days]]&lt;=7, "Yes", "No")</f>
        <v>Yes</v>
      </c>
      <c r="N1616" t="s">
        <v>16</v>
      </c>
      <c r="O1616" s="2">
        <v>83554</v>
      </c>
    </row>
    <row r="1617" spans="1:15" x14ac:dyDescent="0.3">
      <c r="A1617" s="2">
        <v>1607</v>
      </c>
      <c r="B1617" s="1">
        <v>44993.916666666664</v>
      </c>
      <c r="C1617" s="1" t="str">
        <f t="shared" si="50"/>
        <v>03-2023</v>
      </c>
      <c r="D1617" s="2">
        <f t="shared" si="51"/>
        <v>10</v>
      </c>
      <c r="E1617" t="s">
        <v>25</v>
      </c>
      <c r="F1617" t="s">
        <v>14</v>
      </c>
      <c r="G1617" t="s">
        <v>15</v>
      </c>
      <c r="H1617" s="2">
        <v>10384</v>
      </c>
      <c r="I1617" s="2">
        <v>7</v>
      </c>
      <c r="J1617" s="2">
        <v>121853</v>
      </c>
      <c r="K1617" s="2">
        <v>106467</v>
      </c>
      <c r="L1617" s="2">
        <v>2</v>
      </c>
      <c r="M1617" t="str">
        <f>IF(Revv_bike_sales_data[[#This Row],[delivery_days]]&lt;=7, "Yes", "No")</f>
        <v>Yes</v>
      </c>
      <c r="N1617" t="s">
        <v>16</v>
      </c>
      <c r="O1617" s="2">
        <v>15386</v>
      </c>
    </row>
    <row r="1618" spans="1:15" x14ac:dyDescent="0.3">
      <c r="A1618" s="2">
        <v>1608</v>
      </c>
      <c r="B1618" s="1">
        <v>44993.958333333336</v>
      </c>
      <c r="C1618" s="1" t="str">
        <f t="shared" si="50"/>
        <v>03-2023</v>
      </c>
      <c r="D1618" s="2">
        <f t="shared" si="51"/>
        <v>10</v>
      </c>
      <c r="E1618" t="s">
        <v>13</v>
      </c>
      <c r="F1618" t="s">
        <v>14</v>
      </c>
      <c r="G1618" t="s">
        <v>15</v>
      </c>
      <c r="H1618" s="2">
        <v>68759</v>
      </c>
      <c r="I1618" s="2">
        <v>4</v>
      </c>
      <c r="J1618" s="2">
        <v>114432</v>
      </c>
      <c r="K1618" s="2">
        <v>125719</v>
      </c>
      <c r="L1618" s="2">
        <v>8</v>
      </c>
      <c r="M1618" t="str">
        <f>IF(Revv_bike_sales_data[[#This Row],[delivery_days]]&lt;=7, "Yes", "No")</f>
        <v>No</v>
      </c>
      <c r="N1618" t="s">
        <v>16</v>
      </c>
      <c r="O1618" s="2">
        <v>-11287</v>
      </c>
    </row>
    <row r="1619" spans="1:15" x14ac:dyDescent="0.3">
      <c r="A1619" s="2">
        <v>1609</v>
      </c>
      <c r="B1619" s="1">
        <v>44994</v>
      </c>
      <c r="C1619" s="1" t="str">
        <f t="shared" si="50"/>
        <v>03-2023</v>
      </c>
      <c r="D1619" s="2">
        <f t="shared" si="51"/>
        <v>10</v>
      </c>
      <c r="E1619" t="s">
        <v>25</v>
      </c>
      <c r="F1619" t="s">
        <v>14</v>
      </c>
      <c r="G1619" t="s">
        <v>19</v>
      </c>
      <c r="H1619" s="2">
        <v>50310</v>
      </c>
      <c r="I1619" s="2">
        <v>5</v>
      </c>
      <c r="J1619" s="2">
        <v>53155</v>
      </c>
      <c r="K1619" s="2">
        <v>106404</v>
      </c>
      <c r="L1619" s="2">
        <v>9</v>
      </c>
      <c r="M1619" t="str">
        <f>IF(Revv_bike_sales_data[[#This Row],[delivery_days]]&lt;=7, "Yes", "No")</f>
        <v>No</v>
      </c>
      <c r="N1619" t="s">
        <v>24</v>
      </c>
      <c r="O1619" s="2">
        <v>-53249</v>
      </c>
    </row>
    <row r="1620" spans="1:15" x14ac:dyDescent="0.3">
      <c r="A1620" s="2">
        <v>1610</v>
      </c>
      <c r="B1620" s="1">
        <v>44994.041666666664</v>
      </c>
      <c r="C1620" s="1" t="str">
        <f t="shared" si="50"/>
        <v>03-2023</v>
      </c>
      <c r="D1620" s="2">
        <f t="shared" si="51"/>
        <v>10</v>
      </c>
      <c r="E1620" t="s">
        <v>18</v>
      </c>
      <c r="F1620" t="s">
        <v>14</v>
      </c>
      <c r="G1620" t="s">
        <v>21</v>
      </c>
      <c r="H1620" s="2">
        <v>5261</v>
      </c>
      <c r="I1620" s="2">
        <v>2</v>
      </c>
      <c r="J1620" s="2">
        <v>174360</v>
      </c>
      <c r="K1620" s="2">
        <v>58558</v>
      </c>
      <c r="L1620" s="2">
        <v>3</v>
      </c>
      <c r="M1620" t="str">
        <f>IF(Revv_bike_sales_data[[#This Row],[delivery_days]]&lt;=7, "Yes", "No")</f>
        <v>Yes</v>
      </c>
      <c r="N1620" t="s">
        <v>16</v>
      </c>
      <c r="O1620" s="2">
        <v>115802</v>
      </c>
    </row>
    <row r="1621" spans="1:15" x14ac:dyDescent="0.3">
      <c r="A1621" s="2">
        <v>1611</v>
      </c>
      <c r="B1621" s="1">
        <v>44994.083333333336</v>
      </c>
      <c r="C1621" s="1" t="str">
        <f t="shared" si="50"/>
        <v>03-2023</v>
      </c>
      <c r="D1621" s="2">
        <f t="shared" si="51"/>
        <v>10</v>
      </c>
      <c r="E1621" t="s">
        <v>18</v>
      </c>
      <c r="F1621" t="s">
        <v>14</v>
      </c>
      <c r="G1621" t="s">
        <v>21</v>
      </c>
      <c r="H1621" s="2">
        <v>73666</v>
      </c>
      <c r="I1621" s="2">
        <v>0</v>
      </c>
      <c r="J1621" s="2">
        <v>75588</v>
      </c>
      <c r="K1621" s="2">
        <v>94382</v>
      </c>
      <c r="L1621" s="2">
        <v>13</v>
      </c>
      <c r="M1621" t="str">
        <f>IF(Revv_bike_sales_data[[#This Row],[delivery_days]]&lt;=7, "Yes", "No")</f>
        <v>No</v>
      </c>
      <c r="N1621" t="s">
        <v>24</v>
      </c>
      <c r="O1621" s="2">
        <v>-18794</v>
      </c>
    </row>
    <row r="1622" spans="1:15" x14ac:dyDescent="0.3">
      <c r="A1622" s="2">
        <v>1612</v>
      </c>
      <c r="B1622" s="1">
        <v>44994.125</v>
      </c>
      <c r="C1622" s="1" t="str">
        <f t="shared" si="50"/>
        <v>03-2023</v>
      </c>
      <c r="D1622" s="2">
        <f t="shared" si="51"/>
        <v>10</v>
      </c>
      <c r="E1622" t="s">
        <v>25</v>
      </c>
      <c r="F1622" t="s">
        <v>23</v>
      </c>
      <c r="G1622" t="s">
        <v>20</v>
      </c>
      <c r="H1622" s="2">
        <v>16875</v>
      </c>
      <c r="I1622" s="2">
        <v>8</v>
      </c>
      <c r="J1622" s="2">
        <v>36251</v>
      </c>
      <c r="K1622" s="2">
        <v>102793</v>
      </c>
      <c r="L1622" s="2">
        <v>6</v>
      </c>
      <c r="M1622" t="str">
        <f>IF(Revv_bike_sales_data[[#This Row],[delivery_days]]&lt;=7, "Yes", "No")</f>
        <v>Yes</v>
      </c>
      <c r="N1622" t="s">
        <v>16</v>
      </c>
      <c r="O1622" s="2">
        <v>-66542</v>
      </c>
    </row>
    <row r="1623" spans="1:15" x14ac:dyDescent="0.3">
      <c r="A1623" s="2">
        <v>1613</v>
      </c>
      <c r="B1623" s="1">
        <v>44994.166666666664</v>
      </c>
      <c r="C1623" s="1" t="str">
        <f t="shared" si="50"/>
        <v>03-2023</v>
      </c>
      <c r="D1623" s="2">
        <f t="shared" si="51"/>
        <v>10</v>
      </c>
      <c r="E1623" t="s">
        <v>25</v>
      </c>
      <c r="F1623" t="s">
        <v>14</v>
      </c>
      <c r="G1623" t="s">
        <v>20</v>
      </c>
      <c r="H1623" s="2">
        <v>25718</v>
      </c>
      <c r="I1623" s="2">
        <v>8</v>
      </c>
      <c r="J1623" s="2">
        <v>127420</v>
      </c>
      <c r="K1623" s="2">
        <v>43013</v>
      </c>
      <c r="L1623" s="2">
        <v>6</v>
      </c>
      <c r="M1623" t="str">
        <f>IF(Revv_bike_sales_data[[#This Row],[delivery_days]]&lt;=7, "Yes", "No")</f>
        <v>Yes</v>
      </c>
      <c r="N1623" t="s">
        <v>24</v>
      </c>
      <c r="O1623" s="2">
        <v>84407</v>
      </c>
    </row>
    <row r="1624" spans="1:15" x14ac:dyDescent="0.3">
      <c r="A1624" s="2">
        <v>1614</v>
      </c>
      <c r="B1624" s="1">
        <v>44994.208333333336</v>
      </c>
      <c r="C1624" s="1" t="str">
        <f t="shared" si="50"/>
        <v>03-2023</v>
      </c>
      <c r="D1624" s="2">
        <f t="shared" si="51"/>
        <v>10</v>
      </c>
      <c r="E1624" t="s">
        <v>13</v>
      </c>
      <c r="F1624" t="s">
        <v>14</v>
      </c>
      <c r="G1624" t="s">
        <v>19</v>
      </c>
      <c r="H1624" s="2">
        <v>31065</v>
      </c>
      <c r="I1624" s="2">
        <v>2</v>
      </c>
      <c r="J1624" s="2">
        <v>34623</v>
      </c>
      <c r="K1624" s="2">
        <v>118018</v>
      </c>
      <c r="L1624" s="2">
        <v>2</v>
      </c>
      <c r="M1624" t="str">
        <f>IF(Revv_bike_sales_data[[#This Row],[delivery_days]]&lt;=7, "Yes", "No")</f>
        <v>Yes</v>
      </c>
      <c r="N1624" t="s">
        <v>16</v>
      </c>
      <c r="O1624" s="2">
        <v>-83395</v>
      </c>
    </row>
    <row r="1625" spans="1:15" x14ac:dyDescent="0.3">
      <c r="A1625" s="2">
        <v>1615</v>
      </c>
      <c r="B1625" s="1">
        <v>44994.25</v>
      </c>
      <c r="C1625" s="1" t="str">
        <f t="shared" si="50"/>
        <v>03-2023</v>
      </c>
      <c r="D1625" s="2">
        <f t="shared" si="51"/>
        <v>10</v>
      </c>
      <c r="E1625" t="s">
        <v>25</v>
      </c>
      <c r="F1625" t="s">
        <v>14</v>
      </c>
      <c r="G1625" t="s">
        <v>19</v>
      </c>
      <c r="H1625" s="2">
        <v>33475</v>
      </c>
      <c r="I1625" s="2">
        <v>3</v>
      </c>
      <c r="J1625" s="2">
        <v>79715</v>
      </c>
      <c r="K1625" s="2">
        <v>37875</v>
      </c>
      <c r="L1625" s="2">
        <v>10</v>
      </c>
      <c r="M1625" t="str">
        <f>IF(Revv_bike_sales_data[[#This Row],[delivery_days]]&lt;=7, "Yes", "No")</f>
        <v>No</v>
      </c>
      <c r="N1625" t="s">
        <v>16</v>
      </c>
      <c r="O1625" s="2">
        <v>41840</v>
      </c>
    </row>
    <row r="1626" spans="1:15" x14ac:dyDescent="0.3">
      <c r="A1626" s="2">
        <v>1616</v>
      </c>
      <c r="B1626" s="1">
        <v>44994.291666666664</v>
      </c>
      <c r="C1626" s="1" t="str">
        <f t="shared" si="50"/>
        <v>03-2023</v>
      </c>
      <c r="D1626" s="2">
        <f t="shared" si="51"/>
        <v>10</v>
      </c>
      <c r="E1626" t="s">
        <v>13</v>
      </c>
      <c r="F1626" t="s">
        <v>23</v>
      </c>
      <c r="G1626" t="s">
        <v>15</v>
      </c>
      <c r="H1626" s="2">
        <v>27573</v>
      </c>
      <c r="I1626" s="2">
        <v>6</v>
      </c>
      <c r="J1626" s="2">
        <v>31123</v>
      </c>
      <c r="K1626" s="2">
        <v>105253</v>
      </c>
      <c r="L1626" s="2">
        <v>8</v>
      </c>
      <c r="M1626" t="str">
        <f>IF(Revv_bike_sales_data[[#This Row],[delivery_days]]&lt;=7, "Yes", "No")</f>
        <v>No</v>
      </c>
      <c r="N1626" t="s">
        <v>16</v>
      </c>
      <c r="O1626" s="2">
        <v>-74130</v>
      </c>
    </row>
    <row r="1627" spans="1:15" x14ac:dyDescent="0.3">
      <c r="A1627" s="2">
        <v>1617</v>
      </c>
      <c r="B1627" s="1">
        <v>44994.333333333336</v>
      </c>
      <c r="C1627" s="1" t="str">
        <f t="shared" si="50"/>
        <v>03-2023</v>
      </c>
      <c r="D1627" s="2">
        <f t="shared" si="51"/>
        <v>10</v>
      </c>
      <c r="E1627" t="s">
        <v>13</v>
      </c>
      <c r="F1627" t="s">
        <v>14</v>
      </c>
      <c r="G1627" t="s">
        <v>20</v>
      </c>
      <c r="H1627" s="2">
        <v>70226</v>
      </c>
      <c r="I1627" s="2">
        <v>1</v>
      </c>
      <c r="J1627" s="2">
        <v>28061</v>
      </c>
      <c r="K1627" s="2">
        <v>26408</v>
      </c>
      <c r="L1627" s="2">
        <v>5</v>
      </c>
      <c r="M1627" t="str">
        <f>IF(Revv_bike_sales_data[[#This Row],[delivery_days]]&lt;=7, "Yes", "No")</f>
        <v>Yes</v>
      </c>
      <c r="N1627" t="s">
        <v>24</v>
      </c>
      <c r="O1627" s="2">
        <v>1653</v>
      </c>
    </row>
    <row r="1628" spans="1:15" x14ac:dyDescent="0.3">
      <c r="A1628" s="2">
        <v>1618</v>
      </c>
      <c r="B1628" s="1">
        <v>44994.375</v>
      </c>
      <c r="C1628" s="1" t="str">
        <f t="shared" si="50"/>
        <v>03-2023</v>
      </c>
      <c r="D1628" s="2">
        <f t="shared" si="51"/>
        <v>10</v>
      </c>
      <c r="E1628" t="s">
        <v>25</v>
      </c>
      <c r="F1628" t="s">
        <v>14</v>
      </c>
      <c r="G1628" t="s">
        <v>21</v>
      </c>
      <c r="H1628" s="2">
        <v>2383</v>
      </c>
      <c r="I1628" s="2">
        <v>2</v>
      </c>
      <c r="J1628" s="2">
        <v>131393</v>
      </c>
      <c r="K1628" s="2">
        <v>50607</v>
      </c>
      <c r="L1628" s="2">
        <v>11</v>
      </c>
      <c r="M1628" t="str">
        <f>IF(Revv_bike_sales_data[[#This Row],[delivery_days]]&lt;=7, "Yes", "No")</f>
        <v>No</v>
      </c>
      <c r="N1628" t="s">
        <v>16</v>
      </c>
      <c r="O1628" s="2">
        <v>80786</v>
      </c>
    </row>
    <row r="1629" spans="1:15" x14ac:dyDescent="0.3">
      <c r="A1629" s="2">
        <v>1619</v>
      </c>
      <c r="B1629" s="1">
        <v>44994.416666666664</v>
      </c>
      <c r="C1629" s="1" t="str">
        <f t="shared" si="50"/>
        <v>03-2023</v>
      </c>
      <c r="D1629" s="2">
        <f t="shared" si="51"/>
        <v>10</v>
      </c>
      <c r="E1629" t="s">
        <v>22</v>
      </c>
      <c r="F1629" t="s">
        <v>14</v>
      </c>
      <c r="G1629" t="s">
        <v>15</v>
      </c>
      <c r="H1629" s="2">
        <v>68922</v>
      </c>
      <c r="I1629" s="2">
        <v>5</v>
      </c>
      <c r="J1629" s="2">
        <v>127035</v>
      </c>
      <c r="K1629" s="2">
        <v>76684</v>
      </c>
      <c r="L1629" s="2">
        <v>11</v>
      </c>
      <c r="M1629" t="str">
        <f>IF(Revv_bike_sales_data[[#This Row],[delivery_days]]&lt;=7, "Yes", "No")</f>
        <v>No</v>
      </c>
      <c r="N1629" t="s">
        <v>16</v>
      </c>
      <c r="O1629" s="2">
        <v>50351</v>
      </c>
    </row>
    <row r="1630" spans="1:15" x14ac:dyDescent="0.3">
      <c r="A1630" s="2">
        <v>1620</v>
      </c>
      <c r="B1630" s="1">
        <v>44994.458333333336</v>
      </c>
      <c r="C1630" s="1" t="str">
        <f t="shared" si="50"/>
        <v>03-2023</v>
      </c>
      <c r="D1630" s="2">
        <f t="shared" si="51"/>
        <v>10</v>
      </c>
      <c r="E1630" t="s">
        <v>22</v>
      </c>
      <c r="F1630" t="s">
        <v>14</v>
      </c>
      <c r="G1630" t="s">
        <v>21</v>
      </c>
      <c r="H1630" s="2">
        <v>50129</v>
      </c>
      <c r="I1630" s="2">
        <v>7</v>
      </c>
      <c r="J1630" s="2">
        <v>64095</v>
      </c>
      <c r="K1630" s="2">
        <v>51281</v>
      </c>
      <c r="L1630" s="2">
        <v>8</v>
      </c>
      <c r="M1630" t="str">
        <f>IF(Revv_bike_sales_data[[#This Row],[delivery_days]]&lt;=7, "Yes", "No")</f>
        <v>No</v>
      </c>
      <c r="N1630" t="s">
        <v>16</v>
      </c>
      <c r="O1630" s="2">
        <v>12814</v>
      </c>
    </row>
    <row r="1631" spans="1:15" x14ac:dyDescent="0.3">
      <c r="A1631" s="2">
        <v>1621</v>
      </c>
      <c r="B1631" s="1">
        <v>44994.5</v>
      </c>
      <c r="C1631" s="1" t="str">
        <f t="shared" si="50"/>
        <v>03-2023</v>
      </c>
      <c r="D1631" s="2">
        <f t="shared" si="51"/>
        <v>10</v>
      </c>
      <c r="E1631" t="s">
        <v>13</v>
      </c>
      <c r="F1631" t="s">
        <v>14</v>
      </c>
      <c r="G1631" t="s">
        <v>15</v>
      </c>
      <c r="H1631" s="2">
        <v>64670</v>
      </c>
      <c r="I1631" s="2">
        <v>0</v>
      </c>
      <c r="J1631" s="2">
        <v>106897</v>
      </c>
      <c r="K1631" s="2">
        <v>42326</v>
      </c>
      <c r="L1631" s="2">
        <v>14</v>
      </c>
      <c r="M1631" t="str">
        <f>IF(Revv_bike_sales_data[[#This Row],[delivery_days]]&lt;=7, "Yes", "No")</f>
        <v>No</v>
      </c>
      <c r="N1631" t="s">
        <v>16</v>
      </c>
      <c r="O1631" s="2">
        <v>64571</v>
      </c>
    </row>
    <row r="1632" spans="1:15" x14ac:dyDescent="0.3">
      <c r="A1632" s="2">
        <v>1622</v>
      </c>
      <c r="B1632" s="1">
        <v>44994.541666666664</v>
      </c>
      <c r="C1632" s="1" t="str">
        <f t="shared" si="50"/>
        <v>03-2023</v>
      </c>
      <c r="D1632" s="2">
        <f t="shared" si="51"/>
        <v>10</v>
      </c>
      <c r="E1632" t="s">
        <v>25</v>
      </c>
      <c r="F1632" t="s">
        <v>14</v>
      </c>
      <c r="G1632" t="s">
        <v>21</v>
      </c>
      <c r="H1632" s="2">
        <v>74989</v>
      </c>
      <c r="I1632" s="2">
        <v>3</v>
      </c>
      <c r="J1632" s="2">
        <v>106443</v>
      </c>
      <c r="K1632" s="2">
        <v>28601</v>
      </c>
      <c r="L1632" s="2">
        <v>13</v>
      </c>
      <c r="M1632" t="str">
        <f>IF(Revv_bike_sales_data[[#This Row],[delivery_days]]&lt;=7, "Yes", "No")</f>
        <v>No</v>
      </c>
      <c r="N1632" t="s">
        <v>16</v>
      </c>
      <c r="O1632" s="2">
        <v>77842</v>
      </c>
    </row>
    <row r="1633" spans="1:15" x14ac:dyDescent="0.3">
      <c r="A1633" s="2">
        <v>1623</v>
      </c>
      <c r="B1633" s="1">
        <v>44994.583333333336</v>
      </c>
      <c r="C1633" s="1" t="str">
        <f t="shared" si="50"/>
        <v>03-2023</v>
      </c>
      <c r="D1633" s="2">
        <f t="shared" si="51"/>
        <v>10</v>
      </c>
      <c r="E1633" t="s">
        <v>22</v>
      </c>
      <c r="F1633" t="s">
        <v>14</v>
      </c>
      <c r="G1633" t="s">
        <v>19</v>
      </c>
      <c r="H1633" s="2">
        <v>8881</v>
      </c>
      <c r="I1633" s="2">
        <v>0</v>
      </c>
      <c r="J1633" s="2">
        <v>143005</v>
      </c>
      <c r="K1633" s="2">
        <v>139594</v>
      </c>
      <c r="L1633" s="2">
        <v>14</v>
      </c>
      <c r="M1633" t="str">
        <f>IF(Revv_bike_sales_data[[#This Row],[delivery_days]]&lt;=7, "Yes", "No")</f>
        <v>No</v>
      </c>
      <c r="N1633" t="s">
        <v>16</v>
      </c>
      <c r="O1633" s="2">
        <v>3411</v>
      </c>
    </row>
    <row r="1634" spans="1:15" x14ac:dyDescent="0.3">
      <c r="A1634" s="2">
        <v>1624</v>
      </c>
      <c r="B1634" s="1">
        <v>44994.625</v>
      </c>
      <c r="C1634" s="1" t="str">
        <f t="shared" si="50"/>
        <v>03-2023</v>
      </c>
      <c r="D1634" s="2">
        <f t="shared" si="51"/>
        <v>10</v>
      </c>
      <c r="E1634" t="s">
        <v>25</v>
      </c>
      <c r="F1634" t="s">
        <v>14</v>
      </c>
      <c r="G1634" t="s">
        <v>15</v>
      </c>
      <c r="H1634" s="2">
        <v>23738</v>
      </c>
      <c r="I1634" s="2">
        <v>1</v>
      </c>
      <c r="J1634" s="2">
        <v>59814</v>
      </c>
      <c r="K1634" s="2">
        <v>16135</v>
      </c>
      <c r="L1634" s="2">
        <v>8</v>
      </c>
      <c r="M1634" t="str">
        <f>IF(Revv_bike_sales_data[[#This Row],[delivery_days]]&lt;=7, "Yes", "No")</f>
        <v>No</v>
      </c>
      <c r="N1634" t="s">
        <v>16</v>
      </c>
      <c r="O1634" s="2">
        <v>43679</v>
      </c>
    </row>
    <row r="1635" spans="1:15" x14ac:dyDescent="0.3">
      <c r="A1635" s="2">
        <v>1625</v>
      </c>
      <c r="B1635" s="1">
        <v>44994.666666666664</v>
      </c>
      <c r="C1635" s="1" t="str">
        <f t="shared" si="50"/>
        <v>03-2023</v>
      </c>
      <c r="D1635" s="2">
        <f t="shared" si="51"/>
        <v>10</v>
      </c>
      <c r="E1635" t="s">
        <v>25</v>
      </c>
      <c r="F1635" t="s">
        <v>14</v>
      </c>
      <c r="G1635" t="s">
        <v>21</v>
      </c>
      <c r="H1635" s="2">
        <v>14295</v>
      </c>
      <c r="I1635" s="2">
        <v>7</v>
      </c>
      <c r="J1635" s="2">
        <v>110141</v>
      </c>
      <c r="K1635" s="2">
        <v>37741</v>
      </c>
      <c r="L1635" s="2">
        <v>12</v>
      </c>
      <c r="M1635" t="str">
        <f>IF(Revv_bike_sales_data[[#This Row],[delivery_days]]&lt;=7, "Yes", "No")</f>
        <v>No</v>
      </c>
      <c r="N1635" t="s">
        <v>16</v>
      </c>
      <c r="O1635" s="2">
        <v>72400</v>
      </c>
    </row>
    <row r="1636" spans="1:15" x14ac:dyDescent="0.3">
      <c r="A1636" s="2">
        <v>1626</v>
      </c>
      <c r="B1636" s="1">
        <v>44994.708333333336</v>
      </c>
      <c r="C1636" s="1" t="str">
        <f t="shared" si="50"/>
        <v>03-2023</v>
      </c>
      <c r="D1636" s="2">
        <f t="shared" si="51"/>
        <v>10</v>
      </c>
      <c r="E1636" t="s">
        <v>25</v>
      </c>
      <c r="F1636" t="s">
        <v>14</v>
      </c>
      <c r="G1636" t="s">
        <v>21</v>
      </c>
      <c r="H1636" s="2">
        <v>96464</v>
      </c>
      <c r="I1636" s="2">
        <v>5</v>
      </c>
      <c r="J1636" s="2">
        <v>165517</v>
      </c>
      <c r="K1636" s="2">
        <v>26913</v>
      </c>
      <c r="L1636" s="2">
        <v>3</v>
      </c>
      <c r="M1636" t="str">
        <f>IF(Revv_bike_sales_data[[#This Row],[delivery_days]]&lt;=7, "Yes", "No")</f>
        <v>Yes</v>
      </c>
      <c r="N1636" t="s">
        <v>16</v>
      </c>
      <c r="O1636" s="2">
        <v>138604</v>
      </c>
    </row>
    <row r="1637" spans="1:15" x14ac:dyDescent="0.3">
      <c r="A1637" s="2">
        <v>1627</v>
      </c>
      <c r="B1637" s="1">
        <v>44994.75</v>
      </c>
      <c r="C1637" s="1" t="str">
        <f t="shared" si="50"/>
        <v>03-2023</v>
      </c>
      <c r="D1637" s="2">
        <f t="shared" si="51"/>
        <v>10</v>
      </c>
      <c r="E1637" t="s">
        <v>17</v>
      </c>
      <c r="F1637" t="s">
        <v>14</v>
      </c>
      <c r="G1637" t="s">
        <v>20</v>
      </c>
      <c r="H1637" s="2">
        <v>63499</v>
      </c>
      <c r="I1637" s="2">
        <v>8</v>
      </c>
      <c r="J1637" s="2">
        <v>54767</v>
      </c>
      <c r="K1637" s="2">
        <v>25101</v>
      </c>
      <c r="L1637" s="2">
        <v>5</v>
      </c>
      <c r="M1637" t="str">
        <f>IF(Revv_bike_sales_data[[#This Row],[delivery_days]]&lt;=7, "Yes", "No")</f>
        <v>Yes</v>
      </c>
      <c r="N1637" t="s">
        <v>16</v>
      </c>
      <c r="O1637" s="2">
        <v>29666</v>
      </c>
    </row>
    <row r="1638" spans="1:15" x14ac:dyDescent="0.3">
      <c r="A1638" s="2">
        <v>1628</v>
      </c>
      <c r="B1638" s="1">
        <v>44994.791666666664</v>
      </c>
      <c r="C1638" s="1" t="str">
        <f t="shared" si="50"/>
        <v>03-2023</v>
      </c>
      <c r="D1638" s="2">
        <f t="shared" si="51"/>
        <v>10</v>
      </c>
      <c r="E1638" t="s">
        <v>25</v>
      </c>
      <c r="F1638" t="s">
        <v>14</v>
      </c>
      <c r="G1638" t="s">
        <v>15</v>
      </c>
      <c r="H1638" s="2">
        <v>50407</v>
      </c>
      <c r="I1638" s="2">
        <v>1</v>
      </c>
      <c r="J1638" s="2">
        <v>71057</v>
      </c>
      <c r="K1638" s="2">
        <v>33631</v>
      </c>
      <c r="L1638" s="2">
        <v>7</v>
      </c>
      <c r="M1638" t="str">
        <f>IF(Revv_bike_sales_data[[#This Row],[delivery_days]]&lt;=7, "Yes", "No")</f>
        <v>Yes</v>
      </c>
      <c r="N1638" t="s">
        <v>16</v>
      </c>
      <c r="O1638" s="2">
        <v>37426</v>
      </c>
    </row>
    <row r="1639" spans="1:15" x14ac:dyDescent="0.3">
      <c r="A1639" s="2">
        <v>1629</v>
      </c>
      <c r="B1639" s="1">
        <v>44994.833333333336</v>
      </c>
      <c r="C1639" s="1" t="str">
        <f t="shared" si="50"/>
        <v>03-2023</v>
      </c>
      <c r="D1639" s="2">
        <f t="shared" si="51"/>
        <v>10</v>
      </c>
      <c r="E1639" t="s">
        <v>17</v>
      </c>
      <c r="F1639" t="s">
        <v>14</v>
      </c>
      <c r="G1639" t="s">
        <v>21</v>
      </c>
      <c r="H1639" s="2">
        <v>10138</v>
      </c>
      <c r="I1639" s="2">
        <v>2</v>
      </c>
      <c r="J1639" s="2">
        <v>111755</v>
      </c>
      <c r="K1639" s="2">
        <v>87084</v>
      </c>
      <c r="L1639" s="2">
        <v>5</v>
      </c>
      <c r="M1639" t="str">
        <f>IF(Revv_bike_sales_data[[#This Row],[delivery_days]]&lt;=7, "Yes", "No")</f>
        <v>Yes</v>
      </c>
      <c r="N1639" t="s">
        <v>16</v>
      </c>
      <c r="O1639" s="2">
        <v>24671</v>
      </c>
    </row>
    <row r="1640" spans="1:15" x14ac:dyDescent="0.3">
      <c r="A1640" s="2">
        <v>1630</v>
      </c>
      <c r="B1640" s="1">
        <v>44994.875</v>
      </c>
      <c r="C1640" s="1" t="str">
        <f t="shared" si="50"/>
        <v>03-2023</v>
      </c>
      <c r="D1640" s="2">
        <f t="shared" si="51"/>
        <v>10</v>
      </c>
      <c r="E1640" t="s">
        <v>13</v>
      </c>
      <c r="F1640" t="s">
        <v>14</v>
      </c>
      <c r="G1640" t="s">
        <v>20</v>
      </c>
      <c r="H1640" s="2">
        <v>70967</v>
      </c>
      <c r="I1640" s="2">
        <v>8</v>
      </c>
      <c r="J1640" s="2">
        <v>52946</v>
      </c>
      <c r="K1640" s="2">
        <v>117820</v>
      </c>
      <c r="L1640" s="2">
        <v>6</v>
      </c>
      <c r="M1640" t="str">
        <f>IF(Revv_bike_sales_data[[#This Row],[delivery_days]]&lt;=7, "Yes", "No")</f>
        <v>Yes</v>
      </c>
      <c r="N1640" t="s">
        <v>16</v>
      </c>
      <c r="O1640" s="2">
        <v>-64874</v>
      </c>
    </row>
    <row r="1641" spans="1:15" x14ac:dyDescent="0.3">
      <c r="A1641" s="2">
        <v>1631</v>
      </c>
      <c r="B1641" s="1">
        <v>44994.916666666664</v>
      </c>
      <c r="C1641" s="1" t="str">
        <f t="shared" si="50"/>
        <v>03-2023</v>
      </c>
      <c r="D1641" s="2">
        <f t="shared" si="51"/>
        <v>10</v>
      </c>
      <c r="E1641" t="s">
        <v>22</v>
      </c>
      <c r="F1641" t="s">
        <v>14</v>
      </c>
      <c r="G1641" t="s">
        <v>21</v>
      </c>
      <c r="H1641" s="2">
        <v>43123</v>
      </c>
      <c r="I1641" s="2">
        <v>8</v>
      </c>
      <c r="J1641" s="2">
        <v>28364</v>
      </c>
      <c r="K1641" s="2">
        <v>51870</v>
      </c>
      <c r="L1641" s="2">
        <v>2</v>
      </c>
      <c r="M1641" t="str">
        <f>IF(Revv_bike_sales_data[[#This Row],[delivery_days]]&lt;=7, "Yes", "No")</f>
        <v>Yes</v>
      </c>
      <c r="N1641" t="s">
        <v>16</v>
      </c>
      <c r="O1641" s="2">
        <v>-23506</v>
      </c>
    </row>
    <row r="1642" spans="1:15" x14ac:dyDescent="0.3">
      <c r="A1642" s="2">
        <v>1632</v>
      </c>
      <c r="B1642" s="1">
        <v>44994.958333333336</v>
      </c>
      <c r="C1642" s="1" t="str">
        <f t="shared" si="50"/>
        <v>03-2023</v>
      </c>
      <c r="D1642" s="2">
        <f t="shared" si="51"/>
        <v>10</v>
      </c>
      <c r="E1642" t="s">
        <v>22</v>
      </c>
      <c r="F1642" t="s">
        <v>14</v>
      </c>
      <c r="G1642" t="s">
        <v>15</v>
      </c>
      <c r="H1642" s="2">
        <v>38992</v>
      </c>
      <c r="I1642" s="2">
        <v>5</v>
      </c>
      <c r="J1642" s="2">
        <v>102015</v>
      </c>
      <c r="K1642" s="2">
        <v>63985</v>
      </c>
      <c r="L1642" s="2">
        <v>8</v>
      </c>
      <c r="M1642" t="str">
        <f>IF(Revv_bike_sales_data[[#This Row],[delivery_days]]&lt;=7, "Yes", "No")</f>
        <v>No</v>
      </c>
      <c r="N1642" t="s">
        <v>16</v>
      </c>
      <c r="O1642" s="2">
        <v>38030</v>
      </c>
    </row>
    <row r="1643" spans="1:15" x14ac:dyDescent="0.3">
      <c r="A1643" s="2">
        <v>1633</v>
      </c>
      <c r="B1643" s="1">
        <v>44995</v>
      </c>
      <c r="C1643" s="1" t="str">
        <f t="shared" si="50"/>
        <v>03-2023</v>
      </c>
      <c r="D1643" s="2">
        <f t="shared" si="51"/>
        <v>10</v>
      </c>
      <c r="E1643" t="s">
        <v>22</v>
      </c>
      <c r="F1643" t="s">
        <v>14</v>
      </c>
      <c r="G1643" t="s">
        <v>19</v>
      </c>
      <c r="H1643" s="2">
        <v>26911</v>
      </c>
      <c r="I1643" s="2">
        <v>2</v>
      </c>
      <c r="J1643" s="2">
        <v>163470</v>
      </c>
      <c r="K1643" s="2">
        <v>131236</v>
      </c>
      <c r="L1643" s="2">
        <v>5</v>
      </c>
      <c r="M1643" t="str">
        <f>IF(Revv_bike_sales_data[[#This Row],[delivery_days]]&lt;=7, "Yes", "No")</f>
        <v>Yes</v>
      </c>
      <c r="N1643" t="s">
        <v>16</v>
      </c>
      <c r="O1643" s="2">
        <v>32234</v>
      </c>
    </row>
    <row r="1644" spans="1:15" x14ac:dyDescent="0.3">
      <c r="A1644" s="2">
        <v>1634</v>
      </c>
      <c r="B1644" s="1">
        <v>44995.041666666664</v>
      </c>
      <c r="C1644" s="1" t="str">
        <f t="shared" si="50"/>
        <v>03-2023</v>
      </c>
      <c r="D1644" s="2">
        <f t="shared" si="51"/>
        <v>10</v>
      </c>
      <c r="E1644" t="s">
        <v>22</v>
      </c>
      <c r="F1644" t="s">
        <v>14</v>
      </c>
      <c r="G1644" t="s">
        <v>15</v>
      </c>
      <c r="H1644" s="2">
        <v>21034</v>
      </c>
      <c r="I1644" s="2">
        <v>4</v>
      </c>
      <c r="J1644" s="2">
        <v>158524</v>
      </c>
      <c r="K1644" s="2">
        <v>42215</v>
      </c>
      <c r="L1644" s="2">
        <v>6</v>
      </c>
      <c r="M1644" t="str">
        <f>IF(Revv_bike_sales_data[[#This Row],[delivery_days]]&lt;=7, "Yes", "No")</f>
        <v>Yes</v>
      </c>
      <c r="N1644" t="s">
        <v>16</v>
      </c>
      <c r="O1644" s="2">
        <v>116309</v>
      </c>
    </row>
    <row r="1645" spans="1:15" x14ac:dyDescent="0.3">
      <c r="A1645" s="2">
        <v>1635</v>
      </c>
      <c r="B1645" s="1">
        <v>44995.083333333336</v>
      </c>
      <c r="C1645" s="1" t="str">
        <f t="shared" si="50"/>
        <v>03-2023</v>
      </c>
      <c r="D1645" s="2">
        <f t="shared" si="51"/>
        <v>10</v>
      </c>
      <c r="E1645" t="s">
        <v>22</v>
      </c>
      <c r="F1645" t="s">
        <v>14</v>
      </c>
      <c r="G1645" t="s">
        <v>15</v>
      </c>
      <c r="H1645" s="2">
        <v>29681</v>
      </c>
      <c r="I1645" s="2">
        <v>1</v>
      </c>
      <c r="J1645" s="2">
        <v>112208</v>
      </c>
      <c r="K1645" s="2">
        <v>77110</v>
      </c>
      <c r="L1645" s="2">
        <v>1</v>
      </c>
      <c r="M1645" t="str">
        <f>IF(Revv_bike_sales_data[[#This Row],[delivery_days]]&lt;=7, "Yes", "No")</f>
        <v>Yes</v>
      </c>
      <c r="N1645" t="s">
        <v>16</v>
      </c>
      <c r="O1645" s="2">
        <v>35098</v>
      </c>
    </row>
    <row r="1646" spans="1:15" x14ac:dyDescent="0.3">
      <c r="A1646" s="2">
        <v>1636</v>
      </c>
      <c r="B1646" s="1">
        <v>44995.125</v>
      </c>
      <c r="C1646" s="1" t="str">
        <f t="shared" si="50"/>
        <v>03-2023</v>
      </c>
      <c r="D1646" s="2">
        <f t="shared" si="51"/>
        <v>10</v>
      </c>
      <c r="E1646" t="s">
        <v>22</v>
      </c>
      <c r="F1646" t="s">
        <v>14</v>
      </c>
      <c r="G1646" t="s">
        <v>21</v>
      </c>
      <c r="H1646" s="2">
        <v>20496</v>
      </c>
      <c r="I1646" s="2">
        <v>6</v>
      </c>
      <c r="J1646" s="2">
        <v>148208</v>
      </c>
      <c r="K1646" s="2">
        <v>136220</v>
      </c>
      <c r="L1646" s="2">
        <v>10</v>
      </c>
      <c r="M1646" t="str">
        <f>IF(Revv_bike_sales_data[[#This Row],[delivery_days]]&lt;=7, "Yes", "No")</f>
        <v>No</v>
      </c>
      <c r="N1646" t="s">
        <v>16</v>
      </c>
      <c r="O1646" s="2">
        <v>11988</v>
      </c>
    </row>
    <row r="1647" spans="1:15" x14ac:dyDescent="0.3">
      <c r="A1647" s="2">
        <v>1637</v>
      </c>
      <c r="B1647" s="1">
        <v>44995.166666666664</v>
      </c>
      <c r="C1647" s="1" t="str">
        <f t="shared" si="50"/>
        <v>03-2023</v>
      </c>
      <c r="D1647" s="2">
        <f t="shared" si="51"/>
        <v>10</v>
      </c>
      <c r="E1647" t="s">
        <v>22</v>
      </c>
      <c r="F1647" t="s">
        <v>14</v>
      </c>
      <c r="G1647" t="s">
        <v>21</v>
      </c>
      <c r="H1647" s="2">
        <v>72589</v>
      </c>
      <c r="I1647" s="2">
        <v>9</v>
      </c>
      <c r="J1647" s="2">
        <v>50345</v>
      </c>
      <c r="K1647" s="2">
        <v>117815</v>
      </c>
      <c r="L1647" s="2">
        <v>2</v>
      </c>
      <c r="M1647" t="str">
        <f>IF(Revv_bike_sales_data[[#This Row],[delivery_days]]&lt;=7, "Yes", "No")</f>
        <v>Yes</v>
      </c>
      <c r="N1647" t="s">
        <v>16</v>
      </c>
      <c r="O1647" s="2">
        <v>-67470</v>
      </c>
    </row>
    <row r="1648" spans="1:15" x14ac:dyDescent="0.3">
      <c r="A1648" s="2">
        <v>1638</v>
      </c>
      <c r="B1648" s="1">
        <v>44995.208333333336</v>
      </c>
      <c r="C1648" s="1" t="str">
        <f t="shared" si="50"/>
        <v>03-2023</v>
      </c>
      <c r="D1648" s="2">
        <f t="shared" si="51"/>
        <v>10</v>
      </c>
      <c r="E1648" t="s">
        <v>13</v>
      </c>
      <c r="F1648" t="s">
        <v>14</v>
      </c>
      <c r="G1648" t="s">
        <v>15</v>
      </c>
      <c r="H1648" s="2">
        <v>84109</v>
      </c>
      <c r="I1648" s="2">
        <v>7</v>
      </c>
      <c r="J1648" s="2">
        <v>110895</v>
      </c>
      <c r="K1648" s="2">
        <v>34215</v>
      </c>
      <c r="L1648" s="2">
        <v>11</v>
      </c>
      <c r="M1648" t="str">
        <f>IF(Revv_bike_sales_data[[#This Row],[delivery_days]]&lt;=7, "Yes", "No")</f>
        <v>No</v>
      </c>
      <c r="N1648" t="s">
        <v>16</v>
      </c>
      <c r="O1648" s="2">
        <v>76680</v>
      </c>
    </row>
    <row r="1649" spans="1:15" x14ac:dyDescent="0.3">
      <c r="A1649" s="2">
        <v>1639</v>
      </c>
      <c r="B1649" s="1">
        <v>44995.25</v>
      </c>
      <c r="C1649" s="1" t="str">
        <f t="shared" si="50"/>
        <v>03-2023</v>
      </c>
      <c r="D1649" s="2">
        <f t="shared" si="51"/>
        <v>10</v>
      </c>
      <c r="E1649" t="s">
        <v>25</v>
      </c>
      <c r="F1649" t="s">
        <v>14</v>
      </c>
      <c r="G1649" t="s">
        <v>20</v>
      </c>
      <c r="H1649" s="2">
        <v>73166</v>
      </c>
      <c r="I1649" s="2">
        <v>5</v>
      </c>
      <c r="J1649" s="2">
        <v>179125</v>
      </c>
      <c r="K1649" s="2">
        <v>106118</v>
      </c>
      <c r="L1649" s="2">
        <v>4</v>
      </c>
      <c r="M1649" t="str">
        <f>IF(Revv_bike_sales_data[[#This Row],[delivery_days]]&lt;=7, "Yes", "No")</f>
        <v>Yes</v>
      </c>
      <c r="N1649" t="s">
        <v>16</v>
      </c>
      <c r="O1649" s="2">
        <v>73007</v>
      </c>
    </row>
    <row r="1650" spans="1:15" x14ac:dyDescent="0.3">
      <c r="A1650" s="2">
        <v>1640</v>
      </c>
      <c r="B1650" s="1">
        <v>44995.291666666664</v>
      </c>
      <c r="C1650" s="1" t="str">
        <f t="shared" si="50"/>
        <v>03-2023</v>
      </c>
      <c r="D1650" s="2">
        <f t="shared" si="51"/>
        <v>10</v>
      </c>
      <c r="E1650" t="s">
        <v>18</v>
      </c>
      <c r="F1650" t="s">
        <v>14</v>
      </c>
      <c r="G1650" t="s">
        <v>20</v>
      </c>
      <c r="H1650" s="2">
        <v>29905</v>
      </c>
      <c r="I1650" s="2">
        <v>7</v>
      </c>
      <c r="J1650" s="2">
        <v>154022</v>
      </c>
      <c r="K1650" s="2">
        <v>29024</v>
      </c>
      <c r="L1650" s="2">
        <v>11</v>
      </c>
      <c r="M1650" t="str">
        <f>IF(Revv_bike_sales_data[[#This Row],[delivery_days]]&lt;=7, "Yes", "No")</f>
        <v>No</v>
      </c>
      <c r="N1650" t="s">
        <v>16</v>
      </c>
      <c r="O1650" s="2">
        <v>124998</v>
      </c>
    </row>
    <row r="1651" spans="1:15" x14ac:dyDescent="0.3">
      <c r="A1651" s="2">
        <v>1641</v>
      </c>
      <c r="B1651" s="1">
        <v>44995.333333333336</v>
      </c>
      <c r="C1651" s="1" t="str">
        <f t="shared" si="50"/>
        <v>03-2023</v>
      </c>
      <c r="D1651" s="2">
        <f t="shared" si="51"/>
        <v>10</v>
      </c>
      <c r="E1651" t="s">
        <v>17</v>
      </c>
      <c r="F1651" t="s">
        <v>14</v>
      </c>
      <c r="G1651" t="s">
        <v>20</v>
      </c>
      <c r="H1651" s="2">
        <v>71825</v>
      </c>
      <c r="I1651" s="2">
        <v>1</v>
      </c>
      <c r="J1651" s="2">
        <v>161087</v>
      </c>
      <c r="K1651" s="2">
        <v>91949</v>
      </c>
      <c r="L1651" s="2">
        <v>9</v>
      </c>
      <c r="M1651" t="str">
        <f>IF(Revv_bike_sales_data[[#This Row],[delivery_days]]&lt;=7, "Yes", "No")</f>
        <v>No</v>
      </c>
      <c r="N1651" t="s">
        <v>24</v>
      </c>
      <c r="O1651" s="2">
        <v>69138</v>
      </c>
    </row>
    <row r="1652" spans="1:15" x14ac:dyDescent="0.3">
      <c r="A1652" s="2">
        <v>1642</v>
      </c>
      <c r="B1652" s="1">
        <v>44995.375</v>
      </c>
      <c r="C1652" s="1" t="str">
        <f t="shared" si="50"/>
        <v>03-2023</v>
      </c>
      <c r="D1652" s="2">
        <f t="shared" si="51"/>
        <v>10</v>
      </c>
      <c r="E1652" t="s">
        <v>18</v>
      </c>
      <c r="F1652" t="s">
        <v>14</v>
      </c>
      <c r="G1652" t="s">
        <v>21</v>
      </c>
      <c r="H1652" s="2">
        <v>29430</v>
      </c>
      <c r="I1652" s="2">
        <v>2</v>
      </c>
      <c r="J1652" s="2">
        <v>164729</v>
      </c>
      <c r="K1652" s="2">
        <v>96855</v>
      </c>
      <c r="L1652" s="2">
        <v>6</v>
      </c>
      <c r="M1652" t="str">
        <f>IF(Revv_bike_sales_data[[#This Row],[delivery_days]]&lt;=7, "Yes", "No")</f>
        <v>Yes</v>
      </c>
      <c r="N1652" t="s">
        <v>24</v>
      </c>
      <c r="O1652" s="2">
        <v>67874</v>
      </c>
    </row>
    <row r="1653" spans="1:15" x14ac:dyDescent="0.3">
      <c r="A1653" s="2">
        <v>1643</v>
      </c>
      <c r="B1653" s="1">
        <v>44995.416666666664</v>
      </c>
      <c r="C1653" s="1" t="str">
        <f t="shared" si="50"/>
        <v>03-2023</v>
      </c>
      <c r="D1653" s="2">
        <f t="shared" si="51"/>
        <v>10</v>
      </c>
      <c r="E1653" t="s">
        <v>18</v>
      </c>
      <c r="F1653" t="s">
        <v>23</v>
      </c>
      <c r="G1653" t="s">
        <v>21</v>
      </c>
      <c r="H1653" s="2">
        <v>18029</v>
      </c>
      <c r="I1653" s="2">
        <v>6</v>
      </c>
      <c r="J1653" s="2">
        <v>76116</v>
      </c>
      <c r="K1653" s="2">
        <v>99982</v>
      </c>
      <c r="L1653" s="2">
        <v>8</v>
      </c>
      <c r="M1653" t="str">
        <f>IF(Revv_bike_sales_data[[#This Row],[delivery_days]]&lt;=7, "Yes", "No")</f>
        <v>No</v>
      </c>
      <c r="N1653" t="s">
        <v>16</v>
      </c>
      <c r="O1653" s="2">
        <v>-23866</v>
      </c>
    </row>
    <row r="1654" spans="1:15" x14ac:dyDescent="0.3">
      <c r="A1654" s="2">
        <v>1644</v>
      </c>
      <c r="B1654" s="1">
        <v>44995.458333333336</v>
      </c>
      <c r="C1654" s="1" t="str">
        <f t="shared" si="50"/>
        <v>03-2023</v>
      </c>
      <c r="D1654" s="2">
        <f t="shared" si="51"/>
        <v>10</v>
      </c>
      <c r="E1654" t="s">
        <v>25</v>
      </c>
      <c r="F1654" t="s">
        <v>23</v>
      </c>
      <c r="G1654" t="s">
        <v>15</v>
      </c>
      <c r="H1654" s="2">
        <v>54046</v>
      </c>
      <c r="I1654" s="2">
        <v>9</v>
      </c>
      <c r="J1654" s="2">
        <v>178023</v>
      </c>
      <c r="K1654" s="2">
        <v>60483</v>
      </c>
      <c r="L1654" s="2">
        <v>2</v>
      </c>
      <c r="M1654" t="str">
        <f>IF(Revv_bike_sales_data[[#This Row],[delivery_days]]&lt;=7, "Yes", "No")</f>
        <v>Yes</v>
      </c>
      <c r="N1654" t="s">
        <v>16</v>
      </c>
      <c r="O1654" s="2">
        <v>117540</v>
      </c>
    </row>
    <row r="1655" spans="1:15" x14ac:dyDescent="0.3">
      <c r="A1655" s="2">
        <v>1645</v>
      </c>
      <c r="B1655" s="1">
        <v>44995.5</v>
      </c>
      <c r="C1655" s="1" t="str">
        <f t="shared" si="50"/>
        <v>03-2023</v>
      </c>
      <c r="D1655" s="2">
        <f t="shared" si="51"/>
        <v>10</v>
      </c>
      <c r="E1655" t="s">
        <v>25</v>
      </c>
      <c r="F1655" t="s">
        <v>14</v>
      </c>
      <c r="G1655" t="s">
        <v>19</v>
      </c>
      <c r="H1655" s="2">
        <v>8442</v>
      </c>
      <c r="I1655" s="2">
        <v>0</v>
      </c>
      <c r="J1655" s="2">
        <v>122599</v>
      </c>
      <c r="K1655" s="2">
        <v>121279</v>
      </c>
      <c r="L1655" s="2">
        <v>10</v>
      </c>
      <c r="M1655" t="str">
        <f>IF(Revv_bike_sales_data[[#This Row],[delivery_days]]&lt;=7, "Yes", "No")</f>
        <v>No</v>
      </c>
      <c r="N1655" t="s">
        <v>16</v>
      </c>
      <c r="O1655" s="2">
        <v>1320</v>
      </c>
    </row>
    <row r="1656" spans="1:15" x14ac:dyDescent="0.3">
      <c r="A1656" s="2">
        <v>1646</v>
      </c>
      <c r="B1656" s="1">
        <v>44995.541666666664</v>
      </c>
      <c r="C1656" s="1" t="str">
        <f t="shared" si="50"/>
        <v>03-2023</v>
      </c>
      <c r="D1656" s="2">
        <f t="shared" si="51"/>
        <v>10</v>
      </c>
      <c r="E1656" t="s">
        <v>25</v>
      </c>
      <c r="F1656" t="s">
        <v>14</v>
      </c>
      <c r="G1656" t="s">
        <v>21</v>
      </c>
      <c r="H1656" s="2">
        <v>8048</v>
      </c>
      <c r="I1656" s="2">
        <v>6</v>
      </c>
      <c r="J1656" s="2">
        <v>51521</v>
      </c>
      <c r="K1656" s="2">
        <v>132740</v>
      </c>
      <c r="L1656" s="2">
        <v>5</v>
      </c>
      <c r="M1656" t="str">
        <f>IF(Revv_bike_sales_data[[#This Row],[delivery_days]]&lt;=7, "Yes", "No")</f>
        <v>Yes</v>
      </c>
      <c r="N1656" t="s">
        <v>16</v>
      </c>
      <c r="O1656" s="2">
        <v>-81219</v>
      </c>
    </row>
    <row r="1657" spans="1:15" x14ac:dyDescent="0.3">
      <c r="A1657" s="2">
        <v>1647</v>
      </c>
      <c r="B1657" s="1">
        <v>44995.583333333336</v>
      </c>
      <c r="C1657" s="1" t="str">
        <f t="shared" si="50"/>
        <v>03-2023</v>
      </c>
      <c r="D1657" s="2">
        <f t="shared" si="51"/>
        <v>10</v>
      </c>
      <c r="E1657" t="s">
        <v>22</v>
      </c>
      <c r="F1657" t="s">
        <v>14</v>
      </c>
      <c r="G1657" t="s">
        <v>15</v>
      </c>
      <c r="H1657" s="2">
        <v>18796</v>
      </c>
      <c r="I1657" s="2">
        <v>5</v>
      </c>
      <c r="J1657" s="2">
        <v>79431</v>
      </c>
      <c r="K1657" s="2">
        <v>112572</v>
      </c>
      <c r="L1657" s="2">
        <v>12</v>
      </c>
      <c r="M1657" t="str">
        <f>IF(Revv_bike_sales_data[[#This Row],[delivery_days]]&lt;=7, "Yes", "No")</f>
        <v>No</v>
      </c>
      <c r="N1657" t="s">
        <v>16</v>
      </c>
      <c r="O1657" s="2">
        <v>-33141</v>
      </c>
    </row>
    <row r="1658" spans="1:15" x14ac:dyDescent="0.3">
      <c r="A1658" s="2">
        <v>1648</v>
      </c>
      <c r="B1658" s="1">
        <v>44995.625</v>
      </c>
      <c r="C1658" s="1" t="str">
        <f t="shared" si="50"/>
        <v>03-2023</v>
      </c>
      <c r="D1658" s="2">
        <f t="shared" si="51"/>
        <v>10</v>
      </c>
      <c r="E1658" t="s">
        <v>13</v>
      </c>
      <c r="F1658" t="s">
        <v>14</v>
      </c>
      <c r="G1658" t="s">
        <v>15</v>
      </c>
      <c r="H1658" s="2">
        <v>51516</v>
      </c>
      <c r="I1658" s="2">
        <v>7</v>
      </c>
      <c r="J1658" s="2">
        <v>35731</v>
      </c>
      <c r="K1658" s="2">
        <v>93157</v>
      </c>
      <c r="L1658" s="2">
        <v>12</v>
      </c>
      <c r="M1658" t="str">
        <f>IF(Revv_bike_sales_data[[#This Row],[delivery_days]]&lt;=7, "Yes", "No")</f>
        <v>No</v>
      </c>
      <c r="N1658" t="s">
        <v>16</v>
      </c>
      <c r="O1658" s="2">
        <v>-57426</v>
      </c>
    </row>
    <row r="1659" spans="1:15" x14ac:dyDescent="0.3">
      <c r="A1659" s="2">
        <v>1649</v>
      </c>
      <c r="B1659" s="1">
        <v>44995.666666666664</v>
      </c>
      <c r="C1659" s="1" t="str">
        <f t="shared" si="50"/>
        <v>03-2023</v>
      </c>
      <c r="D1659" s="2">
        <f t="shared" si="51"/>
        <v>10</v>
      </c>
      <c r="E1659" t="s">
        <v>22</v>
      </c>
      <c r="F1659" t="s">
        <v>14</v>
      </c>
      <c r="G1659" t="s">
        <v>19</v>
      </c>
      <c r="H1659" s="2">
        <v>98280</v>
      </c>
      <c r="I1659" s="2">
        <v>6</v>
      </c>
      <c r="J1659" s="2">
        <v>174816</v>
      </c>
      <c r="K1659" s="2">
        <v>25511</v>
      </c>
      <c r="L1659" s="2">
        <v>13</v>
      </c>
      <c r="M1659" t="str">
        <f>IF(Revv_bike_sales_data[[#This Row],[delivery_days]]&lt;=7, "Yes", "No")</f>
        <v>No</v>
      </c>
      <c r="N1659" t="s">
        <v>16</v>
      </c>
      <c r="O1659" s="2">
        <v>149305</v>
      </c>
    </row>
    <row r="1660" spans="1:15" x14ac:dyDescent="0.3">
      <c r="A1660" s="2">
        <v>1650</v>
      </c>
      <c r="B1660" s="1">
        <v>44995.708333333336</v>
      </c>
      <c r="C1660" s="1" t="str">
        <f t="shared" si="50"/>
        <v>03-2023</v>
      </c>
      <c r="D1660" s="2">
        <f t="shared" si="51"/>
        <v>10</v>
      </c>
      <c r="E1660" t="s">
        <v>13</v>
      </c>
      <c r="F1660" t="s">
        <v>14</v>
      </c>
      <c r="G1660" t="s">
        <v>20</v>
      </c>
      <c r="H1660" s="2">
        <v>796</v>
      </c>
      <c r="I1660" s="2">
        <v>3</v>
      </c>
      <c r="J1660" s="2">
        <v>88094</v>
      </c>
      <c r="K1660" s="2">
        <v>136898</v>
      </c>
      <c r="L1660" s="2">
        <v>1</v>
      </c>
      <c r="M1660" t="str">
        <f>IF(Revv_bike_sales_data[[#This Row],[delivery_days]]&lt;=7, "Yes", "No")</f>
        <v>Yes</v>
      </c>
      <c r="N1660" t="s">
        <v>16</v>
      </c>
      <c r="O1660" s="2">
        <v>-48804</v>
      </c>
    </row>
    <row r="1661" spans="1:15" x14ac:dyDescent="0.3">
      <c r="A1661" s="2">
        <v>1651</v>
      </c>
      <c r="B1661" s="1">
        <v>44995.75</v>
      </c>
      <c r="C1661" s="1" t="str">
        <f t="shared" si="50"/>
        <v>03-2023</v>
      </c>
      <c r="D1661" s="2">
        <f t="shared" si="51"/>
        <v>10</v>
      </c>
      <c r="E1661" t="s">
        <v>13</v>
      </c>
      <c r="F1661" t="s">
        <v>14</v>
      </c>
      <c r="G1661" t="s">
        <v>15</v>
      </c>
      <c r="H1661" s="2">
        <v>68445</v>
      </c>
      <c r="I1661" s="2">
        <v>2</v>
      </c>
      <c r="J1661" s="2">
        <v>43423</v>
      </c>
      <c r="K1661" s="2">
        <v>34923</v>
      </c>
      <c r="L1661" s="2">
        <v>4</v>
      </c>
      <c r="M1661" t="str">
        <f>IF(Revv_bike_sales_data[[#This Row],[delivery_days]]&lt;=7, "Yes", "No")</f>
        <v>Yes</v>
      </c>
      <c r="N1661" t="s">
        <v>16</v>
      </c>
      <c r="O1661" s="2">
        <v>8500</v>
      </c>
    </row>
    <row r="1662" spans="1:15" x14ac:dyDescent="0.3">
      <c r="A1662" s="2">
        <v>1652</v>
      </c>
      <c r="B1662" s="1">
        <v>44995.791666666664</v>
      </c>
      <c r="C1662" s="1" t="str">
        <f t="shared" si="50"/>
        <v>03-2023</v>
      </c>
      <c r="D1662" s="2">
        <f t="shared" si="51"/>
        <v>10</v>
      </c>
      <c r="E1662" t="s">
        <v>18</v>
      </c>
      <c r="F1662" t="s">
        <v>14</v>
      </c>
      <c r="G1662" t="s">
        <v>15</v>
      </c>
      <c r="H1662" s="2">
        <v>60480</v>
      </c>
      <c r="I1662" s="2">
        <v>2</v>
      </c>
      <c r="J1662" s="2">
        <v>139612</v>
      </c>
      <c r="K1662" s="2">
        <v>25558</v>
      </c>
      <c r="L1662" s="2">
        <v>10</v>
      </c>
      <c r="M1662" t="str">
        <f>IF(Revv_bike_sales_data[[#This Row],[delivery_days]]&lt;=7, "Yes", "No")</f>
        <v>No</v>
      </c>
      <c r="N1662" t="s">
        <v>16</v>
      </c>
      <c r="O1662" s="2">
        <v>114054</v>
      </c>
    </row>
    <row r="1663" spans="1:15" x14ac:dyDescent="0.3">
      <c r="A1663" s="2">
        <v>1653</v>
      </c>
      <c r="B1663" s="1">
        <v>44995.833333333336</v>
      </c>
      <c r="C1663" s="1" t="str">
        <f t="shared" si="50"/>
        <v>03-2023</v>
      </c>
      <c r="D1663" s="2">
        <f t="shared" si="51"/>
        <v>10</v>
      </c>
      <c r="E1663" t="s">
        <v>18</v>
      </c>
      <c r="F1663" t="s">
        <v>14</v>
      </c>
      <c r="G1663" t="s">
        <v>15</v>
      </c>
      <c r="H1663" s="2">
        <v>57282</v>
      </c>
      <c r="I1663" s="2">
        <v>3</v>
      </c>
      <c r="J1663" s="2">
        <v>173640</v>
      </c>
      <c r="K1663" s="2">
        <v>112771</v>
      </c>
      <c r="L1663" s="2">
        <v>1</v>
      </c>
      <c r="M1663" t="str">
        <f>IF(Revv_bike_sales_data[[#This Row],[delivery_days]]&lt;=7, "Yes", "No")</f>
        <v>Yes</v>
      </c>
      <c r="N1663" t="s">
        <v>16</v>
      </c>
      <c r="O1663" s="2">
        <v>60869</v>
      </c>
    </row>
    <row r="1664" spans="1:15" x14ac:dyDescent="0.3">
      <c r="A1664" s="2">
        <v>1654</v>
      </c>
      <c r="B1664" s="1">
        <v>44995.875</v>
      </c>
      <c r="C1664" s="1" t="str">
        <f t="shared" si="50"/>
        <v>03-2023</v>
      </c>
      <c r="D1664" s="2">
        <f t="shared" si="51"/>
        <v>10</v>
      </c>
      <c r="E1664" t="s">
        <v>13</v>
      </c>
      <c r="F1664" t="s">
        <v>14</v>
      </c>
      <c r="G1664" t="s">
        <v>20</v>
      </c>
      <c r="H1664" s="2">
        <v>34729</v>
      </c>
      <c r="I1664" s="2">
        <v>8</v>
      </c>
      <c r="J1664" s="2">
        <v>28934</v>
      </c>
      <c r="K1664" s="2">
        <v>15526</v>
      </c>
      <c r="L1664" s="2">
        <v>11</v>
      </c>
      <c r="M1664" t="str">
        <f>IF(Revv_bike_sales_data[[#This Row],[delivery_days]]&lt;=7, "Yes", "No")</f>
        <v>No</v>
      </c>
      <c r="N1664" t="s">
        <v>16</v>
      </c>
      <c r="O1664" s="2">
        <v>13408</v>
      </c>
    </row>
    <row r="1665" spans="1:15" x14ac:dyDescent="0.3">
      <c r="A1665" s="2">
        <v>1655</v>
      </c>
      <c r="B1665" s="1">
        <v>44995.916666666664</v>
      </c>
      <c r="C1665" s="1" t="str">
        <f t="shared" si="50"/>
        <v>03-2023</v>
      </c>
      <c r="D1665" s="2">
        <f t="shared" si="51"/>
        <v>10</v>
      </c>
      <c r="E1665" t="s">
        <v>13</v>
      </c>
      <c r="F1665" t="s">
        <v>14</v>
      </c>
      <c r="G1665" t="s">
        <v>20</v>
      </c>
      <c r="H1665" s="2">
        <v>96882</v>
      </c>
      <c r="I1665" s="2">
        <v>8</v>
      </c>
      <c r="J1665" s="2">
        <v>101945</v>
      </c>
      <c r="K1665" s="2">
        <v>132495</v>
      </c>
      <c r="L1665" s="2">
        <v>11</v>
      </c>
      <c r="M1665" t="str">
        <f>IF(Revv_bike_sales_data[[#This Row],[delivery_days]]&lt;=7, "Yes", "No")</f>
        <v>No</v>
      </c>
      <c r="N1665" t="s">
        <v>16</v>
      </c>
      <c r="O1665" s="2">
        <v>-30550</v>
      </c>
    </row>
    <row r="1666" spans="1:15" x14ac:dyDescent="0.3">
      <c r="A1666" s="2">
        <v>1656</v>
      </c>
      <c r="B1666" s="1">
        <v>44995.958333333336</v>
      </c>
      <c r="C1666" s="1" t="str">
        <f t="shared" si="50"/>
        <v>03-2023</v>
      </c>
      <c r="D1666" s="2">
        <f t="shared" si="51"/>
        <v>10</v>
      </c>
      <c r="E1666" t="s">
        <v>22</v>
      </c>
      <c r="F1666" t="s">
        <v>14</v>
      </c>
      <c r="G1666" t="s">
        <v>19</v>
      </c>
      <c r="H1666" s="2">
        <v>53944</v>
      </c>
      <c r="I1666" s="2">
        <v>1</v>
      </c>
      <c r="J1666" s="2">
        <v>155443</v>
      </c>
      <c r="K1666" s="2">
        <v>139075</v>
      </c>
      <c r="L1666" s="2">
        <v>9</v>
      </c>
      <c r="M1666" t="str">
        <f>IF(Revv_bike_sales_data[[#This Row],[delivery_days]]&lt;=7, "Yes", "No")</f>
        <v>No</v>
      </c>
      <c r="N1666" t="s">
        <v>16</v>
      </c>
      <c r="O1666" s="2">
        <v>16368</v>
      </c>
    </row>
    <row r="1667" spans="1:15" x14ac:dyDescent="0.3">
      <c r="A1667" s="2">
        <v>1657</v>
      </c>
      <c r="B1667" s="1">
        <v>44996</v>
      </c>
      <c r="C1667" s="1" t="str">
        <f t="shared" si="50"/>
        <v>03-2023</v>
      </c>
      <c r="D1667" s="2">
        <f t="shared" si="51"/>
        <v>10</v>
      </c>
      <c r="E1667" t="s">
        <v>22</v>
      </c>
      <c r="F1667" t="s">
        <v>14</v>
      </c>
      <c r="G1667" t="s">
        <v>21</v>
      </c>
      <c r="H1667" s="2">
        <v>35536</v>
      </c>
      <c r="I1667" s="2">
        <v>4</v>
      </c>
      <c r="J1667" s="2">
        <v>121946</v>
      </c>
      <c r="K1667" s="2">
        <v>16753</v>
      </c>
      <c r="L1667" s="2">
        <v>2</v>
      </c>
      <c r="M1667" t="str">
        <f>IF(Revv_bike_sales_data[[#This Row],[delivery_days]]&lt;=7, "Yes", "No")</f>
        <v>Yes</v>
      </c>
      <c r="N1667" t="s">
        <v>16</v>
      </c>
      <c r="O1667" s="2">
        <v>105193</v>
      </c>
    </row>
    <row r="1668" spans="1:15" x14ac:dyDescent="0.3">
      <c r="A1668" s="2">
        <v>1658</v>
      </c>
      <c r="B1668" s="1">
        <v>44996.041666666664</v>
      </c>
      <c r="C1668" s="1" t="str">
        <f t="shared" si="50"/>
        <v>03-2023</v>
      </c>
      <c r="D1668" s="2">
        <f t="shared" si="51"/>
        <v>10</v>
      </c>
      <c r="E1668" t="s">
        <v>18</v>
      </c>
      <c r="F1668" t="s">
        <v>14</v>
      </c>
      <c r="G1668" t="s">
        <v>20</v>
      </c>
      <c r="H1668" s="2">
        <v>39822</v>
      </c>
      <c r="I1668" s="2">
        <v>0</v>
      </c>
      <c r="J1668" s="2">
        <v>121344</v>
      </c>
      <c r="K1668" s="2">
        <v>41248</v>
      </c>
      <c r="L1668" s="2">
        <v>7</v>
      </c>
      <c r="M1668" t="str">
        <f>IF(Revv_bike_sales_data[[#This Row],[delivery_days]]&lt;=7, "Yes", "No")</f>
        <v>Yes</v>
      </c>
      <c r="N1668" t="s">
        <v>24</v>
      </c>
      <c r="O1668" s="2">
        <v>80096</v>
      </c>
    </row>
    <row r="1669" spans="1:15" x14ac:dyDescent="0.3">
      <c r="A1669" s="2">
        <v>1659</v>
      </c>
      <c r="B1669" s="1">
        <v>44996.083333333336</v>
      </c>
      <c r="C1669" s="1" t="str">
        <f t="shared" si="50"/>
        <v>03-2023</v>
      </c>
      <c r="D1669" s="2">
        <f t="shared" si="51"/>
        <v>10</v>
      </c>
      <c r="E1669" t="s">
        <v>25</v>
      </c>
      <c r="F1669" t="s">
        <v>14</v>
      </c>
      <c r="G1669" t="s">
        <v>21</v>
      </c>
      <c r="H1669" s="2">
        <v>27667</v>
      </c>
      <c r="I1669" s="2">
        <v>3</v>
      </c>
      <c r="J1669" s="2">
        <v>164244</v>
      </c>
      <c r="K1669" s="2">
        <v>29656</v>
      </c>
      <c r="L1669" s="2">
        <v>3</v>
      </c>
      <c r="M1669" t="str">
        <f>IF(Revv_bike_sales_data[[#This Row],[delivery_days]]&lt;=7, "Yes", "No")</f>
        <v>Yes</v>
      </c>
      <c r="N1669" t="s">
        <v>16</v>
      </c>
      <c r="O1669" s="2">
        <v>134588</v>
      </c>
    </row>
    <row r="1670" spans="1:15" x14ac:dyDescent="0.3">
      <c r="A1670" s="2">
        <v>1660</v>
      </c>
      <c r="B1670" s="1">
        <v>44996.125</v>
      </c>
      <c r="C1670" s="1" t="str">
        <f t="shared" si="50"/>
        <v>03-2023</v>
      </c>
      <c r="D1670" s="2">
        <f t="shared" si="51"/>
        <v>10</v>
      </c>
      <c r="E1670" t="s">
        <v>13</v>
      </c>
      <c r="F1670" t="s">
        <v>23</v>
      </c>
      <c r="G1670" t="s">
        <v>21</v>
      </c>
      <c r="H1670" s="2">
        <v>52167</v>
      </c>
      <c r="I1670" s="2">
        <v>1</v>
      </c>
      <c r="J1670" s="2">
        <v>52358</v>
      </c>
      <c r="K1670" s="2">
        <v>38266</v>
      </c>
      <c r="L1670" s="2">
        <v>14</v>
      </c>
      <c r="M1670" t="str">
        <f>IF(Revv_bike_sales_data[[#This Row],[delivery_days]]&lt;=7, "Yes", "No")</f>
        <v>No</v>
      </c>
      <c r="N1670" t="s">
        <v>16</v>
      </c>
      <c r="O1670" s="2">
        <v>14092</v>
      </c>
    </row>
    <row r="1671" spans="1:15" x14ac:dyDescent="0.3">
      <c r="A1671" s="2">
        <v>1661</v>
      </c>
      <c r="B1671" s="1">
        <v>44996.166666666664</v>
      </c>
      <c r="C1671" s="1" t="str">
        <f t="shared" si="50"/>
        <v>03-2023</v>
      </c>
      <c r="D1671" s="2">
        <f t="shared" si="51"/>
        <v>10</v>
      </c>
      <c r="E1671" t="s">
        <v>22</v>
      </c>
      <c r="F1671" t="s">
        <v>14</v>
      </c>
      <c r="G1671" t="s">
        <v>20</v>
      </c>
      <c r="H1671" s="2">
        <v>95027</v>
      </c>
      <c r="I1671" s="2">
        <v>7</v>
      </c>
      <c r="J1671" s="2">
        <v>154774</v>
      </c>
      <c r="K1671" s="2">
        <v>79555</v>
      </c>
      <c r="L1671" s="2">
        <v>2</v>
      </c>
      <c r="M1671" t="str">
        <f>IF(Revv_bike_sales_data[[#This Row],[delivery_days]]&lt;=7, "Yes", "No")</f>
        <v>Yes</v>
      </c>
      <c r="N1671" t="s">
        <v>16</v>
      </c>
      <c r="O1671" s="2">
        <v>75219</v>
      </c>
    </row>
    <row r="1672" spans="1:15" x14ac:dyDescent="0.3">
      <c r="A1672" s="2">
        <v>1662</v>
      </c>
      <c r="B1672" s="1">
        <v>44996.208333333336</v>
      </c>
      <c r="C1672" s="1" t="str">
        <f t="shared" si="50"/>
        <v>03-2023</v>
      </c>
      <c r="D1672" s="2">
        <f t="shared" si="51"/>
        <v>10</v>
      </c>
      <c r="E1672" t="s">
        <v>18</v>
      </c>
      <c r="F1672" t="s">
        <v>23</v>
      </c>
      <c r="G1672" t="s">
        <v>15</v>
      </c>
      <c r="H1672" s="2">
        <v>83837</v>
      </c>
      <c r="I1672" s="2">
        <v>3</v>
      </c>
      <c r="J1672" s="2">
        <v>44763</v>
      </c>
      <c r="K1672" s="2">
        <v>77995</v>
      </c>
      <c r="L1672" s="2">
        <v>13</v>
      </c>
      <c r="M1672" t="str">
        <f>IF(Revv_bike_sales_data[[#This Row],[delivery_days]]&lt;=7, "Yes", "No")</f>
        <v>No</v>
      </c>
      <c r="N1672" t="s">
        <v>16</v>
      </c>
      <c r="O1672" s="2">
        <v>-33232</v>
      </c>
    </row>
    <row r="1673" spans="1:15" x14ac:dyDescent="0.3">
      <c r="A1673" s="2">
        <v>1663</v>
      </c>
      <c r="B1673" s="1">
        <v>44996.25</v>
      </c>
      <c r="C1673" s="1" t="str">
        <f t="shared" si="50"/>
        <v>03-2023</v>
      </c>
      <c r="D1673" s="2">
        <f t="shared" si="51"/>
        <v>10</v>
      </c>
      <c r="E1673" t="s">
        <v>22</v>
      </c>
      <c r="F1673" t="s">
        <v>23</v>
      </c>
      <c r="G1673" t="s">
        <v>19</v>
      </c>
      <c r="H1673" s="2">
        <v>51968</v>
      </c>
      <c r="I1673" s="2">
        <v>4</v>
      </c>
      <c r="J1673" s="2">
        <v>110997</v>
      </c>
      <c r="K1673" s="2">
        <v>90756</v>
      </c>
      <c r="L1673" s="2">
        <v>4</v>
      </c>
      <c r="M1673" t="str">
        <f>IF(Revv_bike_sales_data[[#This Row],[delivery_days]]&lt;=7, "Yes", "No")</f>
        <v>Yes</v>
      </c>
      <c r="N1673" t="s">
        <v>24</v>
      </c>
      <c r="O1673" s="2">
        <v>20241</v>
      </c>
    </row>
    <row r="1674" spans="1:15" x14ac:dyDescent="0.3">
      <c r="A1674" s="2">
        <v>1664</v>
      </c>
      <c r="B1674" s="1">
        <v>44996.291666666664</v>
      </c>
      <c r="C1674" s="1" t="str">
        <f t="shared" si="50"/>
        <v>03-2023</v>
      </c>
      <c r="D1674" s="2">
        <f t="shared" si="51"/>
        <v>10</v>
      </c>
      <c r="E1674" t="s">
        <v>13</v>
      </c>
      <c r="F1674" t="s">
        <v>14</v>
      </c>
      <c r="G1674" t="s">
        <v>21</v>
      </c>
      <c r="H1674" s="2">
        <v>73394</v>
      </c>
      <c r="I1674" s="2">
        <v>3</v>
      </c>
      <c r="J1674" s="2">
        <v>92975</v>
      </c>
      <c r="K1674" s="2">
        <v>98574</v>
      </c>
      <c r="L1674" s="2">
        <v>7</v>
      </c>
      <c r="M1674" t="str">
        <f>IF(Revv_bike_sales_data[[#This Row],[delivery_days]]&lt;=7, "Yes", "No")</f>
        <v>Yes</v>
      </c>
      <c r="N1674" t="s">
        <v>16</v>
      </c>
      <c r="O1674" s="2">
        <v>-5599</v>
      </c>
    </row>
    <row r="1675" spans="1:15" x14ac:dyDescent="0.3">
      <c r="A1675" s="2">
        <v>1665</v>
      </c>
      <c r="B1675" s="1">
        <v>44996.333333333336</v>
      </c>
      <c r="C1675" s="1" t="str">
        <f t="shared" ref="C1675:C1738" si="52">TEXT(B1675,"mm-yyyy")</f>
        <v>03-2023</v>
      </c>
      <c r="D1675" s="2">
        <f t="shared" ref="D1675:D1738" si="53">WEEKNUM(B1675)</f>
        <v>10</v>
      </c>
      <c r="E1675" t="s">
        <v>13</v>
      </c>
      <c r="F1675" t="s">
        <v>14</v>
      </c>
      <c r="G1675" t="s">
        <v>15</v>
      </c>
      <c r="H1675" s="2">
        <v>53584</v>
      </c>
      <c r="I1675" s="2">
        <v>4</v>
      </c>
      <c r="J1675" s="2">
        <v>163876</v>
      </c>
      <c r="K1675" s="2">
        <v>93277</v>
      </c>
      <c r="L1675" s="2">
        <v>7</v>
      </c>
      <c r="M1675" t="str">
        <f>IF(Revv_bike_sales_data[[#This Row],[delivery_days]]&lt;=7, "Yes", "No")</f>
        <v>Yes</v>
      </c>
      <c r="N1675" t="s">
        <v>16</v>
      </c>
      <c r="O1675" s="2">
        <v>70599</v>
      </c>
    </row>
    <row r="1676" spans="1:15" x14ac:dyDescent="0.3">
      <c r="A1676" s="2">
        <v>1666</v>
      </c>
      <c r="B1676" s="1">
        <v>44996.375</v>
      </c>
      <c r="C1676" s="1" t="str">
        <f t="shared" si="52"/>
        <v>03-2023</v>
      </c>
      <c r="D1676" s="2">
        <f t="shared" si="53"/>
        <v>10</v>
      </c>
      <c r="E1676" t="s">
        <v>17</v>
      </c>
      <c r="F1676" t="s">
        <v>14</v>
      </c>
      <c r="G1676" t="s">
        <v>20</v>
      </c>
      <c r="H1676" s="2">
        <v>63638</v>
      </c>
      <c r="I1676" s="2">
        <v>4</v>
      </c>
      <c r="J1676" s="2">
        <v>112189</v>
      </c>
      <c r="K1676" s="2">
        <v>85377</v>
      </c>
      <c r="L1676" s="2">
        <v>9</v>
      </c>
      <c r="M1676" t="str">
        <f>IF(Revv_bike_sales_data[[#This Row],[delivery_days]]&lt;=7, "Yes", "No")</f>
        <v>No</v>
      </c>
      <c r="N1676" t="s">
        <v>16</v>
      </c>
      <c r="O1676" s="2">
        <v>26812</v>
      </c>
    </row>
    <row r="1677" spans="1:15" x14ac:dyDescent="0.3">
      <c r="A1677" s="2">
        <v>1667</v>
      </c>
      <c r="B1677" s="1">
        <v>44996.416666666664</v>
      </c>
      <c r="C1677" s="1" t="str">
        <f t="shared" si="52"/>
        <v>03-2023</v>
      </c>
      <c r="D1677" s="2">
        <f t="shared" si="53"/>
        <v>10</v>
      </c>
      <c r="E1677" t="s">
        <v>25</v>
      </c>
      <c r="F1677" t="s">
        <v>23</v>
      </c>
      <c r="G1677" t="s">
        <v>21</v>
      </c>
      <c r="H1677" s="2">
        <v>23088</v>
      </c>
      <c r="I1677" s="2">
        <v>4</v>
      </c>
      <c r="J1677" s="2">
        <v>112507</v>
      </c>
      <c r="K1677" s="2">
        <v>117345</v>
      </c>
      <c r="L1677" s="2">
        <v>12</v>
      </c>
      <c r="M1677" t="str">
        <f>IF(Revv_bike_sales_data[[#This Row],[delivery_days]]&lt;=7, "Yes", "No")</f>
        <v>No</v>
      </c>
      <c r="N1677" t="s">
        <v>16</v>
      </c>
      <c r="O1677" s="2">
        <v>-4838</v>
      </c>
    </row>
    <row r="1678" spans="1:15" x14ac:dyDescent="0.3">
      <c r="A1678" s="2">
        <v>1668</v>
      </c>
      <c r="B1678" s="1">
        <v>44996.458333333336</v>
      </c>
      <c r="C1678" s="1" t="str">
        <f t="shared" si="52"/>
        <v>03-2023</v>
      </c>
      <c r="D1678" s="2">
        <f t="shared" si="53"/>
        <v>10</v>
      </c>
      <c r="E1678" t="s">
        <v>17</v>
      </c>
      <c r="F1678" t="s">
        <v>14</v>
      </c>
      <c r="G1678" t="s">
        <v>21</v>
      </c>
      <c r="H1678" s="2">
        <v>63401</v>
      </c>
      <c r="I1678" s="2">
        <v>2</v>
      </c>
      <c r="J1678" s="2">
        <v>92525</v>
      </c>
      <c r="K1678" s="2">
        <v>111111</v>
      </c>
      <c r="L1678" s="2">
        <v>13</v>
      </c>
      <c r="M1678" t="str">
        <f>IF(Revv_bike_sales_data[[#This Row],[delivery_days]]&lt;=7, "Yes", "No")</f>
        <v>No</v>
      </c>
      <c r="N1678" t="s">
        <v>16</v>
      </c>
      <c r="O1678" s="2">
        <v>-18586</v>
      </c>
    </row>
    <row r="1679" spans="1:15" x14ac:dyDescent="0.3">
      <c r="A1679" s="2">
        <v>1669</v>
      </c>
      <c r="B1679" s="1">
        <v>44996.5</v>
      </c>
      <c r="C1679" s="1" t="str">
        <f t="shared" si="52"/>
        <v>03-2023</v>
      </c>
      <c r="D1679" s="2">
        <f t="shared" si="53"/>
        <v>10</v>
      </c>
      <c r="E1679" t="s">
        <v>18</v>
      </c>
      <c r="F1679" t="s">
        <v>14</v>
      </c>
      <c r="G1679" t="s">
        <v>21</v>
      </c>
      <c r="H1679" s="2">
        <v>18171</v>
      </c>
      <c r="I1679" s="2">
        <v>6</v>
      </c>
      <c r="J1679" s="2">
        <v>124248</v>
      </c>
      <c r="K1679" s="2">
        <v>80402</v>
      </c>
      <c r="L1679" s="2">
        <v>3</v>
      </c>
      <c r="M1679" t="str">
        <f>IF(Revv_bike_sales_data[[#This Row],[delivery_days]]&lt;=7, "Yes", "No")</f>
        <v>Yes</v>
      </c>
      <c r="N1679" t="s">
        <v>24</v>
      </c>
      <c r="O1679" s="2">
        <v>43846</v>
      </c>
    </row>
    <row r="1680" spans="1:15" x14ac:dyDescent="0.3">
      <c r="A1680" s="2">
        <v>1670</v>
      </c>
      <c r="B1680" s="1">
        <v>44996.541666666664</v>
      </c>
      <c r="C1680" s="1" t="str">
        <f t="shared" si="52"/>
        <v>03-2023</v>
      </c>
      <c r="D1680" s="2">
        <f t="shared" si="53"/>
        <v>10</v>
      </c>
      <c r="E1680" t="s">
        <v>22</v>
      </c>
      <c r="F1680" t="s">
        <v>14</v>
      </c>
      <c r="G1680" t="s">
        <v>15</v>
      </c>
      <c r="H1680" s="2">
        <v>83538</v>
      </c>
      <c r="I1680" s="2">
        <v>2</v>
      </c>
      <c r="J1680" s="2">
        <v>49604</v>
      </c>
      <c r="K1680" s="2">
        <v>69176</v>
      </c>
      <c r="L1680" s="2">
        <v>7</v>
      </c>
      <c r="M1680" t="str">
        <f>IF(Revv_bike_sales_data[[#This Row],[delivery_days]]&lt;=7, "Yes", "No")</f>
        <v>Yes</v>
      </c>
      <c r="N1680" t="s">
        <v>16</v>
      </c>
      <c r="O1680" s="2">
        <v>-19572</v>
      </c>
    </row>
    <row r="1681" spans="1:15" x14ac:dyDescent="0.3">
      <c r="A1681" s="2">
        <v>1671</v>
      </c>
      <c r="B1681" s="1">
        <v>44996.583333333336</v>
      </c>
      <c r="C1681" s="1" t="str">
        <f t="shared" si="52"/>
        <v>03-2023</v>
      </c>
      <c r="D1681" s="2">
        <f t="shared" si="53"/>
        <v>10</v>
      </c>
      <c r="E1681" t="s">
        <v>18</v>
      </c>
      <c r="F1681" t="s">
        <v>14</v>
      </c>
      <c r="G1681" t="s">
        <v>15</v>
      </c>
      <c r="H1681" s="2">
        <v>91164</v>
      </c>
      <c r="I1681" s="2">
        <v>1</v>
      </c>
      <c r="J1681" s="2">
        <v>141585</v>
      </c>
      <c r="K1681" s="2">
        <v>138727</v>
      </c>
      <c r="L1681" s="2">
        <v>6</v>
      </c>
      <c r="M1681" t="str">
        <f>IF(Revv_bike_sales_data[[#This Row],[delivery_days]]&lt;=7, "Yes", "No")</f>
        <v>Yes</v>
      </c>
      <c r="N1681" t="s">
        <v>16</v>
      </c>
      <c r="O1681" s="2">
        <v>2858</v>
      </c>
    </row>
    <row r="1682" spans="1:15" x14ac:dyDescent="0.3">
      <c r="A1682" s="2">
        <v>1672</v>
      </c>
      <c r="B1682" s="1">
        <v>44996.625</v>
      </c>
      <c r="C1682" s="1" t="str">
        <f t="shared" si="52"/>
        <v>03-2023</v>
      </c>
      <c r="D1682" s="2">
        <f t="shared" si="53"/>
        <v>10</v>
      </c>
      <c r="E1682" t="s">
        <v>13</v>
      </c>
      <c r="F1682" t="s">
        <v>14</v>
      </c>
      <c r="G1682" t="s">
        <v>15</v>
      </c>
      <c r="H1682" s="2">
        <v>32145</v>
      </c>
      <c r="I1682" s="2">
        <v>2</v>
      </c>
      <c r="J1682" s="2">
        <v>178207</v>
      </c>
      <c r="K1682" s="2">
        <v>138747</v>
      </c>
      <c r="L1682" s="2">
        <v>10</v>
      </c>
      <c r="M1682" t="str">
        <f>IF(Revv_bike_sales_data[[#This Row],[delivery_days]]&lt;=7, "Yes", "No")</f>
        <v>No</v>
      </c>
      <c r="N1682" t="s">
        <v>16</v>
      </c>
      <c r="O1682" s="2">
        <v>39460</v>
      </c>
    </row>
    <row r="1683" spans="1:15" x14ac:dyDescent="0.3">
      <c r="A1683" s="2">
        <v>1673</v>
      </c>
      <c r="B1683" s="1">
        <v>44996.666666666664</v>
      </c>
      <c r="C1683" s="1" t="str">
        <f t="shared" si="52"/>
        <v>03-2023</v>
      </c>
      <c r="D1683" s="2">
        <f t="shared" si="53"/>
        <v>10</v>
      </c>
      <c r="E1683" t="s">
        <v>17</v>
      </c>
      <c r="F1683" t="s">
        <v>14</v>
      </c>
      <c r="G1683" t="s">
        <v>21</v>
      </c>
      <c r="H1683" s="2">
        <v>8137</v>
      </c>
      <c r="I1683" s="2">
        <v>2</v>
      </c>
      <c r="J1683" s="2">
        <v>154716</v>
      </c>
      <c r="K1683" s="2">
        <v>56733</v>
      </c>
      <c r="L1683" s="2">
        <v>7</v>
      </c>
      <c r="M1683" t="str">
        <f>IF(Revv_bike_sales_data[[#This Row],[delivery_days]]&lt;=7, "Yes", "No")</f>
        <v>Yes</v>
      </c>
      <c r="N1683" t="s">
        <v>24</v>
      </c>
      <c r="O1683" s="2">
        <v>97983</v>
      </c>
    </row>
    <row r="1684" spans="1:15" x14ac:dyDescent="0.3">
      <c r="A1684" s="2">
        <v>1674</v>
      </c>
      <c r="B1684" s="1">
        <v>44996.708333333336</v>
      </c>
      <c r="C1684" s="1" t="str">
        <f t="shared" si="52"/>
        <v>03-2023</v>
      </c>
      <c r="D1684" s="2">
        <f t="shared" si="53"/>
        <v>10</v>
      </c>
      <c r="E1684" t="s">
        <v>17</v>
      </c>
      <c r="F1684" t="s">
        <v>14</v>
      </c>
      <c r="G1684" t="s">
        <v>21</v>
      </c>
      <c r="H1684" s="2">
        <v>1160</v>
      </c>
      <c r="I1684" s="2">
        <v>7</v>
      </c>
      <c r="J1684" s="2">
        <v>35680</v>
      </c>
      <c r="K1684" s="2">
        <v>29418</v>
      </c>
      <c r="L1684" s="2">
        <v>7</v>
      </c>
      <c r="M1684" t="str">
        <f>IF(Revv_bike_sales_data[[#This Row],[delivery_days]]&lt;=7, "Yes", "No")</f>
        <v>Yes</v>
      </c>
      <c r="N1684" t="s">
        <v>16</v>
      </c>
      <c r="O1684" s="2">
        <v>6262</v>
      </c>
    </row>
    <row r="1685" spans="1:15" x14ac:dyDescent="0.3">
      <c r="A1685" s="2">
        <v>1675</v>
      </c>
      <c r="B1685" s="1">
        <v>44996.75</v>
      </c>
      <c r="C1685" s="1" t="str">
        <f t="shared" si="52"/>
        <v>03-2023</v>
      </c>
      <c r="D1685" s="2">
        <f t="shared" si="53"/>
        <v>10</v>
      </c>
      <c r="E1685" t="s">
        <v>17</v>
      </c>
      <c r="F1685" t="s">
        <v>23</v>
      </c>
      <c r="G1685" t="s">
        <v>19</v>
      </c>
      <c r="H1685" s="2">
        <v>7422</v>
      </c>
      <c r="I1685" s="2">
        <v>3</v>
      </c>
      <c r="J1685" s="2">
        <v>138508</v>
      </c>
      <c r="K1685" s="2">
        <v>138422</v>
      </c>
      <c r="L1685" s="2">
        <v>10</v>
      </c>
      <c r="M1685" t="str">
        <f>IF(Revv_bike_sales_data[[#This Row],[delivery_days]]&lt;=7, "Yes", "No")</f>
        <v>No</v>
      </c>
      <c r="N1685" t="s">
        <v>16</v>
      </c>
      <c r="O1685" s="2">
        <v>86</v>
      </c>
    </row>
    <row r="1686" spans="1:15" x14ac:dyDescent="0.3">
      <c r="A1686" s="2">
        <v>1676</v>
      </c>
      <c r="B1686" s="1">
        <v>44996.791666666664</v>
      </c>
      <c r="C1686" s="1" t="str">
        <f t="shared" si="52"/>
        <v>03-2023</v>
      </c>
      <c r="D1686" s="2">
        <f t="shared" si="53"/>
        <v>10</v>
      </c>
      <c r="E1686" t="s">
        <v>18</v>
      </c>
      <c r="F1686" t="s">
        <v>14</v>
      </c>
      <c r="G1686" t="s">
        <v>19</v>
      </c>
      <c r="H1686" s="2">
        <v>94197</v>
      </c>
      <c r="I1686" s="2">
        <v>2</v>
      </c>
      <c r="J1686" s="2">
        <v>120619</v>
      </c>
      <c r="K1686" s="2">
        <v>52185</v>
      </c>
      <c r="L1686" s="2">
        <v>5</v>
      </c>
      <c r="M1686" t="str">
        <f>IF(Revv_bike_sales_data[[#This Row],[delivery_days]]&lt;=7, "Yes", "No")</f>
        <v>Yes</v>
      </c>
      <c r="N1686" t="s">
        <v>16</v>
      </c>
      <c r="O1686" s="2">
        <v>68434</v>
      </c>
    </row>
    <row r="1687" spans="1:15" x14ac:dyDescent="0.3">
      <c r="A1687" s="2">
        <v>1677</v>
      </c>
      <c r="B1687" s="1">
        <v>44996.833333333336</v>
      </c>
      <c r="C1687" s="1" t="str">
        <f t="shared" si="52"/>
        <v>03-2023</v>
      </c>
      <c r="D1687" s="2">
        <f t="shared" si="53"/>
        <v>10</v>
      </c>
      <c r="E1687" t="s">
        <v>13</v>
      </c>
      <c r="F1687" t="s">
        <v>23</v>
      </c>
      <c r="G1687" t="s">
        <v>15</v>
      </c>
      <c r="H1687" s="2">
        <v>45221</v>
      </c>
      <c r="I1687" s="2">
        <v>9</v>
      </c>
      <c r="J1687" s="2">
        <v>80037</v>
      </c>
      <c r="K1687" s="2">
        <v>56745</v>
      </c>
      <c r="L1687" s="2">
        <v>9</v>
      </c>
      <c r="M1687" t="str">
        <f>IF(Revv_bike_sales_data[[#This Row],[delivery_days]]&lt;=7, "Yes", "No")</f>
        <v>No</v>
      </c>
      <c r="N1687" t="s">
        <v>16</v>
      </c>
      <c r="O1687" s="2">
        <v>23292</v>
      </c>
    </row>
    <row r="1688" spans="1:15" x14ac:dyDescent="0.3">
      <c r="A1688" s="2">
        <v>1678</v>
      </c>
      <c r="B1688" s="1">
        <v>44996.875</v>
      </c>
      <c r="C1688" s="1" t="str">
        <f t="shared" si="52"/>
        <v>03-2023</v>
      </c>
      <c r="D1688" s="2">
        <f t="shared" si="53"/>
        <v>10</v>
      </c>
      <c r="E1688" t="s">
        <v>22</v>
      </c>
      <c r="F1688" t="s">
        <v>14</v>
      </c>
      <c r="G1688" t="s">
        <v>15</v>
      </c>
      <c r="H1688" s="2">
        <v>57756</v>
      </c>
      <c r="I1688" s="2">
        <v>4</v>
      </c>
      <c r="J1688" s="2">
        <v>124969</v>
      </c>
      <c r="K1688" s="2">
        <v>108417</v>
      </c>
      <c r="L1688" s="2">
        <v>7</v>
      </c>
      <c r="M1688" t="str">
        <f>IF(Revv_bike_sales_data[[#This Row],[delivery_days]]&lt;=7, "Yes", "No")</f>
        <v>Yes</v>
      </c>
      <c r="N1688" t="s">
        <v>16</v>
      </c>
      <c r="O1688" s="2">
        <v>16552</v>
      </c>
    </row>
    <row r="1689" spans="1:15" x14ac:dyDescent="0.3">
      <c r="A1689" s="2">
        <v>1679</v>
      </c>
      <c r="B1689" s="1">
        <v>44996.916666666664</v>
      </c>
      <c r="C1689" s="1" t="str">
        <f t="shared" si="52"/>
        <v>03-2023</v>
      </c>
      <c r="D1689" s="2">
        <f t="shared" si="53"/>
        <v>10</v>
      </c>
      <c r="E1689" t="s">
        <v>22</v>
      </c>
      <c r="F1689" t="s">
        <v>14</v>
      </c>
      <c r="G1689" t="s">
        <v>20</v>
      </c>
      <c r="H1689" s="2">
        <v>70006</v>
      </c>
      <c r="I1689" s="2">
        <v>3</v>
      </c>
      <c r="J1689" s="2">
        <v>136115</v>
      </c>
      <c r="K1689" s="2">
        <v>68787</v>
      </c>
      <c r="L1689" s="2">
        <v>7</v>
      </c>
      <c r="M1689" t="str">
        <f>IF(Revv_bike_sales_data[[#This Row],[delivery_days]]&lt;=7, "Yes", "No")</f>
        <v>Yes</v>
      </c>
      <c r="N1689" t="s">
        <v>24</v>
      </c>
      <c r="O1689" s="2">
        <v>67328</v>
      </c>
    </row>
    <row r="1690" spans="1:15" x14ac:dyDescent="0.3">
      <c r="A1690" s="2">
        <v>1680</v>
      </c>
      <c r="B1690" s="1">
        <v>44996.958333333336</v>
      </c>
      <c r="C1690" s="1" t="str">
        <f t="shared" si="52"/>
        <v>03-2023</v>
      </c>
      <c r="D1690" s="2">
        <f t="shared" si="53"/>
        <v>10</v>
      </c>
      <c r="E1690" t="s">
        <v>18</v>
      </c>
      <c r="F1690" t="s">
        <v>14</v>
      </c>
      <c r="G1690" t="s">
        <v>15</v>
      </c>
      <c r="H1690" s="2">
        <v>69443</v>
      </c>
      <c r="I1690" s="2">
        <v>8</v>
      </c>
      <c r="J1690" s="2">
        <v>83914</v>
      </c>
      <c r="K1690" s="2">
        <v>95123</v>
      </c>
      <c r="L1690" s="2">
        <v>12</v>
      </c>
      <c r="M1690" t="str">
        <f>IF(Revv_bike_sales_data[[#This Row],[delivery_days]]&lt;=7, "Yes", "No")</f>
        <v>No</v>
      </c>
      <c r="N1690" t="s">
        <v>16</v>
      </c>
      <c r="O1690" s="2">
        <v>-11209</v>
      </c>
    </row>
    <row r="1691" spans="1:15" x14ac:dyDescent="0.3">
      <c r="A1691" s="2">
        <v>1681</v>
      </c>
      <c r="B1691" s="1">
        <v>44997</v>
      </c>
      <c r="C1691" s="1" t="str">
        <f t="shared" si="52"/>
        <v>03-2023</v>
      </c>
      <c r="D1691" s="2">
        <f t="shared" si="53"/>
        <v>11</v>
      </c>
      <c r="E1691" t="s">
        <v>17</v>
      </c>
      <c r="F1691" t="s">
        <v>14</v>
      </c>
      <c r="G1691" t="s">
        <v>19</v>
      </c>
      <c r="H1691" s="2">
        <v>28343</v>
      </c>
      <c r="I1691" s="2">
        <v>7</v>
      </c>
      <c r="J1691" s="2">
        <v>132255</v>
      </c>
      <c r="K1691" s="2">
        <v>67035</v>
      </c>
      <c r="L1691" s="2">
        <v>14</v>
      </c>
      <c r="M1691" t="str">
        <f>IF(Revv_bike_sales_data[[#This Row],[delivery_days]]&lt;=7, "Yes", "No")</f>
        <v>No</v>
      </c>
      <c r="N1691" t="s">
        <v>16</v>
      </c>
      <c r="O1691" s="2">
        <v>65220</v>
      </c>
    </row>
    <row r="1692" spans="1:15" x14ac:dyDescent="0.3">
      <c r="A1692" s="2">
        <v>1682</v>
      </c>
      <c r="B1692" s="1">
        <v>44997.041666666664</v>
      </c>
      <c r="C1692" s="1" t="str">
        <f t="shared" si="52"/>
        <v>03-2023</v>
      </c>
      <c r="D1692" s="2">
        <f t="shared" si="53"/>
        <v>11</v>
      </c>
      <c r="E1692" t="s">
        <v>25</v>
      </c>
      <c r="F1692" t="s">
        <v>14</v>
      </c>
      <c r="G1692" t="s">
        <v>19</v>
      </c>
      <c r="H1692" s="2">
        <v>9546</v>
      </c>
      <c r="I1692" s="2">
        <v>6</v>
      </c>
      <c r="J1692" s="2">
        <v>35349</v>
      </c>
      <c r="K1692" s="2">
        <v>102804</v>
      </c>
      <c r="L1692" s="2">
        <v>3</v>
      </c>
      <c r="M1692" t="str">
        <f>IF(Revv_bike_sales_data[[#This Row],[delivery_days]]&lt;=7, "Yes", "No")</f>
        <v>Yes</v>
      </c>
      <c r="N1692" t="s">
        <v>16</v>
      </c>
      <c r="O1692" s="2">
        <v>-67455</v>
      </c>
    </row>
    <row r="1693" spans="1:15" x14ac:dyDescent="0.3">
      <c r="A1693" s="2">
        <v>1683</v>
      </c>
      <c r="B1693" s="1">
        <v>44997.083333333336</v>
      </c>
      <c r="C1693" s="1" t="str">
        <f t="shared" si="52"/>
        <v>03-2023</v>
      </c>
      <c r="D1693" s="2">
        <f t="shared" si="53"/>
        <v>11</v>
      </c>
      <c r="E1693" t="s">
        <v>18</v>
      </c>
      <c r="F1693" t="s">
        <v>14</v>
      </c>
      <c r="G1693" t="s">
        <v>19</v>
      </c>
      <c r="H1693" s="2">
        <v>89836</v>
      </c>
      <c r="I1693" s="2">
        <v>7</v>
      </c>
      <c r="J1693" s="2">
        <v>53525</v>
      </c>
      <c r="K1693" s="2">
        <v>80984</v>
      </c>
      <c r="L1693" s="2">
        <v>1</v>
      </c>
      <c r="M1693" t="str">
        <f>IF(Revv_bike_sales_data[[#This Row],[delivery_days]]&lt;=7, "Yes", "No")</f>
        <v>Yes</v>
      </c>
      <c r="N1693" t="s">
        <v>16</v>
      </c>
      <c r="O1693" s="2">
        <v>-27459</v>
      </c>
    </row>
    <row r="1694" spans="1:15" x14ac:dyDescent="0.3">
      <c r="A1694" s="2">
        <v>1684</v>
      </c>
      <c r="B1694" s="1">
        <v>44997.125</v>
      </c>
      <c r="C1694" s="1" t="str">
        <f t="shared" si="52"/>
        <v>03-2023</v>
      </c>
      <c r="D1694" s="2">
        <f t="shared" si="53"/>
        <v>11</v>
      </c>
      <c r="E1694" t="s">
        <v>18</v>
      </c>
      <c r="F1694" t="s">
        <v>14</v>
      </c>
      <c r="G1694" t="s">
        <v>21</v>
      </c>
      <c r="H1694" s="2">
        <v>64485</v>
      </c>
      <c r="I1694" s="2">
        <v>4</v>
      </c>
      <c r="J1694" s="2">
        <v>30948</v>
      </c>
      <c r="K1694" s="2">
        <v>67462</v>
      </c>
      <c r="L1694" s="2">
        <v>14</v>
      </c>
      <c r="M1694" t="str">
        <f>IF(Revv_bike_sales_data[[#This Row],[delivery_days]]&lt;=7, "Yes", "No")</f>
        <v>No</v>
      </c>
      <c r="N1694" t="s">
        <v>16</v>
      </c>
      <c r="O1694" s="2">
        <v>-36514</v>
      </c>
    </row>
    <row r="1695" spans="1:15" x14ac:dyDescent="0.3">
      <c r="A1695" s="2">
        <v>1685</v>
      </c>
      <c r="B1695" s="1">
        <v>44997.166666666664</v>
      </c>
      <c r="C1695" s="1" t="str">
        <f t="shared" si="52"/>
        <v>03-2023</v>
      </c>
      <c r="D1695" s="2">
        <f t="shared" si="53"/>
        <v>11</v>
      </c>
      <c r="E1695" t="s">
        <v>13</v>
      </c>
      <c r="F1695" t="s">
        <v>23</v>
      </c>
      <c r="G1695" t="s">
        <v>21</v>
      </c>
      <c r="H1695" s="2">
        <v>80583</v>
      </c>
      <c r="I1695" s="2">
        <v>3</v>
      </c>
      <c r="J1695" s="2">
        <v>39498</v>
      </c>
      <c r="K1695" s="2">
        <v>52353</v>
      </c>
      <c r="L1695" s="2">
        <v>14</v>
      </c>
      <c r="M1695" t="str">
        <f>IF(Revv_bike_sales_data[[#This Row],[delivery_days]]&lt;=7, "Yes", "No")</f>
        <v>No</v>
      </c>
      <c r="N1695" t="s">
        <v>16</v>
      </c>
      <c r="O1695" s="2">
        <v>-12855</v>
      </c>
    </row>
    <row r="1696" spans="1:15" x14ac:dyDescent="0.3">
      <c r="A1696" s="2">
        <v>1686</v>
      </c>
      <c r="B1696" s="1">
        <v>44997.208333333336</v>
      </c>
      <c r="C1696" s="1" t="str">
        <f t="shared" si="52"/>
        <v>03-2023</v>
      </c>
      <c r="D1696" s="2">
        <f t="shared" si="53"/>
        <v>11</v>
      </c>
      <c r="E1696" t="s">
        <v>22</v>
      </c>
      <c r="F1696" t="s">
        <v>23</v>
      </c>
      <c r="G1696" t="s">
        <v>15</v>
      </c>
      <c r="H1696" s="2">
        <v>97425</v>
      </c>
      <c r="I1696" s="2">
        <v>6</v>
      </c>
      <c r="J1696" s="2">
        <v>175063</v>
      </c>
      <c r="K1696" s="2">
        <v>139785</v>
      </c>
      <c r="L1696" s="2">
        <v>5</v>
      </c>
      <c r="M1696" t="str">
        <f>IF(Revv_bike_sales_data[[#This Row],[delivery_days]]&lt;=7, "Yes", "No")</f>
        <v>Yes</v>
      </c>
      <c r="N1696" t="s">
        <v>24</v>
      </c>
      <c r="O1696" s="2">
        <v>35278</v>
      </c>
    </row>
    <row r="1697" spans="1:15" x14ac:dyDescent="0.3">
      <c r="A1697" s="2">
        <v>1687</v>
      </c>
      <c r="B1697" s="1">
        <v>44997.25</v>
      </c>
      <c r="C1697" s="1" t="str">
        <f t="shared" si="52"/>
        <v>03-2023</v>
      </c>
      <c r="D1697" s="2">
        <f t="shared" si="53"/>
        <v>11</v>
      </c>
      <c r="E1697" t="s">
        <v>18</v>
      </c>
      <c r="F1697" t="s">
        <v>14</v>
      </c>
      <c r="G1697" t="s">
        <v>20</v>
      </c>
      <c r="H1697" s="2">
        <v>30846</v>
      </c>
      <c r="I1697" s="2">
        <v>0</v>
      </c>
      <c r="J1697" s="2">
        <v>84790</v>
      </c>
      <c r="K1697" s="2">
        <v>126055</v>
      </c>
      <c r="L1697" s="2">
        <v>8</v>
      </c>
      <c r="M1697" t="str">
        <f>IF(Revv_bike_sales_data[[#This Row],[delivery_days]]&lt;=7, "Yes", "No")</f>
        <v>No</v>
      </c>
      <c r="N1697" t="s">
        <v>16</v>
      </c>
      <c r="O1697" s="2">
        <v>-41265</v>
      </c>
    </row>
    <row r="1698" spans="1:15" x14ac:dyDescent="0.3">
      <c r="A1698" s="2">
        <v>1688</v>
      </c>
      <c r="B1698" s="1">
        <v>44997.291666666664</v>
      </c>
      <c r="C1698" s="1" t="str">
        <f t="shared" si="52"/>
        <v>03-2023</v>
      </c>
      <c r="D1698" s="2">
        <f t="shared" si="53"/>
        <v>11</v>
      </c>
      <c r="E1698" t="s">
        <v>18</v>
      </c>
      <c r="F1698" t="s">
        <v>14</v>
      </c>
      <c r="G1698" t="s">
        <v>20</v>
      </c>
      <c r="H1698" s="2">
        <v>88784</v>
      </c>
      <c r="I1698" s="2">
        <v>5</v>
      </c>
      <c r="J1698" s="2">
        <v>163732</v>
      </c>
      <c r="K1698" s="2">
        <v>88644</v>
      </c>
      <c r="L1698" s="2">
        <v>5</v>
      </c>
      <c r="M1698" t="str">
        <f>IF(Revv_bike_sales_data[[#This Row],[delivery_days]]&lt;=7, "Yes", "No")</f>
        <v>Yes</v>
      </c>
      <c r="N1698" t="s">
        <v>16</v>
      </c>
      <c r="O1698" s="2">
        <v>75088</v>
      </c>
    </row>
    <row r="1699" spans="1:15" x14ac:dyDescent="0.3">
      <c r="A1699" s="2">
        <v>1689</v>
      </c>
      <c r="B1699" s="1">
        <v>44997.333333333336</v>
      </c>
      <c r="C1699" s="1" t="str">
        <f t="shared" si="52"/>
        <v>03-2023</v>
      </c>
      <c r="D1699" s="2">
        <f t="shared" si="53"/>
        <v>11</v>
      </c>
      <c r="E1699" t="s">
        <v>17</v>
      </c>
      <c r="F1699" t="s">
        <v>14</v>
      </c>
      <c r="G1699" t="s">
        <v>20</v>
      </c>
      <c r="H1699" s="2">
        <v>91884</v>
      </c>
      <c r="I1699" s="2">
        <v>7</v>
      </c>
      <c r="J1699" s="2">
        <v>51245</v>
      </c>
      <c r="K1699" s="2">
        <v>134097</v>
      </c>
      <c r="L1699" s="2">
        <v>10</v>
      </c>
      <c r="M1699" t="str">
        <f>IF(Revv_bike_sales_data[[#This Row],[delivery_days]]&lt;=7, "Yes", "No")</f>
        <v>No</v>
      </c>
      <c r="N1699" t="s">
        <v>16</v>
      </c>
      <c r="O1699" s="2">
        <v>-82852</v>
      </c>
    </row>
    <row r="1700" spans="1:15" x14ac:dyDescent="0.3">
      <c r="A1700" s="2">
        <v>1690</v>
      </c>
      <c r="B1700" s="1">
        <v>44997.375</v>
      </c>
      <c r="C1700" s="1" t="str">
        <f t="shared" si="52"/>
        <v>03-2023</v>
      </c>
      <c r="D1700" s="2">
        <f t="shared" si="53"/>
        <v>11</v>
      </c>
      <c r="E1700" t="s">
        <v>17</v>
      </c>
      <c r="F1700" t="s">
        <v>14</v>
      </c>
      <c r="G1700" t="s">
        <v>21</v>
      </c>
      <c r="H1700" s="2">
        <v>54026</v>
      </c>
      <c r="I1700" s="2">
        <v>6</v>
      </c>
      <c r="J1700" s="2">
        <v>156310</v>
      </c>
      <c r="K1700" s="2">
        <v>63302</v>
      </c>
      <c r="L1700" s="2">
        <v>3</v>
      </c>
      <c r="M1700" t="str">
        <f>IF(Revv_bike_sales_data[[#This Row],[delivery_days]]&lt;=7, "Yes", "No")</f>
        <v>Yes</v>
      </c>
      <c r="N1700" t="s">
        <v>16</v>
      </c>
      <c r="O1700" s="2">
        <v>93008</v>
      </c>
    </row>
    <row r="1701" spans="1:15" x14ac:dyDescent="0.3">
      <c r="A1701" s="2">
        <v>1691</v>
      </c>
      <c r="B1701" s="1">
        <v>44997.416666666664</v>
      </c>
      <c r="C1701" s="1" t="str">
        <f t="shared" si="52"/>
        <v>03-2023</v>
      </c>
      <c r="D1701" s="2">
        <f t="shared" si="53"/>
        <v>11</v>
      </c>
      <c r="E1701" t="s">
        <v>25</v>
      </c>
      <c r="F1701" t="s">
        <v>23</v>
      </c>
      <c r="G1701" t="s">
        <v>19</v>
      </c>
      <c r="H1701" s="2">
        <v>73643</v>
      </c>
      <c r="I1701" s="2">
        <v>1</v>
      </c>
      <c r="J1701" s="2">
        <v>175992</v>
      </c>
      <c r="K1701" s="2">
        <v>137561</v>
      </c>
      <c r="L1701" s="2">
        <v>9</v>
      </c>
      <c r="M1701" t="str">
        <f>IF(Revv_bike_sales_data[[#This Row],[delivery_days]]&lt;=7, "Yes", "No")</f>
        <v>No</v>
      </c>
      <c r="N1701" t="s">
        <v>16</v>
      </c>
      <c r="O1701" s="2">
        <v>38431</v>
      </c>
    </row>
    <row r="1702" spans="1:15" x14ac:dyDescent="0.3">
      <c r="A1702" s="2">
        <v>1692</v>
      </c>
      <c r="B1702" s="1">
        <v>44997.458333333336</v>
      </c>
      <c r="C1702" s="1" t="str">
        <f t="shared" si="52"/>
        <v>03-2023</v>
      </c>
      <c r="D1702" s="2">
        <f t="shared" si="53"/>
        <v>11</v>
      </c>
      <c r="E1702" t="s">
        <v>13</v>
      </c>
      <c r="F1702" t="s">
        <v>14</v>
      </c>
      <c r="G1702" t="s">
        <v>19</v>
      </c>
      <c r="H1702" s="2">
        <v>37287</v>
      </c>
      <c r="I1702" s="2">
        <v>6</v>
      </c>
      <c r="J1702" s="2">
        <v>71659</v>
      </c>
      <c r="K1702" s="2">
        <v>91979</v>
      </c>
      <c r="L1702" s="2">
        <v>2</v>
      </c>
      <c r="M1702" t="str">
        <f>IF(Revv_bike_sales_data[[#This Row],[delivery_days]]&lt;=7, "Yes", "No")</f>
        <v>Yes</v>
      </c>
      <c r="N1702" t="s">
        <v>24</v>
      </c>
      <c r="O1702" s="2">
        <v>-20320</v>
      </c>
    </row>
    <row r="1703" spans="1:15" x14ac:dyDescent="0.3">
      <c r="A1703" s="2">
        <v>1693</v>
      </c>
      <c r="B1703" s="1">
        <v>44997.5</v>
      </c>
      <c r="C1703" s="1" t="str">
        <f t="shared" si="52"/>
        <v>03-2023</v>
      </c>
      <c r="D1703" s="2">
        <f t="shared" si="53"/>
        <v>11</v>
      </c>
      <c r="E1703" t="s">
        <v>25</v>
      </c>
      <c r="F1703" t="s">
        <v>14</v>
      </c>
      <c r="G1703" t="s">
        <v>21</v>
      </c>
      <c r="H1703" s="2">
        <v>34083</v>
      </c>
      <c r="I1703" s="2">
        <v>5</v>
      </c>
      <c r="J1703" s="2">
        <v>150983</v>
      </c>
      <c r="K1703" s="2">
        <v>37435</v>
      </c>
      <c r="L1703" s="2">
        <v>3</v>
      </c>
      <c r="M1703" t="str">
        <f>IF(Revv_bike_sales_data[[#This Row],[delivery_days]]&lt;=7, "Yes", "No")</f>
        <v>Yes</v>
      </c>
      <c r="N1703" t="s">
        <v>16</v>
      </c>
      <c r="O1703" s="2">
        <v>113548</v>
      </c>
    </row>
    <row r="1704" spans="1:15" x14ac:dyDescent="0.3">
      <c r="A1704" s="2">
        <v>1694</v>
      </c>
      <c r="B1704" s="1">
        <v>44997.541666666664</v>
      </c>
      <c r="C1704" s="1" t="str">
        <f t="shared" si="52"/>
        <v>03-2023</v>
      </c>
      <c r="D1704" s="2">
        <f t="shared" si="53"/>
        <v>11</v>
      </c>
      <c r="E1704" t="s">
        <v>17</v>
      </c>
      <c r="F1704" t="s">
        <v>23</v>
      </c>
      <c r="G1704" t="s">
        <v>20</v>
      </c>
      <c r="H1704" s="2">
        <v>13063</v>
      </c>
      <c r="I1704" s="2">
        <v>4</v>
      </c>
      <c r="J1704" s="2">
        <v>99874</v>
      </c>
      <c r="K1704" s="2">
        <v>72728</v>
      </c>
      <c r="L1704" s="2">
        <v>12</v>
      </c>
      <c r="M1704" t="str">
        <f>IF(Revv_bike_sales_data[[#This Row],[delivery_days]]&lt;=7, "Yes", "No")</f>
        <v>No</v>
      </c>
      <c r="N1704" t="s">
        <v>16</v>
      </c>
      <c r="O1704" s="2">
        <v>27146</v>
      </c>
    </row>
    <row r="1705" spans="1:15" x14ac:dyDescent="0.3">
      <c r="A1705" s="2">
        <v>1695</v>
      </c>
      <c r="B1705" s="1">
        <v>44997.583333333336</v>
      </c>
      <c r="C1705" s="1" t="str">
        <f t="shared" si="52"/>
        <v>03-2023</v>
      </c>
      <c r="D1705" s="2">
        <f t="shared" si="53"/>
        <v>11</v>
      </c>
      <c r="E1705" t="s">
        <v>22</v>
      </c>
      <c r="F1705" t="s">
        <v>14</v>
      </c>
      <c r="G1705" t="s">
        <v>20</v>
      </c>
      <c r="H1705" s="2">
        <v>46560</v>
      </c>
      <c r="I1705" s="2">
        <v>3</v>
      </c>
      <c r="J1705" s="2">
        <v>67517</v>
      </c>
      <c r="K1705" s="2">
        <v>113598</v>
      </c>
      <c r="L1705" s="2">
        <v>4</v>
      </c>
      <c r="M1705" t="str">
        <f>IF(Revv_bike_sales_data[[#This Row],[delivery_days]]&lt;=7, "Yes", "No")</f>
        <v>Yes</v>
      </c>
      <c r="N1705" t="s">
        <v>16</v>
      </c>
      <c r="O1705" s="2">
        <v>-46081</v>
      </c>
    </row>
    <row r="1706" spans="1:15" x14ac:dyDescent="0.3">
      <c r="A1706" s="2">
        <v>1696</v>
      </c>
      <c r="B1706" s="1">
        <v>44997.625</v>
      </c>
      <c r="C1706" s="1" t="str">
        <f t="shared" si="52"/>
        <v>03-2023</v>
      </c>
      <c r="D1706" s="2">
        <f t="shared" si="53"/>
        <v>11</v>
      </c>
      <c r="E1706" t="s">
        <v>17</v>
      </c>
      <c r="F1706" t="s">
        <v>14</v>
      </c>
      <c r="G1706" t="s">
        <v>15</v>
      </c>
      <c r="H1706" s="2">
        <v>34190</v>
      </c>
      <c r="I1706" s="2">
        <v>0</v>
      </c>
      <c r="J1706" s="2">
        <v>151618</v>
      </c>
      <c r="K1706" s="2">
        <v>16238</v>
      </c>
      <c r="L1706" s="2">
        <v>10</v>
      </c>
      <c r="M1706" t="str">
        <f>IF(Revv_bike_sales_data[[#This Row],[delivery_days]]&lt;=7, "Yes", "No")</f>
        <v>No</v>
      </c>
      <c r="N1706" t="s">
        <v>16</v>
      </c>
      <c r="O1706" s="2">
        <v>135380</v>
      </c>
    </row>
    <row r="1707" spans="1:15" x14ac:dyDescent="0.3">
      <c r="A1707" s="2">
        <v>1697</v>
      </c>
      <c r="B1707" s="1">
        <v>44997.666666666664</v>
      </c>
      <c r="C1707" s="1" t="str">
        <f t="shared" si="52"/>
        <v>03-2023</v>
      </c>
      <c r="D1707" s="2">
        <f t="shared" si="53"/>
        <v>11</v>
      </c>
      <c r="E1707" t="s">
        <v>13</v>
      </c>
      <c r="F1707" t="s">
        <v>14</v>
      </c>
      <c r="G1707" t="s">
        <v>15</v>
      </c>
      <c r="H1707" s="2">
        <v>95212</v>
      </c>
      <c r="I1707" s="2">
        <v>1</v>
      </c>
      <c r="J1707" s="2">
        <v>100885</v>
      </c>
      <c r="K1707" s="2">
        <v>95857</v>
      </c>
      <c r="L1707" s="2">
        <v>1</v>
      </c>
      <c r="M1707" t="str">
        <f>IF(Revv_bike_sales_data[[#This Row],[delivery_days]]&lt;=7, "Yes", "No")</f>
        <v>Yes</v>
      </c>
      <c r="N1707" t="s">
        <v>16</v>
      </c>
      <c r="O1707" s="2">
        <v>5028</v>
      </c>
    </row>
    <row r="1708" spans="1:15" x14ac:dyDescent="0.3">
      <c r="A1708" s="2">
        <v>1698</v>
      </c>
      <c r="B1708" s="1">
        <v>44997.708333333336</v>
      </c>
      <c r="C1708" s="1" t="str">
        <f t="shared" si="52"/>
        <v>03-2023</v>
      </c>
      <c r="D1708" s="2">
        <f t="shared" si="53"/>
        <v>11</v>
      </c>
      <c r="E1708" t="s">
        <v>17</v>
      </c>
      <c r="F1708" t="s">
        <v>14</v>
      </c>
      <c r="G1708" t="s">
        <v>20</v>
      </c>
      <c r="H1708" s="2">
        <v>15425</v>
      </c>
      <c r="I1708" s="2">
        <v>6</v>
      </c>
      <c r="J1708" s="2">
        <v>71350</v>
      </c>
      <c r="K1708" s="2">
        <v>96610</v>
      </c>
      <c r="L1708" s="2">
        <v>11</v>
      </c>
      <c r="M1708" t="str">
        <f>IF(Revv_bike_sales_data[[#This Row],[delivery_days]]&lt;=7, "Yes", "No")</f>
        <v>No</v>
      </c>
      <c r="N1708" t="s">
        <v>16</v>
      </c>
      <c r="O1708" s="2">
        <v>-25260</v>
      </c>
    </row>
    <row r="1709" spans="1:15" x14ac:dyDescent="0.3">
      <c r="A1709" s="2">
        <v>1699</v>
      </c>
      <c r="B1709" s="1">
        <v>44997.75</v>
      </c>
      <c r="C1709" s="1" t="str">
        <f t="shared" si="52"/>
        <v>03-2023</v>
      </c>
      <c r="D1709" s="2">
        <f t="shared" si="53"/>
        <v>11</v>
      </c>
      <c r="E1709" t="s">
        <v>13</v>
      </c>
      <c r="F1709" t="s">
        <v>14</v>
      </c>
      <c r="G1709" t="s">
        <v>21</v>
      </c>
      <c r="H1709" s="2">
        <v>87287</v>
      </c>
      <c r="I1709" s="2">
        <v>9</v>
      </c>
      <c r="J1709" s="2">
        <v>102179</v>
      </c>
      <c r="K1709" s="2">
        <v>28049</v>
      </c>
      <c r="L1709" s="2">
        <v>4</v>
      </c>
      <c r="M1709" t="str">
        <f>IF(Revv_bike_sales_data[[#This Row],[delivery_days]]&lt;=7, "Yes", "No")</f>
        <v>Yes</v>
      </c>
      <c r="N1709" t="s">
        <v>16</v>
      </c>
      <c r="O1709" s="2">
        <v>74130</v>
      </c>
    </row>
    <row r="1710" spans="1:15" x14ac:dyDescent="0.3">
      <c r="A1710" s="2">
        <v>1700</v>
      </c>
      <c r="B1710" s="1">
        <v>44997.791666666664</v>
      </c>
      <c r="C1710" s="1" t="str">
        <f t="shared" si="52"/>
        <v>03-2023</v>
      </c>
      <c r="D1710" s="2">
        <f t="shared" si="53"/>
        <v>11</v>
      </c>
      <c r="E1710" t="s">
        <v>13</v>
      </c>
      <c r="F1710" t="s">
        <v>14</v>
      </c>
      <c r="G1710" t="s">
        <v>20</v>
      </c>
      <c r="H1710" s="2">
        <v>83684</v>
      </c>
      <c r="I1710" s="2">
        <v>2</v>
      </c>
      <c r="J1710" s="2">
        <v>70013</v>
      </c>
      <c r="K1710" s="2">
        <v>72193</v>
      </c>
      <c r="L1710" s="2">
        <v>4</v>
      </c>
      <c r="M1710" t="str">
        <f>IF(Revv_bike_sales_data[[#This Row],[delivery_days]]&lt;=7, "Yes", "No")</f>
        <v>Yes</v>
      </c>
      <c r="N1710" t="s">
        <v>24</v>
      </c>
      <c r="O1710" s="2">
        <v>-2180</v>
      </c>
    </row>
    <row r="1711" spans="1:15" x14ac:dyDescent="0.3">
      <c r="A1711" s="2">
        <v>1701</v>
      </c>
      <c r="B1711" s="1">
        <v>44997.833333333336</v>
      </c>
      <c r="C1711" s="1" t="str">
        <f t="shared" si="52"/>
        <v>03-2023</v>
      </c>
      <c r="D1711" s="2">
        <f t="shared" si="53"/>
        <v>11</v>
      </c>
      <c r="E1711" t="s">
        <v>13</v>
      </c>
      <c r="F1711" t="s">
        <v>14</v>
      </c>
      <c r="G1711" t="s">
        <v>15</v>
      </c>
      <c r="H1711" s="2">
        <v>20608</v>
      </c>
      <c r="I1711" s="2">
        <v>4</v>
      </c>
      <c r="J1711" s="2">
        <v>64913</v>
      </c>
      <c r="K1711" s="2">
        <v>50584</v>
      </c>
      <c r="L1711" s="2">
        <v>9</v>
      </c>
      <c r="M1711" t="str">
        <f>IF(Revv_bike_sales_data[[#This Row],[delivery_days]]&lt;=7, "Yes", "No")</f>
        <v>No</v>
      </c>
      <c r="N1711" t="s">
        <v>24</v>
      </c>
      <c r="O1711" s="2">
        <v>14329</v>
      </c>
    </row>
    <row r="1712" spans="1:15" x14ac:dyDescent="0.3">
      <c r="A1712" s="2">
        <v>1702</v>
      </c>
      <c r="B1712" s="1">
        <v>44997.875</v>
      </c>
      <c r="C1712" s="1" t="str">
        <f t="shared" si="52"/>
        <v>03-2023</v>
      </c>
      <c r="D1712" s="2">
        <f t="shared" si="53"/>
        <v>11</v>
      </c>
      <c r="E1712" t="s">
        <v>13</v>
      </c>
      <c r="F1712" t="s">
        <v>14</v>
      </c>
      <c r="G1712" t="s">
        <v>20</v>
      </c>
      <c r="H1712" s="2">
        <v>77015</v>
      </c>
      <c r="I1712" s="2">
        <v>7</v>
      </c>
      <c r="J1712" s="2">
        <v>70819</v>
      </c>
      <c r="K1712" s="2">
        <v>81634</v>
      </c>
      <c r="L1712" s="2">
        <v>8</v>
      </c>
      <c r="M1712" t="str">
        <f>IF(Revv_bike_sales_data[[#This Row],[delivery_days]]&lt;=7, "Yes", "No")</f>
        <v>No</v>
      </c>
      <c r="N1712" t="s">
        <v>16</v>
      </c>
      <c r="O1712" s="2">
        <v>-10815</v>
      </c>
    </row>
    <row r="1713" spans="1:15" x14ac:dyDescent="0.3">
      <c r="A1713" s="2">
        <v>1703</v>
      </c>
      <c r="B1713" s="1">
        <v>44997.916666666664</v>
      </c>
      <c r="C1713" s="1" t="str">
        <f t="shared" si="52"/>
        <v>03-2023</v>
      </c>
      <c r="D1713" s="2">
        <f t="shared" si="53"/>
        <v>11</v>
      </c>
      <c r="E1713" t="s">
        <v>13</v>
      </c>
      <c r="F1713" t="s">
        <v>14</v>
      </c>
      <c r="G1713" t="s">
        <v>21</v>
      </c>
      <c r="H1713" s="2">
        <v>68758</v>
      </c>
      <c r="I1713" s="2">
        <v>7</v>
      </c>
      <c r="J1713" s="2">
        <v>107168</v>
      </c>
      <c r="K1713" s="2">
        <v>29679</v>
      </c>
      <c r="L1713" s="2">
        <v>2</v>
      </c>
      <c r="M1713" t="str">
        <f>IF(Revv_bike_sales_data[[#This Row],[delivery_days]]&lt;=7, "Yes", "No")</f>
        <v>Yes</v>
      </c>
      <c r="N1713" t="s">
        <v>16</v>
      </c>
      <c r="O1713" s="2">
        <v>77489</v>
      </c>
    </row>
    <row r="1714" spans="1:15" x14ac:dyDescent="0.3">
      <c r="A1714" s="2">
        <v>1704</v>
      </c>
      <c r="B1714" s="1">
        <v>44997.958333333336</v>
      </c>
      <c r="C1714" s="1" t="str">
        <f t="shared" si="52"/>
        <v>03-2023</v>
      </c>
      <c r="D1714" s="2">
        <f t="shared" si="53"/>
        <v>11</v>
      </c>
      <c r="E1714" t="s">
        <v>22</v>
      </c>
      <c r="F1714" t="s">
        <v>14</v>
      </c>
      <c r="G1714" t="s">
        <v>19</v>
      </c>
      <c r="H1714" s="2">
        <v>5855</v>
      </c>
      <c r="I1714" s="2">
        <v>5</v>
      </c>
      <c r="J1714" s="2">
        <v>117680</v>
      </c>
      <c r="K1714" s="2">
        <v>49505</v>
      </c>
      <c r="L1714" s="2">
        <v>13</v>
      </c>
      <c r="M1714" t="str">
        <f>IF(Revv_bike_sales_data[[#This Row],[delivery_days]]&lt;=7, "Yes", "No")</f>
        <v>No</v>
      </c>
      <c r="N1714" t="s">
        <v>16</v>
      </c>
      <c r="O1714" s="2">
        <v>68175</v>
      </c>
    </row>
    <row r="1715" spans="1:15" x14ac:dyDescent="0.3">
      <c r="A1715" s="2">
        <v>1705</v>
      </c>
      <c r="B1715" s="1">
        <v>44998</v>
      </c>
      <c r="C1715" s="1" t="str">
        <f t="shared" si="52"/>
        <v>03-2023</v>
      </c>
      <c r="D1715" s="2">
        <f t="shared" si="53"/>
        <v>11</v>
      </c>
      <c r="E1715" t="s">
        <v>25</v>
      </c>
      <c r="F1715" t="s">
        <v>14</v>
      </c>
      <c r="G1715" t="s">
        <v>21</v>
      </c>
      <c r="H1715" s="2">
        <v>46569</v>
      </c>
      <c r="I1715" s="2">
        <v>4</v>
      </c>
      <c r="J1715" s="2">
        <v>119792</v>
      </c>
      <c r="K1715" s="2">
        <v>66341</v>
      </c>
      <c r="L1715" s="2">
        <v>7</v>
      </c>
      <c r="M1715" t="str">
        <f>IF(Revv_bike_sales_data[[#This Row],[delivery_days]]&lt;=7, "Yes", "No")</f>
        <v>Yes</v>
      </c>
      <c r="N1715" t="s">
        <v>16</v>
      </c>
      <c r="O1715" s="2">
        <v>53451</v>
      </c>
    </row>
    <row r="1716" spans="1:15" x14ac:dyDescent="0.3">
      <c r="A1716" s="2">
        <v>1706</v>
      </c>
      <c r="B1716" s="1">
        <v>44998.041666666664</v>
      </c>
      <c r="C1716" s="1" t="str">
        <f t="shared" si="52"/>
        <v>03-2023</v>
      </c>
      <c r="D1716" s="2">
        <f t="shared" si="53"/>
        <v>11</v>
      </c>
      <c r="E1716" t="s">
        <v>18</v>
      </c>
      <c r="F1716" t="s">
        <v>14</v>
      </c>
      <c r="G1716" t="s">
        <v>21</v>
      </c>
      <c r="H1716" s="2">
        <v>94835</v>
      </c>
      <c r="I1716" s="2">
        <v>1</v>
      </c>
      <c r="J1716" s="2">
        <v>179557</v>
      </c>
      <c r="K1716" s="2">
        <v>116069</v>
      </c>
      <c r="L1716" s="2">
        <v>6</v>
      </c>
      <c r="M1716" t="str">
        <f>IF(Revv_bike_sales_data[[#This Row],[delivery_days]]&lt;=7, "Yes", "No")</f>
        <v>Yes</v>
      </c>
      <c r="N1716" t="s">
        <v>16</v>
      </c>
      <c r="O1716" s="2">
        <v>63488</v>
      </c>
    </row>
    <row r="1717" spans="1:15" x14ac:dyDescent="0.3">
      <c r="A1717" s="2">
        <v>1707</v>
      </c>
      <c r="B1717" s="1">
        <v>44998.083333333336</v>
      </c>
      <c r="C1717" s="1" t="str">
        <f t="shared" si="52"/>
        <v>03-2023</v>
      </c>
      <c r="D1717" s="2">
        <f t="shared" si="53"/>
        <v>11</v>
      </c>
      <c r="E1717" t="s">
        <v>25</v>
      </c>
      <c r="F1717" t="s">
        <v>14</v>
      </c>
      <c r="G1717" t="s">
        <v>15</v>
      </c>
      <c r="H1717" s="2">
        <v>54971</v>
      </c>
      <c r="I1717" s="2">
        <v>8</v>
      </c>
      <c r="J1717" s="2">
        <v>158932</v>
      </c>
      <c r="K1717" s="2">
        <v>65374</v>
      </c>
      <c r="L1717" s="2">
        <v>7</v>
      </c>
      <c r="M1717" t="str">
        <f>IF(Revv_bike_sales_data[[#This Row],[delivery_days]]&lt;=7, "Yes", "No")</f>
        <v>Yes</v>
      </c>
      <c r="N1717" t="s">
        <v>16</v>
      </c>
      <c r="O1717" s="2">
        <v>93558</v>
      </c>
    </row>
    <row r="1718" spans="1:15" x14ac:dyDescent="0.3">
      <c r="A1718" s="2">
        <v>1708</v>
      </c>
      <c r="B1718" s="1">
        <v>44998.125</v>
      </c>
      <c r="C1718" s="1" t="str">
        <f t="shared" si="52"/>
        <v>03-2023</v>
      </c>
      <c r="D1718" s="2">
        <f t="shared" si="53"/>
        <v>11</v>
      </c>
      <c r="E1718" t="s">
        <v>13</v>
      </c>
      <c r="F1718" t="s">
        <v>14</v>
      </c>
      <c r="G1718" t="s">
        <v>21</v>
      </c>
      <c r="H1718" s="2">
        <v>33205</v>
      </c>
      <c r="I1718" s="2">
        <v>0</v>
      </c>
      <c r="J1718" s="2">
        <v>74875</v>
      </c>
      <c r="K1718" s="2">
        <v>61998</v>
      </c>
      <c r="L1718" s="2">
        <v>11</v>
      </c>
      <c r="M1718" t="str">
        <f>IF(Revv_bike_sales_data[[#This Row],[delivery_days]]&lt;=7, "Yes", "No")</f>
        <v>No</v>
      </c>
      <c r="N1718" t="s">
        <v>16</v>
      </c>
      <c r="O1718" s="2">
        <v>12877</v>
      </c>
    </row>
    <row r="1719" spans="1:15" x14ac:dyDescent="0.3">
      <c r="A1719" s="2">
        <v>1709</v>
      </c>
      <c r="B1719" s="1">
        <v>44998.166666666664</v>
      </c>
      <c r="C1719" s="1" t="str">
        <f t="shared" si="52"/>
        <v>03-2023</v>
      </c>
      <c r="D1719" s="2">
        <f t="shared" si="53"/>
        <v>11</v>
      </c>
      <c r="E1719" t="s">
        <v>22</v>
      </c>
      <c r="F1719" t="s">
        <v>14</v>
      </c>
      <c r="G1719" t="s">
        <v>21</v>
      </c>
      <c r="H1719" s="2">
        <v>44409</v>
      </c>
      <c r="I1719" s="2">
        <v>1</v>
      </c>
      <c r="J1719" s="2">
        <v>170991</v>
      </c>
      <c r="K1719" s="2">
        <v>91970</v>
      </c>
      <c r="L1719" s="2">
        <v>4</v>
      </c>
      <c r="M1719" t="str">
        <f>IF(Revv_bike_sales_data[[#This Row],[delivery_days]]&lt;=7, "Yes", "No")</f>
        <v>Yes</v>
      </c>
      <c r="N1719" t="s">
        <v>16</v>
      </c>
      <c r="O1719" s="2">
        <v>79021</v>
      </c>
    </row>
    <row r="1720" spans="1:15" x14ac:dyDescent="0.3">
      <c r="A1720" s="2">
        <v>1710</v>
      </c>
      <c r="B1720" s="1">
        <v>44998.208333333336</v>
      </c>
      <c r="C1720" s="1" t="str">
        <f t="shared" si="52"/>
        <v>03-2023</v>
      </c>
      <c r="D1720" s="2">
        <f t="shared" si="53"/>
        <v>11</v>
      </c>
      <c r="E1720" t="s">
        <v>17</v>
      </c>
      <c r="F1720" t="s">
        <v>14</v>
      </c>
      <c r="G1720" t="s">
        <v>15</v>
      </c>
      <c r="H1720" s="2">
        <v>89106</v>
      </c>
      <c r="I1720" s="2">
        <v>0</v>
      </c>
      <c r="J1720" s="2">
        <v>98947</v>
      </c>
      <c r="K1720" s="2">
        <v>70701</v>
      </c>
      <c r="L1720" s="2">
        <v>14</v>
      </c>
      <c r="M1720" t="str">
        <f>IF(Revv_bike_sales_data[[#This Row],[delivery_days]]&lt;=7, "Yes", "No")</f>
        <v>No</v>
      </c>
      <c r="N1720" t="s">
        <v>16</v>
      </c>
      <c r="O1720" s="2">
        <v>28246</v>
      </c>
    </row>
    <row r="1721" spans="1:15" x14ac:dyDescent="0.3">
      <c r="A1721" s="2">
        <v>1711</v>
      </c>
      <c r="B1721" s="1">
        <v>44998.25</v>
      </c>
      <c r="C1721" s="1" t="str">
        <f t="shared" si="52"/>
        <v>03-2023</v>
      </c>
      <c r="D1721" s="2">
        <f t="shared" si="53"/>
        <v>11</v>
      </c>
      <c r="E1721" t="s">
        <v>22</v>
      </c>
      <c r="F1721" t="s">
        <v>14</v>
      </c>
      <c r="G1721" t="s">
        <v>15</v>
      </c>
      <c r="H1721" s="2">
        <v>54239</v>
      </c>
      <c r="I1721" s="2">
        <v>3</v>
      </c>
      <c r="J1721" s="2">
        <v>34586</v>
      </c>
      <c r="K1721" s="2">
        <v>59859</v>
      </c>
      <c r="L1721" s="2">
        <v>14</v>
      </c>
      <c r="M1721" t="str">
        <f>IF(Revv_bike_sales_data[[#This Row],[delivery_days]]&lt;=7, "Yes", "No")</f>
        <v>No</v>
      </c>
      <c r="N1721" t="s">
        <v>16</v>
      </c>
      <c r="O1721" s="2">
        <v>-25273</v>
      </c>
    </row>
    <row r="1722" spans="1:15" x14ac:dyDescent="0.3">
      <c r="A1722" s="2">
        <v>1712</v>
      </c>
      <c r="B1722" s="1">
        <v>44998.291666666664</v>
      </c>
      <c r="C1722" s="1" t="str">
        <f t="shared" si="52"/>
        <v>03-2023</v>
      </c>
      <c r="D1722" s="2">
        <f t="shared" si="53"/>
        <v>11</v>
      </c>
      <c r="E1722" t="s">
        <v>13</v>
      </c>
      <c r="F1722" t="s">
        <v>14</v>
      </c>
      <c r="G1722" t="s">
        <v>19</v>
      </c>
      <c r="H1722" s="2">
        <v>77320</v>
      </c>
      <c r="I1722" s="2">
        <v>3</v>
      </c>
      <c r="J1722" s="2">
        <v>76986</v>
      </c>
      <c r="K1722" s="2">
        <v>48178</v>
      </c>
      <c r="L1722" s="2">
        <v>5</v>
      </c>
      <c r="M1722" t="str">
        <f>IF(Revv_bike_sales_data[[#This Row],[delivery_days]]&lt;=7, "Yes", "No")</f>
        <v>Yes</v>
      </c>
      <c r="N1722" t="s">
        <v>16</v>
      </c>
      <c r="O1722" s="2">
        <v>28808</v>
      </c>
    </row>
    <row r="1723" spans="1:15" x14ac:dyDescent="0.3">
      <c r="A1723" s="2">
        <v>1713</v>
      </c>
      <c r="B1723" s="1">
        <v>44998.333333333336</v>
      </c>
      <c r="C1723" s="1" t="str">
        <f t="shared" si="52"/>
        <v>03-2023</v>
      </c>
      <c r="D1723" s="2">
        <f t="shared" si="53"/>
        <v>11</v>
      </c>
      <c r="E1723" t="s">
        <v>22</v>
      </c>
      <c r="F1723" t="s">
        <v>14</v>
      </c>
      <c r="G1723" t="s">
        <v>20</v>
      </c>
      <c r="H1723" s="2">
        <v>87773</v>
      </c>
      <c r="I1723" s="2">
        <v>4</v>
      </c>
      <c r="J1723" s="2">
        <v>114848</v>
      </c>
      <c r="K1723" s="2">
        <v>42575</v>
      </c>
      <c r="L1723" s="2">
        <v>6</v>
      </c>
      <c r="M1723" t="str">
        <f>IF(Revv_bike_sales_data[[#This Row],[delivery_days]]&lt;=7, "Yes", "No")</f>
        <v>Yes</v>
      </c>
      <c r="N1723" t="s">
        <v>16</v>
      </c>
      <c r="O1723" s="2">
        <v>72273</v>
      </c>
    </row>
    <row r="1724" spans="1:15" x14ac:dyDescent="0.3">
      <c r="A1724" s="2">
        <v>1714</v>
      </c>
      <c r="B1724" s="1">
        <v>44998.375</v>
      </c>
      <c r="C1724" s="1" t="str">
        <f t="shared" si="52"/>
        <v>03-2023</v>
      </c>
      <c r="D1724" s="2">
        <f t="shared" si="53"/>
        <v>11</v>
      </c>
      <c r="E1724" t="s">
        <v>22</v>
      </c>
      <c r="F1724" t="s">
        <v>14</v>
      </c>
      <c r="G1724" t="s">
        <v>21</v>
      </c>
      <c r="H1724" s="2">
        <v>23741</v>
      </c>
      <c r="I1724" s="2">
        <v>4</v>
      </c>
      <c r="J1724" s="2">
        <v>48055</v>
      </c>
      <c r="K1724" s="2">
        <v>34329</v>
      </c>
      <c r="L1724" s="2">
        <v>9</v>
      </c>
      <c r="M1724" t="str">
        <f>IF(Revv_bike_sales_data[[#This Row],[delivery_days]]&lt;=7, "Yes", "No")</f>
        <v>No</v>
      </c>
      <c r="N1724" t="s">
        <v>16</v>
      </c>
      <c r="O1724" s="2">
        <v>13726</v>
      </c>
    </row>
    <row r="1725" spans="1:15" x14ac:dyDescent="0.3">
      <c r="A1725" s="2">
        <v>1715</v>
      </c>
      <c r="B1725" s="1">
        <v>44998.416666666664</v>
      </c>
      <c r="C1725" s="1" t="str">
        <f t="shared" si="52"/>
        <v>03-2023</v>
      </c>
      <c r="D1725" s="2">
        <f t="shared" si="53"/>
        <v>11</v>
      </c>
      <c r="E1725" t="s">
        <v>13</v>
      </c>
      <c r="F1725" t="s">
        <v>14</v>
      </c>
      <c r="G1725" t="s">
        <v>15</v>
      </c>
      <c r="H1725" s="2">
        <v>27914</v>
      </c>
      <c r="I1725" s="2">
        <v>7</v>
      </c>
      <c r="J1725" s="2">
        <v>53807</v>
      </c>
      <c r="K1725" s="2">
        <v>72254</v>
      </c>
      <c r="L1725" s="2">
        <v>2</v>
      </c>
      <c r="M1725" t="str">
        <f>IF(Revv_bike_sales_data[[#This Row],[delivery_days]]&lt;=7, "Yes", "No")</f>
        <v>Yes</v>
      </c>
      <c r="N1725" t="s">
        <v>16</v>
      </c>
      <c r="O1725" s="2">
        <v>-18447</v>
      </c>
    </row>
    <row r="1726" spans="1:15" x14ac:dyDescent="0.3">
      <c r="A1726" s="2">
        <v>1716</v>
      </c>
      <c r="B1726" s="1">
        <v>44998.458333333336</v>
      </c>
      <c r="C1726" s="1" t="str">
        <f t="shared" si="52"/>
        <v>03-2023</v>
      </c>
      <c r="D1726" s="2">
        <f t="shared" si="53"/>
        <v>11</v>
      </c>
      <c r="E1726" t="s">
        <v>22</v>
      </c>
      <c r="F1726" t="s">
        <v>14</v>
      </c>
      <c r="G1726" t="s">
        <v>19</v>
      </c>
      <c r="H1726" s="2">
        <v>51318</v>
      </c>
      <c r="I1726" s="2">
        <v>2</v>
      </c>
      <c r="J1726" s="2">
        <v>72177</v>
      </c>
      <c r="K1726" s="2">
        <v>118090</v>
      </c>
      <c r="L1726" s="2">
        <v>11</v>
      </c>
      <c r="M1726" t="str">
        <f>IF(Revv_bike_sales_data[[#This Row],[delivery_days]]&lt;=7, "Yes", "No")</f>
        <v>No</v>
      </c>
      <c r="N1726" t="s">
        <v>16</v>
      </c>
      <c r="O1726" s="2">
        <v>-45913</v>
      </c>
    </row>
    <row r="1727" spans="1:15" x14ac:dyDescent="0.3">
      <c r="A1727" s="2">
        <v>1717</v>
      </c>
      <c r="B1727" s="1">
        <v>44998.5</v>
      </c>
      <c r="C1727" s="1" t="str">
        <f t="shared" si="52"/>
        <v>03-2023</v>
      </c>
      <c r="D1727" s="2">
        <f t="shared" si="53"/>
        <v>11</v>
      </c>
      <c r="E1727" t="s">
        <v>18</v>
      </c>
      <c r="F1727" t="s">
        <v>14</v>
      </c>
      <c r="G1727" t="s">
        <v>20</v>
      </c>
      <c r="H1727" s="2">
        <v>21395</v>
      </c>
      <c r="I1727" s="2">
        <v>5</v>
      </c>
      <c r="J1727" s="2">
        <v>93625</v>
      </c>
      <c r="K1727" s="2">
        <v>122373</v>
      </c>
      <c r="L1727" s="2">
        <v>9</v>
      </c>
      <c r="M1727" t="str">
        <f>IF(Revv_bike_sales_data[[#This Row],[delivery_days]]&lt;=7, "Yes", "No")</f>
        <v>No</v>
      </c>
      <c r="N1727" t="s">
        <v>16</v>
      </c>
      <c r="O1727" s="2">
        <v>-28748</v>
      </c>
    </row>
    <row r="1728" spans="1:15" x14ac:dyDescent="0.3">
      <c r="A1728" s="2">
        <v>1718</v>
      </c>
      <c r="B1728" s="1">
        <v>44998.541666666664</v>
      </c>
      <c r="C1728" s="1" t="str">
        <f t="shared" si="52"/>
        <v>03-2023</v>
      </c>
      <c r="D1728" s="2">
        <f t="shared" si="53"/>
        <v>11</v>
      </c>
      <c r="E1728" t="s">
        <v>18</v>
      </c>
      <c r="F1728" t="s">
        <v>14</v>
      </c>
      <c r="G1728" t="s">
        <v>15</v>
      </c>
      <c r="H1728" s="2">
        <v>92807</v>
      </c>
      <c r="I1728" s="2">
        <v>2</v>
      </c>
      <c r="J1728" s="2">
        <v>170314</v>
      </c>
      <c r="K1728" s="2">
        <v>130474</v>
      </c>
      <c r="L1728" s="2">
        <v>10</v>
      </c>
      <c r="M1728" t="str">
        <f>IF(Revv_bike_sales_data[[#This Row],[delivery_days]]&lt;=7, "Yes", "No")</f>
        <v>No</v>
      </c>
      <c r="N1728" t="s">
        <v>16</v>
      </c>
      <c r="O1728" s="2">
        <v>39840</v>
      </c>
    </row>
    <row r="1729" spans="1:15" x14ac:dyDescent="0.3">
      <c r="A1729" s="2">
        <v>1719</v>
      </c>
      <c r="B1729" s="1">
        <v>44998.583333333336</v>
      </c>
      <c r="C1729" s="1" t="str">
        <f t="shared" si="52"/>
        <v>03-2023</v>
      </c>
      <c r="D1729" s="2">
        <f t="shared" si="53"/>
        <v>11</v>
      </c>
      <c r="E1729" t="s">
        <v>22</v>
      </c>
      <c r="F1729" t="s">
        <v>14</v>
      </c>
      <c r="G1729" t="s">
        <v>20</v>
      </c>
      <c r="H1729" s="2">
        <v>62909</v>
      </c>
      <c r="I1729" s="2">
        <v>1</v>
      </c>
      <c r="J1729" s="2">
        <v>81317</v>
      </c>
      <c r="K1729" s="2">
        <v>99029</v>
      </c>
      <c r="L1729" s="2">
        <v>1</v>
      </c>
      <c r="M1729" t="str">
        <f>IF(Revv_bike_sales_data[[#This Row],[delivery_days]]&lt;=7, "Yes", "No")</f>
        <v>Yes</v>
      </c>
      <c r="N1729" t="s">
        <v>16</v>
      </c>
      <c r="O1729" s="2">
        <v>-17712</v>
      </c>
    </row>
    <row r="1730" spans="1:15" x14ac:dyDescent="0.3">
      <c r="A1730" s="2">
        <v>1720</v>
      </c>
      <c r="B1730" s="1">
        <v>44998.625</v>
      </c>
      <c r="C1730" s="1" t="str">
        <f t="shared" si="52"/>
        <v>03-2023</v>
      </c>
      <c r="D1730" s="2">
        <f t="shared" si="53"/>
        <v>11</v>
      </c>
      <c r="E1730" t="s">
        <v>17</v>
      </c>
      <c r="F1730" t="s">
        <v>23</v>
      </c>
      <c r="G1730" t="s">
        <v>20</v>
      </c>
      <c r="H1730" s="2">
        <v>55824</v>
      </c>
      <c r="I1730" s="2">
        <v>7</v>
      </c>
      <c r="J1730" s="2">
        <v>41433</v>
      </c>
      <c r="K1730" s="2">
        <v>102366</v>
      </c>
      <c r="L1730" s="2">
        <v>4</v>
      </c>
      <c r="M1730" t="str">
        <f>IF(Revv_bike_sales_data[[#This Row],[delivery_days]]&lt;=7, "Yes", "No")</f>
        <v>Yes</v>
      </c>
      <c r="N1730" t="s">
        <v>16</v>
      </c>
      <c r="O1730" s="2">
        <v>-60933</v>
      </c>
    </row>
    <row r="1731" spans="1:15" x14ac:dyDescent="0.3">
      <c r="A1731" s="2">
        <v>1721</v>
      </c>
      <c r="B1731" s="1">
        <v>44998.666666666664</v>
      </c>
      <c r="C1731" s="1" t="str">
        <f t="shared" si="52"/>
        <v>03-2023</v>
      </c>
      <c r="D1731" s="2">
        <f t="shared" si="53"/>
        <v>11</v>
      </c>
      <c r="E1731" t="s">
        <v>13</v>
      </c>
      <c r="F1731" t="s">
        <v>14</v>
      </c>
      <c r="G1731" t="s">
        <v>21</v>
      </c>
      <c r="H1731" s="2">
        <v>67420</v>
      </c>
      <c r="I1731" s="2">
        <v>0</v>
      </c>
      <c r="J1731" s="2">
        <v>58282</v>
      </c>
      <c r="K1731" s="2">
        <v>119139</v>
      </c>
      <c r="L1731" s="2">
        <v>12</v>
      </c>
      <c r="M1731" t="str">
        <f>IF(Revv_bike_sales_data[[#This Row],[delivery_days]]&lt;=7, "Yes", "No")</f>
        <v>No</v>
      </c>
      <c r="N1731" t="s">
        <v>16</v>
      </c>
      <c r="O1731" s="2">
        <v>-60857</v>
      </c>
    </row>
    <row r="1732" spans="1:15" x14ac:dyDescent="0.3">
      <c r="A1732" s="2">
        <v>1722</v>
      </c>
      <c r="B1732" s="1">
        <v>44998.708333333336</v>
      </c>
      <c r="C1732" s="1" t="str">
        <f t="shared" si="52"/>
        <v>03-2023</v>
      </c>
      <c r="D1732" s="2">
        <f t="shared" si="53"/>
        <v>11</v>
      </c>
      <c r="E1732" t="s">
        <v>18</v>
      </c>
      <c r="F1732" t="s">
        <v>14</v>
      </c>
      <c r="G1732" t="s">
        <v>21</v>
      </c>
      <c r="H1732" s="2">
        <v>54055</v>
      </c>
      <c r="I1732" s="2">
        <v>8</v>
      </c>
      <c r="J1732" s="2">
        <v>101519</v>
      </c>
      <c r="K1732" s="2">
        <v>115290</v>
      </c>
      <c r="L1732" s="2">
        <v>5</v>
      </c>
      <c r="M1732" t="str">
        <f>IF(Revv_bike_sales_data[[#This Row],[delivery_days]]&lt;=7, "Yes", "No")</f>
        <v>Yes</v>
      </c>
      <c r="N1732" t="s">
        <v>16</v>
      </c>
      <c r="O1732" s="2">
        <v>-13771</v>
      </c>
    </row>
    <row r="1733" spans="1:15" x14ac:dyDescent="0.3">
      <c r="A1733" s="2">
        <v>1723</v>
      </c>
      <c r="B1733" s="1">
        <v>44998.75</v>
      </c>
      <c r="C1733" s="1" t="str">
        <f t="shared" si="52"/>
        <v>03-2023</v>
      </c>
      <c r="D1733" s="2">
        <f t="shared" si="53"/>
        <v>11</v>
      </c>
      <c r="E1733" t="s">
        <v>17</v>
      </c>
      <c r="F1733" t="s">
        <v>14</v>
      </c>
      <c r="G1733" t="s">
        <v>15</v>
      </c>
      <c r="H1733" s="2">
        <v>65953</v>
      </c>
      <c r="I1733" s="2">
        <v>6</v>
      </c>
      <c r="J1733" s="2">
        <v>68578</v>
      </c>
      <c r="K1733" s="2">
        <v>88662</v>
      </c>
      <c r="L1733" s="2">
        <v>9</v>
      </c>
      <c r="M1733" t="str">
        <f>IF(Revv_bike_sales_data[[#This Row],[delivery_days]]&lt;=7, "Yes", "No")</f>
        <v>No</v>
      </c>
      <c r="N1733" t="s">
        <v>16</v>
      </c>
      <c r="O1733" s="2">
        <v>-20084</v>
      </c>
    </row>
    <row r="1734" spans="1:15" x14ac:dyDescent="0.3">
      <c r="A1734" s="2">
        <v>1724</v>
      </c>
      <c r="B1734" s="1">
        <v>44998.791666666664</v>
      </c>
      <c r="C1734" s="1" t="str">
        <f t="shared" si="52"/>
        <v>03-2023</v>
      </c>
      <c r="D1734" s="2">
        <f t="shared" si="53"/>
        <v>11</v>
      </c>
      <c r="E1734" t="s">
        <v>22</v>
      </c>
      <c r="F1734" t="s">
        <v>14</v>
      </c>
      <c r="G1734" t="s">
        <v>20</v>
      </c>
      <c r="H1734" s="2">
        <v>23189</v>
      </c>
      <c r="I1734" s="2">
        <v>9</v>
      </c>
      <c r="J1734" s="2">
        <v>155843</v>
      </c>
      <c r="K1734" s="2">
        <v>122374</v>
      </c>
      <c r="L1734" s="2">
        <v>6</v>
      </c>
      <c r="M1734" t="str">
        <f>IF(Revv_bike_sales_data[[#This Row],[delivery_days]]&lt;=7, "Yes", "No")</f>
        <v>Yes</v>
      </c>
      <c r="N1734" t="s">
        <v>16</v>
      </c>
      <c r="O1734" s="2">
        <v>33469</v>
      </c>
    </row>
    <row r="1735" spans="1:15" x14ac:dyDescent="0.3">
      <c r="A1735" s="2">
        <v>1725</v>
      </c>
      <c r="B1735" s="1">
        <v>44998.833333333336</v>
      </c>
      <c r="C1735" s="1" t="str">
        <f t="shared" si="52"/>
        <v>03-2023</v>
      </c>
      <c r="D1735" s="2">
        <f t="shared" si="53"/>
        <v>11</v>
      </c>
      <c r="E1735" t="s">
        <v>17</v>
      </c>
      <c r="F1735" t="s">
        <v>14</v>
      </c>
      <c r="G1735" t="s">
        <v>15</v>
      </c>
      <c r="H1735" s="2">
        <v>64856</v>
      </c>
      <c r="I1735" s="2">
        <v>3</v>
      </c>
      <c r="J1735" s="2">
        <v>133333</v>
      </c>
      <c r="K1735" s="2">
        <v>55068</v>
      </c>
      <c r="L1735" s="2">
        <v>4</v>
      </c>
      <c r="M1735" t="str">
        <f>IF(Revv_bike_sales_data[[#This Row],[delivery_days]]&lt;=7, "Yes", "No")</f>
        <v>Yes</v>
      </c>
      <c r="N1735" t="s">
        <v>16</v>
      </c>
      <c r="O1735" s="2">
        <v>78265</v>
      </c>
    </row>
    <row r="1736" spans="1:15" x14ac:dyDescent="0.3">
      <c r="A1736" s="2">
        <v>1726</v>
      </c>
      <c r="B1736" s="1">
        <v>44998.875</v>
      </c>
      <c r="C1736" s="1" t="str">
        <f t="shared" si="52"/>
        <v>03-2023</v>
      </c>
      <c r="D1736" s="2">
        <f t="shared" si="53"/>
        <v>11</v>
      </c>
      <c r="E1736" t="s">
        <v>25</v>
      </c>
      <c r="F1736" t="s">
        <v>14</v>
      </c>
      <c r="G1736" t="s">
        <v>15</v>
      </c>
      <c r="H1736" s="2">
        <v>93511</v>
      </c>
      <c r="I1736" s="2">
        <v>2</v>
      </c>
      <c r="J1736" s="2">
        <v>75317</v>
      </c>
      <c r="K1736" s="2">
        <v>73951</v>
      </c>
      <c r="L1736" s="2">
        <v>2</v>
      </c>
      <c r="M1736" t="str">
        <f>IF(Revv_bike_sales_data[[#This Row],[delivery_days]]&lt;=7, "Yes", "No")</f>
        <v>Yes</v>
      </c>
      <c r="N1736" t="s">
        <v>16</v>
      </c>
      <c r="O1736" s="2">
        <v>1366</v>
      </c>
    </row>
    <row r="1737" spans="1:15" x14ac:dyDescent="0.3">
      <c r="A1737" s="2">
        <v>1727</v>
      </c>
      <c r="B1737" s="1">
        <v>44998.916666666664</v>
      </c>
      <c r="C1737" s="1" t="str">
        <f t="shared" si="52"/>
        <v>03-2023</v>
      </c>
      <c r="D1737" s="2">
        <f t="shared" si="53"/>
        <v>11</v>
      </c>
      <c r="E1737" t="s">
        <v>18</v>
      </c>
      <c r="F1737" t="s">
        <v>14</v>
      </c>
      <c r="G1737" t="s">
        <v>20</v>
      </c>
      <c r="H1737" s="2">
        <v>8752</v>
      </c>
      <c r="I1737" s="2">
        <v>5</v>
      </c>
      <c r="J1737" s="2">
        <v>152878</v>
      </c>
      <c r="K1737" s="2">
        <v>102629</v>
      </c>
      <c r="L1737" s="2">
        <v>5</v>
      </c>
      <c r="M1737" t="str">
        <f>IF(Revv_bike_sales_data[[#This Row],[delivery_days]]&lt;=7, "Yes", "No")</f>
        <v>Yes</v>
      </c>
      <c r="N1737" t="s">
        <v>16</v>
      </c>
      <c r="O1737" s="2">
        <v>50249</v>
      </c>
    </row>
    <row r="1738" spans="1:15" x14ac:dyDescent="0.3">
      <c r="A1738" s="2">
        <v>1728</v>
      </c>
      <c r="B1738" s="1">
        <v>44998.958333333336</v>
      </c>
      <c r="C1738" s="1" t="str">
        <f t="shared" si="52"/>
        <v>03-2023</v>
      </c>
      <c r="D1738" s="2">
        <f t="shared" si="53"/>
        <v>11</v>
      </c>
      <c r="E1738" t="s">
        <v>22</v>
      </c>
      <c r="F1738" t="s">
        <v>14</v>
      </c>
      <c r="G1738" t="s">
        <v>15</v>
      </c>
      <c r="H1738" s="2">
        <v>31344</v>
      </c>
      <c r="I1738" s="2">
        <v>8</v>
      </c>
      <c r="J1738" s="2">
        <v>133745</v>
      </c>
      <c r="K1738" s="2">
        <v>128852</v>
      </c>
      <c r="L1738" s="2">
        <v>8</v>
      </c>
      <c r="M1738" t="str">
        <f>IF(Revv_bike_sales_data[[#This Row],[delivery_days]]&lt;=7, "Yes", "No")</f>
        <v>No</v>
      </c>
      <c r="N1738" t="s">
        <v>16</v>
      </c>
      <c r="O1738" s="2">
        <v>4893</v>
      </c>
    </row>
    <row r="1739" spans="1:15" x14ac:dyDescent="0.3">
      <c r="A1739" s="2">
        <v>1729</v>
      </c>
      <c r="B1739" s="1">
        <v>44999</v>
      </c>
      <c r="C1739" s="1" t="str">
        <f t="shared" ref="C1739:C1802" si="54">TEXT(B1739,"mm-yyyy")</f>
        <v>03-2023</v>
      </c>
      <c r="D1739" s="2">
        <f t="shared" ref="D1739:D1802" si="55">WEEKNUM(B1739)</f>
        <v>11</v>
      </c>
      <c r="E1739" t="s">
        <v>13</v>
      </c>
      <c r="F1739" t="s">
        <v>14</v>
      </c>
      <c r="G1739" t="s">
        <v>20</v>
      </c>
      <c r="H1739" s="2">
        <v>96187</v>
      </c>
      <c r="I1739" s="2">
        <v>8</v>
      </c>
      <c r="J1739" s="2">
        <v>154230</v>
      </c>
      <c r="K1739" s="2">
        <v>50171</v>
      </c>
      <c r="L1739" s="2">
        <v>8</v>
      </c>
      <c r="M1739" t="str">
        <f>IF(Revv_bike_sales_data[[#This Row],[delivery_days]]&lt;=7, "Yes", "No")</f>
        <v>No</v>
      </c>
      <c r="N1739" t="s">
        <v>16</v>
      </c>
      <c r="O1739" s="2">
        <v>104059</v>
      </c>
    </row>
    <row r="1740" spans="1:15" x14ac:dyDescent="0.3">
      <c r="A1740" s="2">
        <v>1730</v>
      </c>
      <c r="B1740" s="1">
        <v>44999.041666666664</v>
      </c>
      <c r="C1740" s="1" t="str">
        <f t="shared" si="54"/>
        <v>03-2023</v>
      </c>
      <c r="D1740" s="2">
        <f t="shared" si="55"/>
        <v>11</v>
      </c>
      <c r="E1740" t="s">
        <v>22</v>
      </c>
      <c r="F1740" t="s">
        <v>14</v>
      </c>
      <c r="G1740" t="s">
        <v>20</v>
      </c>
      <c r="H1740" s="2">
        <v>23865</v>
      </c>
      <c r="I1740" s="2">
        <v>3</v>
      </c>
      <c r="J1740" s="2">
        <v>90950</v>
      </c>
      <c r="K1740" s="2">
        <v>23262</v>
      </c>
      <c r="L1740" s="2">
        <v>6</v>
      </c>
      <c r="M1740" t="str">
        <f>IF(Revv_bike_sales_data[[#This Row],[delivery_days]]&lt;=7, "Yes", "No")</f>
        <v>Yes</v>
      </c>
      <c r="N1740" t="s">
        <v>16</v>
      </c>
      <c r="O1740" s="2">
        <v>67688</v>
      </c>
    </row>
    <row r="1741" spans="1:15" x14ac:dyDescent="0.3">
      <c r="A1741" s="2">
        <v>1731</v>
      </c>
      <c r="B1741" s="1">
        <v>44999.083333333336</v>
      </c>
      <c r="C1741" s="1" t="str">
        <f t="shared" si="54"/>
        <v>03-2023</v>
      </c>
      <c r="D1741" s="2">
        <f t="shared" si="55"/>
        <v>11</v>
      </c>
      <c r="E1741" t="s">
        <v>13</v>
      </c>
      <c r="F1741" t="s">
        <v>14</v>
      </c>
      <c r="G1741" t="s">
        <v>20</v>
      </c>
      <c r="H1741" s="2">
        <v>6526</v>
      </c>
      <c r="I1741" s="2">
        <v>9</v>
      </c>
      <c r="J1741" s="2">
        <v>84612</v>
      </c>
      <c r="K1741" s="2">
        <v>58270</v>
      </c>
      <c r="L1741" s="2">
        <v>11</v>
      </c>
      <c r="M1741" t="str">
        <f>IF(Revv_bike_sales_data[[#This Row],[delivery_days]]&lt;=7, "Yes", "No")</f>
        <v>No</v>
      </c>
      <c r="N1741" t="s">
        <v>16</v>
      </c>
      <c r="O1741" s="2">
        <v>26342</v>
      </c>
    </row>
    <row r="1742" spans="1:15" x14ac:dyDescent="0.3">
      <c r="A1742" s="2">
        <v>1732</v>
      </c>
      <c r="B1742" s="1">
        <v>44999.125</v>
      </c>
      <c r="C1742" s="1" t="str">
        <f t="shared" si="54"/>
        <v>03-2023</v>
      </c>
      <c r="D1742" s="2">
        <f t="shared" si="55"/>
        <v>11</v>
      </c>
      <c r="E1742" t="s">
        <v>22</v>
      </c>
      <c r="F1742" t="s">
        <v>14</v>
      </c>
      <c r="G1742" t="s">
        <v>20</v>
      </c>
      <c r="H1742" s="2">
        <v>98803</v>
      </c>
      <c r="I1742" s="2">
        <v>4</v>
      </c>
      <c r="J1742" s="2">
        <v>89873</v>
      </c>
      <c r="K1742" s="2">
        <v>35785</v>
      </c>
      <c r="L1742" s="2">
        <v>1</v>
      </c>
      <c r="M1742" t="str">
        <f>IF(Revv_bike_sales_data[[#This Row],[delivery_days]]&lt;=7, "Yes", "No")</f>
        <v>Yes</v>
      </c>
      <c r="N1742" t="s">
        <v>16</v>
      </c>
      <c r="O1742" s="2">
        <v>54088</v>
      </c>
    </row>
    <row r="1743" spans="1:15" x14ac:dyDescent="0.3">
      <c r="A1743" s="2">
        <v>1733</v>
      </c>
      <c r="B1743" s="1">
        <v>44999.166666666664</v>
      </c>
      <c r="C1743" s="1" t="str">
        <f t="shared" si="54"/>
        <v>03-2023</v>
      </c>
      <c r="D1743" s="2">
        <f t="shared" si="55"/>
        <v>11</v>
      </c>
      <c r="E1743" t="s">
        <v>17</v>
      </c>
      <c r="F1743" t="s">
        <v>23</v>
      </c>
      <c r="G1743" t="s">
        <v>19</v>
      </c>
      <c r="H1743" s="2">
        <v>29023</v>
      </c>
      <c r="I1743" s="2">
        <v>8</v>
      </c>
      <c r="J1743" s="2">
        <v>140792</v>
      </c>
      <c r="K1743" s="2">
        <v>54469</v>
      </c>
      <c r="L1743" s="2">
        <v>8</v>
      </c>
      <c r="M1743" t="str">
        <f>IF(Revv_bike_sales_data[[#This Row],[delivery_days]]&lt;=7, "Yes", "No")</f>
        <v>No</v>
      </c>
      <c r="N1743" t="s">
        <v>16</v>
      </c>
      <c r="O1743" s="2">
        <v>86323</v>
      </c>
    </row>
    <row r="1744" spans="1:15" x14ac:dyDescent="0.3">
      <c r="A1744" s="2">
        <v>1734</v>
      </c>
      <c r="B1744" s="1">
        <v>44999.208333333336</v>
      </c>
      <c r="C1744" s="1" t="str">
        <f t="shared" si="54"/>
        <v>03-2023</v>
      </c>
      <c r="D1744" s="2">
        <f t="shared" si="55"/>
        <v>11</v>
      </c>
      <c r="E1744" t="s">
        <v>17</v>
      </c>
      <c r="F1744" t="s">
        <v>14</v>
      </c>
      <c r="G1744" t="s">
        <v>20</v>
      </c>
      <c r="H1744" s="2">
        <v>10982</v>
      </c>
      <c r="I1744" s="2">
        <v>1</v>
      </c>
      <c r="J1744" s="2">
        <v>149814</v>
      </c>
      <c r="K1744" s="2">
        <v>83831</v>
      </c>
      <c r="L1744" s="2">
        <v>4</v>
      </c>
      <c r="M1744" t="str">
        <f>IF(Revv_bike_sales_data[[#This Row],[delivery_days]]&lt;=7, "Yes", "No")</f>
        <v>Yes</v>
      </c>
      <c r="N1744" t="s">
        <v>16</v>
      </c>
      <c r="O1744" s="2">
        <v>65983</v>
      </c>
    </row>
    <row r="1745" spans="1:15" x14ac:dyDescent="0.3">
      <c r="A1745" s="2">
        <v>1735</v>
      </c>
      <c r="B1745" s="1">
        <v>44999.25</v>
      </c>
      <c r="C1745" s="1" t="str">
        <f t="shared" si="54"/>
        <v>03-2023</v>
      </c>
      <c r="D1745" s="2">
        <f t="shared" si="55"/>
        <v>11</v>
      </c>
      <c r="E1745" t="s">
        <v>17</v>
      </c>
      <c r="F1745" t="s">
        <v>23</v>
      </c>
      <c r="G1745" t="s">
        <v>21</v>
      </c>
      <c r="H1745" s="2">
        <v>49388</v>
      </c>
      <c r="I1745" s="2">
        <v>1</v>
      </c>
      <c r="J1745" s="2">
        <v>40231</v>
      </c>
      <c r="K1745" s="2">
        <v>96223</v>
      </c>
      <c r="L1745" s="2">
        <v>14</v>
      </c>
      <c r="M1745" t="str">
        <f>IF(Revv_bike_sales_data[[#This Row],[delivery_days]]&lt;=7, "Yes", "No")</f>
        <v>No</v>
      </c>
      <c r="N1745" t="s">
        <v>16</v>
      </c>
      <c r="O1745" s="2">
        <v>-55992</v>
      </c>
    </row>
    <row r="1746" spans="1:15" x14ac:dyDescent="0.3">
      <c r="A1746" s="2">
        <v>1736</v>
      </c>
      <c r="B1746" s="1">
        <v>44999.291666666664</v>
      </c>
      <c r="C1746" s="1" t="str">
        <f t="shared" si="54"/>
        <v>03-2023</v>
      </c>
      <c r="D1746" s="2">
        <f t="shared" si="55"/>
        <v>11</v>
      </c>
      <c r="E1746" t="s">
        <v>25</v>
      </c>
      <c r="F1746" t="s">
        <v>14</v>
      </c>
      <c r="G1746" t="s">
        <v>21</v>
      </c>
      <c r="H1746" s="2">
        <v>50610</v>
      </c>
      <c r="I1746" s="2">
        <v>4</v>
      </c>
      <c r="J1746" s="2">
        <v>112385</v>
      </c>
      <c r="K1746" s="2">
        <v>138641</v>
      </c>
      <c r="L1746" s="2">
        <v>2</v>
      </c>
      <c r="M1746" t="str">
        <f>IF(Revv_bike_sales_data[[#This Row],[delivery_days]]&lt;=7, "Yes", "No")</f>
        <v>Yes</v>
      </c>
      <c r="N1746" t="s">
        <v>16</v>
      </c>
      <c r="O1746" s="2">
        <v>-26256</v>
      </c>
    </row>
    <row r="1747" spans="1:15" x14ac:dyDescent="0.3">
      <c r="A1747" s="2">
        <v>1737</v>
      </c>
      <c r="B1747" s="1">
        <v>44999.333333333336</v>
      </c>
      <c r="C1747" s="1" t="str">
        <f t="shared" si="54"/>
        <v>03-2023</v>
      </c>
      <c r="D1747" s="2">
        <f t="shared" si="55"/>
        <v>11</v>
      </c>
      <c r="E1747" t="s">
        <v>13</v>
      </c>
      <c r="F1747" t="s">
        <v>14</v>
      </c>
      <c r="G1747" t="s">
        <v>21</v>
      </c>
      <c r="H1747" s="2">
        <v>91144</v>
      </c>
      <c r="I1747" s="2">
        <v>0</v>
      </c>
      <c r="J1747" s="2">
        <v>66163</v>
      </c>
      <c r="K1747" s="2">
        <v>60643</v>
      </c>
      <c r="L1747" s="2">
        <v>1</v>
      </c>
      <c r="M1747" t="str">
        <f>IF(Revv_bike_sales_data[[#This Row],[delivery_days]]&lt;=7, "Yes", "No")</f>
        <v>Yes</v>
      </c>
      <c r="N1747" t="s">
        <v>16</v>
      </c>
      <c r="O1747" s="2">
        <v>5520</v>
      </c>
    </row>
    <row r="1748" spans="1:15" x14ac:dyDescent="0.3">
      <c r="A1748" s="2">
        <v>1738</v>
      </c>
      <c r="B1748" s="1">
        <v>44999.375</v>
      </c>
      <c r="C1748" s="1" t="str">
        <f t="shared" si="54"/>
        <v>03-2023</v>
      </c>
      <c r="D1748" s="2">
        <f t="shared" si="55"/>
        <v>11</v>
      </c>
      <c r="E1748" t="s">
        <v>17</v>
      </c>
      <c r="F1748" t="s">
        <v>14</v>
      </c>
      <c r="G1748" t="s">
        <v>20</v>
      </c>
      <c r="H1748" s="2">
        <v>993</v>
      </c>
      <c r="I1748" s="2">
        <v>7</v>
      </c>
      <c r="J1748" s="2">
        <v>146880</v>
      </c>
      <c r="K1748" s="2">
        <v>82657</v>
      </c>
      <c r="L1748" s="2">
        <v>7</v>
      </c>
      <c r="M1748" t="str">
        <f>IF(Revv_bike_sales_data[[#This Row],[delivery_days]]&lt;=7, "Yes", "No")</f>
        <v>Yes</v>
      </c>
      <c r="N1748" t="s">
        <v>16</v>
      </c>
      <c r="O1748" s="2">
        <v>64223</v>
      </c>
    </row>
    <row r="1749" spans="1:15" x14ac:dyDescent="0.3">
      <c r="A1749" s="2">
        <v>1739</v>
      </c>
      <c r="B1749" s="1">
        <v>44999.416666666664</v>
      </c>
      <c r="C1749" s="1" t="str">
        <f t="shared" si="54"/>
        <v>03-2023</v>
      </c>
      <c r="D1749" s="2">
        <f t="shared" si="55"/>
        <v>11</v>
      </c>
      <c r="E1749" t="s">
        <v>25</v>
      </c>
      <c r="F1749" t="s">
        <v>14</v>
      </c>
      <c r="G1749" t="s">
        <v>21</v>
      </c>
      <c r="H1749" s="2">
        <v>56694</v>
      </c>
      <c r="I1749" s="2">
        <v>4</v>
      </c>
      <c r="J1749" s="2">
        <v>112592</v>
      </c>
      <c r="K1749" s="2">
        <v>18582</v>
      </c>
      <c r="L1749" s="2">
        <v>2</v>
      </c>
      <c r="M1749" t="str">
        <f>IF(Revv_bike_sales_data[[#This Row],[delivery_days]]&lt;=7, "Yes", "No")</f>
        <v>Yes</v>
      </c>
      <c r="N1749" t="s">
        <v>16</v>
      </c>
      <c r="O1749" s="2">
        <v>94010</v>
      </c>
    </row>
    <row r="1750" spans="1:15" x14ac:dyDescent="0.3">
      <c r="A1750" s="2">
        <v>1740</v>
      </c>
      <c r="B1750" s="1">
        <v>44999.458333333336</v>
      </c>
      <c r="C1750" s="1" t="str">
        <f t="shared" si="54"/>
        <v>03-2023</v>
      </c>
      <c r="D1750" s="2">
        <f t="shared" si="55"/>
        <v>11</v>
      </c>
      <c r="E1750" t="s">
        <v>13</v>
      </c>
      <c r="F1750" t="s">
        <v>14</v>
      </c>
      <c r="G1750" t="s">
        <v>19</v>
      </c>
      <c r="H1750" s="2">
        <v>82501</v>
      </c>
      <c r="I1750" s="2">
        <v>9</v>
      </c>
      <c r="J1750" s="2">
        <v>131564</v>
      </c>
      <c r="K1750" s="2">
        <v>127781</v>
      </c>
      <c r="L1750" s="2">
        <v>13</v>
      </c>
      <c r="M1750" t="str">
        <f>IF(Revv_bike_sales_data[[#This Row],[delivery_days]]&lt;=7, "Yes", "No")</f>
        <v>No</v>
      </c>
      <c r="N1750" t="s">
        <v>16</v>
      </c>
      <c r="O1750" s="2">
        <v>3783</v>
      </c>
    </row>
    <row r="1751" spans="1:15" x14ac:dyDescent="0.3">
      <c r="A1751" s="2">
        <v>1741</v>
      </c>
      <c r="B1751" s="1">
        <v>44999.5</v>
      </c>
      <c r="C1751" s="1" t="str">
        <f t="shared" si="54"/>
        <v>03-2023</v>
      </c>
      <c r="D1751" s="2">
        <f t="shared" si="55"/>
        <v>11</v>
      </c>
      <c r="E1751" t="s">
        <v>22</v>
      </c>
      <c r="F1751" t="s">
        <v>14</v>
      </c>
      <c r="G1751" t="s">
        <v>15</v>
      </c>
      <c r="H1751" s="2">
        <v>40267</v>
      </c>
      <c r="I1751" s="2">
        <v>1</v>
      </c>
      <c r="J1751" s="2">
        <v>80535</v>
      </c>
      <c r="K1751" s="2">
        <v>45280</v>
      </c>
      <c r="L1751" s="2">
        <v>4</v>
      </c>
      <c r="M1751" t="str">
        <f>IF(Revv_bike_sales_data[[#This Row],[delivery_days]]&lt;=7, "Yes", "No")</f>
        <v>Yes</v>
      </c>
      <c r="N1751" t="s">
        <v>16</v>
      </c>
      <c r="O1751" s="2">
        <v>35255</v>
      </c>
    </row>
    <row r="1752" spans="1:15" x14ac:dyDescent="0.3">
      <c r="A1752" s="2">
        <v>1742</v>
      </c>
      <c r="B1752" s="1">
        <v>44999.541666666664</v>
      </c>
      <c r="C1752" s="1" t="str">
        <f t="shared" si="54"/>
        <v>03-2023</v>
      </c>
      <c r="D1752" s="2">
        <f t="shared" si="55"/>
        <v>11</v>
      </c>
      <c r="E1752" t="s">
        <v>25</v>
      </c>
      <c r="F1752" t="s">
        <v>14</v>
      </c>
      <c r="G1752" t="s">
        <v>20</v>
      </c>
      <c r="H1752" s="2">
        <v>30050</v>
      </c>
      <c r="I1752" s="2">
        <v>8</v>
      </c>
      <c r="J1752" s="2">
        <v>135952</v>
      </c>
      <c r="K1752" s="2">
        <v>133885</v>
      </c>
      <c r="L1752" s="2">
        <v>4</v>
      </c>
      <c r="M1752" t="str">
        <f>IF(Revv_bike_sales_data[[#This Row],[delivery_days]]&lt;=7, "Yes", "No")</f>
        <v>Yes</v>
      </c>
      <c r="N1752" t="s">
        <v>16</v>
      </c>
      <c r="O1752" s="2">
        <v>2067</v>
      </c>
    </row>
    <row r="1753" spans="1:15" x14ac:dyDescent="0.3">
      <c r="A1753" s="2">
        <v>1743</v>
      </c>
      <c r="B1753" s="1">
        <v>44999.583333333336</v>
      </c>
      <c r="C1753" s="1" t="str">
        <f t="shared" si="54"/>
        <v>03-2023</v>
      </c>
      <c r="D1753" s="2">
        <f t="shared" si="55"/>
        <v>11</v>
      </c>
      <c r="E1753" t="s">
        <v>18</v>
      </c>
      <c r="F1753" t="s">
        <v>23</v>
      </c>
      <c r="G1753" t="s">
        <v>21</v>
      </c>
      <c r="H1753" s="2">
        <v>14333</v>
      </c>
      <c r="I1753" s="2">
        <v>1</v>
      </c>
      <c r="J1753" s="2">
        <v>160824</v>
      </c>
      <c r="K1753" s="2">
        <v>57589</v>
      </c>
      <c r="L1753" s="2">
        <v>13</v>
      </c>
      <c r="M1753" t="str">
        <f>IF(Revv_bike_sales_data[[#This Row],[delivery_days]]&lt;=7, "Yes", "No")</f>
        <v>No</v>
      </c>
      <c r="N1753" t="s">
        <v>16</v>
      </c>
      <c r="O1753" s="2">
        <v>103235</v>
      </c>
    </row>
    <row r="1754" spans="1:15" x14ac:dyDescent="0.3">
      <c r="A1754" s="2">
        <v>1744</v>
      </c>
      <c r="B1754" s="1">
        <v>44999.625</v>
      </c>
      <c r="C1754" s="1" t="str">
        <f t="shared" si="54"/>
        <v>03-2023</v>
      </c>
      <c r="D1754" s="2">
        <f t="shared" si="55"/>
        <v>11</v>
      </c>
      <c r="E1754" t="s">
        <v>25</v>
      </c>
      <c r="F1754" t="s">
        <v>14</v>
      </c>
      <c r="G1754" t="s">
        <v>19</v>
      </c>
      <c r="H1754" s="2">
        <v>3470</v>
      </c>
      <c r="I1754" s="2">
        <v>6</v>
      </c>
      <c r="J1754" s="2">
        <v>49507</v>
      </c>
      <c r="K1754" s="2">
        <v>119004</v>
      </c>
      <c r="L1754" s="2">
        <v>10</v>
      </c>
      <c r="M1754" t="str">
        <f>IF(Revv_bike_sales_data[[#This Row],[delivery_days]]&lt;=7, "Yes", "No")</f>
        <v>No</v>
      </c>
      <c r="N1754" t="s">
        <v>16</v>
      </c>
      <c r="O1754" s="2">
        <v>-69497</v>
      </c>
    </row>
    <row r="1755" spans="1:15" x14ac:dyDescent="0.3">
      <c r="A1755" s="2">
        <v>1745</v>
      </c>
      <c r="B1755" s="1">
        <v>44999.666666666664</v>
      </c>
      <c r="C1755" s="1" t="str">
        <f t="shared" si="54"/>
        <v>03-2023</v>
      </c>
      <c r="D1755" s="2">
        <f t="shared" si="55"/>
        <v>11</v>
      </c>
      <c r="E1755" t="s">
        <v>25</v>
      </c>
      <c r="F1755" t="s">
        <v>14</v>
      </c>
      <c r="G1755" t="s">
        <v>15</v>
      </c>
      <c r="H1755" s="2">
        <v>98815</v>
      </c>
      <c r="I1755" s="2">
        <v>7</v>
      </c>
      <c r="J1755" s="2">
        <v>149225</v>
      </c>
      <c r="K1755" s="2">
        <v>55000</v>
      </c>
      <c r="L1755" s="2">
        <v>1</v>
      </c>
      <c r="M1755" t="str">
        <f>IF(Revv_bike_sales_data[[#This Row],[delivery_days]]&lt;=7, "Yes", "No")</f>
        <v>Yes</v>
      </c>
      <c r="N1755" t="s">
        <v>16</v>
      </c>
      <c r="O1755" s="2">
        <v>94225</v>
      </c>
    </row>
    <row r="1756" spans="1:15" x14ac:dyDescent="0.3">
      <c r="A1756" s="2">
        <v>1746</v>
      </c>
      <c r="B1756" s="1">
        <v>44999.708333333336</v>
      </c>
      <c r="C1756" s="1" t="str">
        <f t="shared" si="54"/>
        <v>03-2023</v>
      </c>
      <c r="D1756" s="2">
        <f t="shared" si="55"/>
        <v>11</v>
      </c>
      <c r="E1756" t="s">
        <v>13</v>
      </c>
      <c r="F1756" t="s">
        <v>14</v>
      </c>
      <c r="G1756" t="s">
        <v>19</v>
      </c>
      <c r="H1756" s="2">
        <v>95994</v>
      </c>
      <c r="I1756" s="2">
        <v>5</v>
      </c>
      <c r="J1756" s="2">
        <v>135282</v>
      </c>
      <c r="K1756" s="2">
        <v>117592</v>
      </c>
      <c r="L1756" s="2">
        <v>2</v>
      </c>
      <c r="M1756" t="str">
        <f>IF(Revv_bike_sales_data[[#This Row],[delivery_days]]&lt;=7, "Yes", "No")</f>
        <v>Yes</v>
      </c>
      <c r="N1756" t="s">
        <v>24</v>
      </c>
      <c r="O1756" s="2">
        <v>17690</v>
      </c>
    </row>
    <row r="1757" spans="1:15" x14ac:dyDescent="0.3">
      <c r="A1757" s="2">
        <v>1747</v>
      </c>
      <c r="B1757" s="1">
        <v>44999.75</v>
      </c>
      <c r="C1757" s="1" t="str">
        <f t="shared" si="54"/>
        <v>03-2023</v>
      </c>
      <c r="D1757" s="2">
        <f t="shared" si="55"/>
        <v>11</v>
      </c>
      <c r="E1757" t="s">
        <v>22</v>
      </c>
      <c r="F1757" t="s">
        <v>14</v>
      </c>
      <c r="G1757" t="s">
        <v>21</v>
      </c>
      <c r="H1757" s="2">
        <v>83181</v>
      </c>
      <c r="I1757" s="2">
        <v>6</v>
      </c>
      <c r="J1757" s="2">
        <v>95559</v>
      </c>
      <c r="K1757" s="2">
        <v>112208</v>
      </c>
      <c r="L1757" s="2">
        <v>1</v>
      </c>
      <c r="M1757" t="str">
        <f>IF(Revv_bike_sales_data[[#This Row],[delivery_days]]&lt;=7, "Yes", "No")</f>
        <v>Yes</v>
      </c>
      <c r="N1757" t="s">
        <v>16</v>
      </c>
      <c r="O1757" s="2">
        <v>-16649</v>
      </c>
    </row>
    <row r="1758" spans="1:15" x14ac:dyDescent="0.3">
      <c r="A1758" s="2">
        <v>1748</v>
      </c>
      <c r="B1758" s="1">
        <v>44999.791666666664</v>
      </c>
      <c r="C1758" s="1" t="str">
        <f t="shared" si="54"/>
        <v>03-2023</v>
      </c>
      <c r="D1758" s="2">
        <f t="shared" si="55"/>
        <v>11</v>
      </c>
      <c r="E1758" t="s">
        <v>18</v>
      </c>
      <c r="F1758" t="s">
        <v>14</v>
      </c>
      <c r="G1758" t="s">
        <v>19</v>
      </c>
      <c r="H1758" s="2">
        <v>49677</v>
      </c>
      <c r="I1758" s="2">
        <v>0</v>
      </c>
      <c r="J1758" s="2">
        <v>25982</v>
      </c>
      <c r="K1758" s="2">
        <v>16085</v>
      </c>
      <c r="L1758" s="2">
        <v>6</v>
      </c>
      <c r="M1758" t="str">
        <f>IF(Revv_bike_sales_data[[#This Row],[delivery_days]]&lt;=7, "Yes", "No")</f>
        <v>Yes</v>
      </c>
      <c r="N1758" t="s">
        <v>24</v>
      </c>
      <c r="O1758" s="2">
        <v>9897</v>
      </c>
    </row>
    <row r="1759" spans="1:15" x14ac:dyDescent="0.3">
      <c r="A1759" s="2">
        <v>1749</v>
      </c>
      <c r="B1759" s="1">
        <v>44999.833333333336</v>
      </c>
      <c r="C1759" s="1" t="str">
        <f t="shared" si="54"/>
        <v>03-2023</v>
      </c>
      <c r="D1759" s="2">
        <f t="shared" si="55"/>
        <v>11</v>
      </c>
      <c r="E1759" t="s">
        <v>17</v>
      </c>
      <c r="F1759" t="s">
        <v>14</v>
      </c>
      <c r="G1759" t="s">
        <v>15</v>
      </c>
      <c r="H1759" s="2">
        <v>67842</v>
      </c>
      <c r="I1759" s="2">
        <v>3</v>
      </c>
      <c r="J1759" s="2">
        <v>154128</v>
      </c>
      <c r="K1759" s="2">
        <v>96427</v>
      </c>
      <c r="L1759" s="2">
        <v>13</v>
      </c>
      <c r="M1759" t="str">
        <f>IF(Revv_bike_sales_data[[#This Row],[delivery_days]]&lt;=7, "Yes", "No")</f>
        <v>No</v>
      </c>
      <c r="N1759" t="s">
        <v>16</v>
      </c>
      <c r="O1759" s="2">
        <v>57701</v>
      </c>
    </row>
    <row r="1760" spans="1:15" x14ac:dyDescent="0.3">
      <c r="A1760" s="2">
        <v>1750</v>
      </c>
      <c r="B1760" s="1">
        <v>44999.875</v>
      </c>
      <c r="C1760" s="1" t="str">
        <f t="shared" si="54"/>
        <v>03-2023</v>
      </c>
      <c r="D1760" s="2">
        <f t="shared" si="55"/>
        <v>11</v>
      </c>
      <c r="E1760" t="s">
        <v>17</v>
      </c>
      <c r="F1760" t="s">
        <v>23</v>
      </c>
      <c r="G1760" t="s">
        <v>21</v>
      </c>
      <c r="H1760" s="2">
        <v>71700</v>
      </c>
      <c r="I1760" s="2">
        <v>6</v>
      </c>
      <c r="J1760" s="2">
        <v>172218</v>
      </c>
      <c r="K1760" s="2">
        <v>30600</v>
      </c>
      <c r="L1760" s="2">
        <v>3</v>
      </c>
      <c r="M1760" t="str">
        <f>IF(Revv_bike_sales_data[[#This Row],[delivery_days]]&lt;=7, "Yes", "No")</f>
        <v>Yes</v>
      </c>
      <c r="N1760" t="s">
        <v>16</v>
      </c>
      <c r="O1760" s="2">
        <v>141618</v>
      </c>
    </row>
    <row r="1761" spans="1:15" x14ac:dyDescent="0.3">
      <c r="A1761" s="2">
        <v>1751</v>
      </c>
      <c r="B1761" s="1">
        <v>44999.916666666664</v>
      </c>
      <c r="C1761" s="1" t="str">
        <f t="shared" si="54"/>
        <v>03-2023</v>
      </c>
      <c r="D1761" s="2">
        <f t="shared" si="55"/>
        <v>11</v>
      </c>
      <c r="E1761" t="s">
        <v>25</v>
      </c>
      <c r="F1761" t="s">
        <v>14</v>
      </c>
      <c r="G1761" t="s">
        <v>15</v>
      </c>
      <c r="H1761" s="2">
        <v>62001</v>
      </c>
      <c r="I1761" s="2">
        <v>0</v>
      </c>
      <c r="J1761" s="2">
        <v>101737</v>
      </c>
      <c r="K1761" s="2">
        <v>112994</v>
      </c>
      <c r="L1761" s="2">
        <v>1</v>
      </c>
      <c r="M1761" t="str">
        <f>IF(Revv_bike_sales_data[[#This Row],[delivery_days]]&lt;=7, "Yes", "No")</f>
        <v>Yes</v>
      </c>
      <c r="N1761" t="s">
        <v>16</v>
      </c>
      <c r="O1761" s="2">
        <v>-11257</v>
      </c>
    </row>
    <row r="1762" spans="1:15" x14ac:dyDescent="0.3">
      <c r="A1762" s="2">
        <v>1752</v>
      </c>
      <c r="B1762" s="1">
        <v>44999.958333333336</v>
      </c>
      <c r="C1762" s="1" t="str">
        <f t="shared" si="54"/>
        <v>03-2023</v>
      </c>
      <c r="D1762" s="2">
        <f t="shared" si="55"/>
        <v>11</v>
      </c>
      <c r="E1762" t="s">
        <v>13</v>
      </c>
      <c r="F1762" t="s">
        <v>14</v>
      </c>
      <c r="G1762" t="s">
        <v>19</v>
      </c>
      <c r="H1762" s="2">
        <v>29400</v>
      </c>
      <c r="I1762" s="2">
        <v>0</v>
      </c>
      <c r="J1762" s="2">
        <v>107446</v>
      </c>
      <c r="K1762" s="2">
        <v>74801</v>
      </c>
      <c r="L1762" s="2">
        <v>12</v>
      </c>
      <c r="M1762" t="str">
        <f>IF(Revv_bike_sales_data[[#This Row],[delivery_days]]&lt;=7, "Yes", "No")</f>
        <v>No</v>
      </c>
      <c r="N1762" t="s">
        <v>16</v>
      </c>
      <c r="O1762" s="2">
        <v>32645</v>
      </c>
    </row>
    <row r="1763" spans="1:15" x14ac:dyDescent="0.3">
      <c r="A1763" s="2">
        <v>1753</v>
      </c>
      <c r="B1763" s="1">
        <v>45000</v>
      </c>
      <c r="C1763" s="1" t="str">
        <f t="shared" si="54"/>
        <v>03-2023</v>
      </c>
      <c r="D1763" s="2">
        <f t="shared" si="55"/>
        <v>11</v>
      </c>
      <c r="E1763" t="s">
        <v>13</v>
      </c>
      <c r="F1763" t="s">
        <v>14</v>
      </c>
      <c r="G1763" t="s">
        <v>20</v>
      </c>
      <c r="H1763" s="2">
        <v>14626</v>
      </c>
      <c r="I1763" s="2">
        <v>5</v>
      </c>
      <c r="J1763" s="2">
        <v>113567</v>
      </c>
      <c r="K1763" s="2">
        <v>76739</v>
      </c>
      <c r="L1763" s="2">
        <v>8</v>
      </c>
      <c r="M1763" t="str">
        <f>IF(Revv_bike_sales_data[[#This Row],[delivery_days]]&lt;=7, "Yes", "No")</f>
        <v>No</v>
      </c>
      <c r="N1763" t="s">
        <v>16</v>
      </c>
      <c r="O1763" s="2">
        <v>36828</v>
      </c>
    </row>
    <row r="1764" spans="1:15" x14ac:dyDescent="0.3">
      <c r="A1764" s="2">
        <v>1754</v>
      </c>
      <c r="B1764" s="1">
        <v>45000.041666666664</v>
      </c>
      <c r="C1764" s="1" t="str">
        <f t="shared" si="54"/>
        <v>03-2023</v>
      </c>
      <c r="D1764" s="2">
        <f t="shared" si="55"/>
        <v>11</v>
      </c>
      <c r="E1764" t="s">
        <v>17</v>
      </c>
      <c r="F1764" t="s">
        <v>23</v>
      </c>
      <c r="G1764" t="s">
        <v>20</v>
      </c>
      <c r="H1764" s="2">
        <v>71190</v>
      </c>
      <c r="I1764" s="2">
        <v>3</v>
      </c>
      <c r="J1764" s="2">
        <v>48636</v>
      </c>
      <c r="K1764" s="2">
        <v>89181</v>
      </c>
      <c r="L1764" s="2">
        <v>14</v>
      </c>
      <c r="M1764" t="str">
        <f>IF(Revv_bike_sales_data[[#This Row],[delivery_days]]&lt;=7, "Yes", "No")</f>
        <v>No</v>
      </c>
      <c r="N1764" t="s">
        <v>16</v>
      </c>
      <c r="O1764" s="2">
        <v>-40545</v>
      </c>
    </row>
    <row r="1765" spans="1:15" x14ac:dyDescent="0.3">
      <c r="A1765" s="2">
        <v>1755</v>
      </c>
      <c r="B1765" s="1">
        <v>45000.083333333336</v>
      </c>
      <c r="C1765" s="1" t="str">
        <f t="shared" si="54"/>
        <v>03-2023</v>
      </c>
      <c r="D1765" s="2">
        <f t="shared" si="55"/>
        <v>11</v>
      </c>
      <c r="E1765" t="s">
        <v>18</v>
      </c>
      <c r="F1765" t="s">
        <v>14</v>
      </c>
      <c r="G1765" t="s">
        <v>20</v>
      </c>
      <c r="H1765" s="2">
        <v>88244</v>
      </c>
      <c r="I1765" s="2">
        <v>2</v>
      </c>
      <c r="J1765" s="2">
        <v>107850</v>
      </c>
      <c r="K1765" s="2">
        <v>132309</v>
      </c>
      <c r="L1765" s="2">
        <v>12</v>
      </c>
      <c r="M1765" t="str">
        <f>IF(Revv_bike_sales_data[[#This Row],[delivery_days]]&lt;=7, "Yes", "No")</f>
        <v>No</v>
      </c>
      <c r="N1765" t="s">
        <v>16</v>
      </c>
      <c r="O1765" s="2">
        <v>-24459</v>
      </c>
    </row>
    <row r="1766" spans="1:15" x14ac:dyDescent="0.3">
      <c r="A1766" s="2">
        <v>1756</v>
      </c>
      <c r="B1766" s="1">
        <v>45000.125</v>
      </c>
      <c r="C1766" s="1" t="str">
        <f t="shared" si="54"/>
        <v>03-2023</v>
      </c>
      <c r="D1766" s="2">
        <f t="shared" si="55"/>
        <v>11</v>
      </c>
      <c r="E1766" t="s">
        <v>22</v>
      </c>
      <c r="F1766" t="s">
        <v>14</v>
      </c>
      <c r="G1766" t="s">
        <v>20</v>
      </c>
      <c r="H1766" s="2">
        <v>79803</v>
      </c>
      <c r="I1766" s="2">
        <v>4</v>
      </c>
      <c r="J1766" s="2">
        <v>108866</v>
      </c>
      <c r="K1766" s="2">
        <v>122114</v>
      </c>
      <c r="L1766" s="2">
        <v>14</v>
      </c>
      <c r="M1766" t="str">
        <f>IF(Revv_bike_sales_data[[#This Row],[delivery_days]]&lt;=7, "Yes", "No")</f>
        <v>No</v>
      </c>
      <c r="N1766" t="s">
        <v>16</v>
      </c>
      <c r="O1766" s="2">
        <v>-13248</v>
      </c>
    </row>
    <row r="1767" spans="1:15" x14ac:dyDescent="0.3">
      <c r="A1767" s="2">
        <v>1757</v>
      </c>
      <c r="B1767" s="1">
        <v>45000.166666666664</v>
      </c>
      <c r="C1767" s="1" t="str">
        <f t="shared" si="54"/>
        <v>03-2023</v>
      </c>
      <c r="D1767" s="2">
        <f t="shared" si="55"/>
        <v>11</v>
      </c>
      <c r="E1767" t="s">
        <v>18</v>
      </c>
      <c r="F1767" t="s">
        <v>14</v>
      </c>
      <c r="G1767" t="s">
        <v>15</v>
      </c>
      <c r="H1767" s="2">
        <v>86079</v>
      </c>
      <c r="I1767" s="2">
        <v>8</v>
      </c>
      <c r="J1767" s="2">
        <v>87726</v>
      </c>
      <c r="K1767" s="2">
        <v>56596</v>
      </c>
      <c r="L1767" s="2">
        <v>4</v>
      </c>
      <c r="M1767" t="str">
        <f>IF(Revv_bike_sales_data[[#This Row],[delivery_days]]&lt;=7, "Yes", "No")</f>
        <v>Yes</v>
      </c>
      <c r="N1767" t="s">
        <v>16</v>
      </c>
      <c r="O1767" s="2">
        <v>31130</v>
      </c>
    </row>
    <row r="1768" spans="1:15" x14ac:dyDescent="0.3">
      <c r="A1768" s="2">
        <v>1758</v>
      </c>
      <c r="B1768" s="1">
        <v>45000.208333333336</v>
      </c>
      <c r="C1768" s="1" t="str">
        <f t="shared" si="54"/>
        <v>03-2023</v>
      </c>
      <c r="D1768" s="2">
        <f t="shared" si="55"/>
        <v>11</v>
      </c>
      <c r="E1768" t="s">
        <v>22</v>
      </c>
      <c r="F1768" t="s">
        <v>14</v>
      </c>
      <c r="G1768" t="s">
        <v>20</v>
      </c>
      <c r="H1768" s="2">
        <v>48494</v>
      </c>
      <c r="I1768" s="2">
        <v>9</v>
      </c>
      <c r="J1768" s="2">
        <v>105901</v>
      </c>
      <c r="K1768" s="2">
        <v>132036</v>
      </c>
      <c r="L1768" s="2">
        <v>10</v>
      </c>
      <c r="M1768" t="str">
        <f>IF(Revv_bike_sales_data[[#This Row],[delivery_days]]&lt;=7, "Yes", "No")</f>
        <v>No</v>
      </c>
      <c r="N1768" t="s">
        <v>16</v>
      </c>
      <c r="O1768" s="2">
        <v>-26135</v>
      </c>
    </row>
    <row r="1769" spans="1:15" x14ac:dyDescent="0.3">
      <c r="A1769" s="2">
        <v>1759</v>
      </c>
      <c r="B1769" s="1">
        <v>45000.25</v>
      </c>
      <c r="C1769" s="1" t="str">
        <f t="shared" si="54"/>
        <v>03-2023</v>
      </c>
      <c r="D1769" s="2">
        <f t="shared" si="55"/>
        <v>11</v>
      </c>
      <c r="E1769" t="s">
        <v>17</v>
      </c>
      <c r="F1769" t="s">
        <v>14</v>
      </c>
      <c r="G1769" t="s">
        <v>15</v>
      </c>
      <c r="H1769" s="2">
        <v>67561</v>
      </c>
      <c r="I1769" s="2">
        <v>9</v>
      </c>
      <c r="J1769" s="2">
        <v>166180</v>
      </c>
      <c r="K1769" s="2">
        <v>85410</v>
      </c>
      <c r="L1769" s="2">
        <v>7</v>
      </c>
      <c r="M1769" t="str">
        <f>IF(Revv_bike_sales_data[[#This Row],[delivery_days]]&lt;=7, "Yes", "No")</f>
        <v>Yes</v>
      </c>
      <c r="N1769" t="s">
        <v>16</v>
      </c>
      <c r="O1769" s="2">
        <v>80770</v>
      </c>
    </row>
    <row r="1770" spans="1:15" x14ac:dyDescent="0.3">
      <c r="A1770" s="2">
        <v>1760</v>
      </c>
      <c r="B1770" s="1">
        <v>45000.291666666664</v>
      </c>
      <c r="C1770" s="1" t="str">
        <f t="shared" si="54"/>
        <v>03-2023</v>
      </c>
      <c r="D1770" s="2">
        <f t="shared" si="55"/>
        <v>11</v>
      </c>
      <c r="E1770" t="s">
        <v>22</v>
      </c>
      <c r="F1770" t="s">
        <v>14</v>
      </c>
      <c r="G1770" t="s">
        <v>21</v>
      </c>
      <c r="H1770" s="2">
        <v>99564</v>
      </c>
      <c r="I1770" s="2">
        <v>9</v>
      </c>
      <c r="J1770" s="2">
        <v>93896</v>
      </c>
      <c r="K1770" s="2">
        <v>94303</v>
      </c>
      <c r="L1770" s="2">
        <v>10</v>
      </c>
      <c r="M1770" t="str">
        <f>IF(Revv_bike_sales_data[[#This Row],[delivery_days]]&lt;=7, "Yes", "No")</f>
        <v>No</v>
      </c>
      <c r="N1770" t="s">
        <v>16</v>
      </c>
      <c r="O1770" s="2">
        <v>-407</v>
      </c>
    </row>
    <row r="1771" spans="1:15" x14ac:dyDescent="0.3">
      <c r="A1771" s="2">
        <v>1761</v>
      </c>
      <c r="B1771" s="1">
        <v>45000.333333333336</v>
      </c>
      <c r="C1771" s="1" t="str">
        <f t="shared" si="54"/>
        <v>03-2023</v>
      </c>
      <c r="D1771" s="2">
        <f t="shared" si="55"/>
        <v>11</v>
      </c>
      <c r="E1771" t="s">
        <v>13</v>
      </c>
      <c r="F1771" t="s">
        <v>14</v>
      </c>
      <c r="G1771" t="s">
        <v>20</v>
      </c>
      <c r="H1771" s="2">
        <v>17478</v>
      </c>
      <c r="I1771" s="2">
        <v>2</v>
      </c>
      <c r="J1771" s="2">
        <v>65880</v>
      </c>
      <c r="K1771" s="2">
        <v>67188</v>
      </c>
      <c r="L1771" s="2">
        <v>2</v>
      </c>
      <c r="M1771" t="str">
        <f>IF(Revv_bike_sales_data[[#This Row],[delivery_days]]&lt;=7, "Yes", "No")</f>
        <v>Yes</v>
      </c>
      <c r="N1771" t="s">
        <v>16</v>
      </c>
      <c r="O1771" s="2">
        <v>-1308</v>
      </c>
    </row>
    <row r="1772" spans="1:15" x14ac:dyDescent="0.3">
      <c r="A1772" s="2">
        <v>1762</v>
      </c>
      <c r="B1772" s="1">
        <v>45000.375</v>
      </c>
      <c r="C1772" s="1" t="str">
        <f t="shared" si="54"/>
        <v>03-2023</v>
      </c>
      <c r="D1772" s="2">
        <f t="shared" si="55"/>
        <v>11</v>
      </c>
      <c r="E1772" t="s">
        <v>25</v>
      </c>
      <c r="F1772" t="s">
        <v>14</v>
      </c>
      <c r="G1772" t="s">
        <v>15</v>
      </c>
      <c r="H1772" s="2">
        <v>56844</v>
      </c>
      <c r="I1772" s="2">
        <v>4</v>
      </c>
      <c r="J1772" s="2">
        <v>77077</v>
      </c>
      <c r="K1772" s="2">
        <v>41825</v>
      </c>
      <c r="L1772" s="2">
        <v>6</v>
      </c>
      <c r="M1772" t="str">
        <f>IF(Revv_bike_sales_data[[#This Row],[delivery_days]]&lt;=7, "Yes", "No")</f>
        <v>Yes</v>
      </c>
      <c r="N1772" t="s">
        <v>16</v>
      </c>
      <c r="O1772" s="2">
        <v>35252</v>
      </c>
    </row>
    <row r="1773" spans="1:15" x14ac:dyDescent="0.3">
      <c r="A1773" s="2">
        <v>1763</v>
      </c>
      <c r="B1773" s="1">
        <v>45000.416666666664</v>
      </c>
      <c r="C1773" s="1" t="str">
        <f t="shared" si="54"/>
        <v>03-2023</v>
      </c>
      <c r="D1773" s="2">
        <f t="shared" si="55"/>
        <v>11</v>
      </c>
      <c r="E1773" t="s">
        <v>25</v>
      </c>
      <c r="F1773" t="s">
        <v>14</v>
      </c>
      <c r="G1773" t="s">
        <v>20</v>
      </c>
      <c r="H1773" s="2">
        <v>47148</v>
      </c>
      <c r="I1773" s="2">
        <v>9</v>
      </c>
      <c r="J1773" s="2">
        <v>28625</v>
      </c>
      <c r="K1773" s="2">
        <v>25913</v>
      </c>
      <c r="L1773" s="2">
        <v>6</v>
      </c>
      <c r="M1773" t="str">
        <f>IF(Revv_bike_sales_data[[#This Row],[delivery_days]]&lt;=7, "Yes", "No")</f>
        <v>Yes</v>
      </c>
      <c r="N1773" t="s">
        <v>16</v>
      </c>
      <c r="O1773" s="2">
        <v>2712</v>
      </c>
    </row>
    <row r="1774" spans="1:15" x14ac:dyDescent="0.3">
      <c r="A1774" s="2">
        <v>1764</v>
      </c>
      <c r="B1774" s="1">
        <v>45000.458333333336</v>
      </c>
      <c r="C1774" s="1" t="str">
        <f t="shared" si="54"/>
        <v>03-2023</v>
      </c>
      <c r="D1774" s="2">
        <f t="shared" si="55"/>
        <v>11</v>
      </c>
      <c r="E1774" t="s">
        <v>17</v>
      </c>
      <c r="F1774" t="s">
        <v>14</v>
      </c>
      <c r="G1774" t="s">
        <v>20</v>
      </c>
      <c r="H1774" s="2">
        <v>1555</v>
      </c>
      <c r="I1774" s="2">
        <v>4</v>
      </c>
      <c r="J1774" s="2">
        <v>63237</v>
      </c>
      <c r="K1774" s="2">
        <v>96751</v>
      </c>
      <c r="L1774" s="2">
        <v>7</v>
      </c>
      <c r="M1774" t="str">
        <f>IF(Revv_bike_sales_data[[#This Row],[delivery_days]]&lt;=7, "Yes", "No")</f>
        <v>Yes</v>
      </c>
      <c r="N1774" t="s">
        <v>16</v>
      </c>
      <c r="O1774" s="2">
        <v>-33514</v>
      </c>
    </row>
    <row r="1775" spans="1:15" x14ac:dyDescent="0.3">
      <c r="A1775" s="2">
        <v>1765</v>
      </c>
      <c r="B1775" s="1">
        <v>45000.5</v>
      </c>
      <c r="C1775" s="1" t="str">
        <f t="shared" si="54"/>
        <v>03-2023</v>
      </c>
      <c r="D1775" s="2">
        <f t="shared" si="55"/>
        <v>11</v>
      </c>
      <c r="E1775" t="s">
        <v>13</v>
      </c>
      <c r="F1775" t="s">
        <v>14</v>
      </c>
      <c r="G1775" t="s">
        <v>20</v>
      </c>
      <c r="H1775" s="2">
        <v>76082</v>
      </c>
      <c r="I1775" s="2">
        <v>8</v>
      </c>
      <c r="J1775" s="2">
        <v>26223</v>
      </c>
      <c r="K1775" s="2">
        <v>99269</v>
      </c>
      <c r="L1775" s="2">
        <v>12</v>
      </c>
      <c r="M1775" t="str">
        <f>IF(Revv_bike_sales_data[[#This Row],[delivery_days]]&lt;=7, "Yes", "No")</f>
        <v>No</v>
      </c>
      <c r="N1775" t="s">
        <v>16</v>
      </c>
      <c r="O1775" s="2">
        <v>-73046</v>
      </c>
    </row>
    <row r="1776" spans="1:15" x14ac:dyDescent="0.3">
      <c r="A1776" s="2">
        <v>1766</v>
      </c>
      <c r="B1776" s="1">
        <v>45000.541666666664</v>
      </c>
      <c r="C1776" s="1" t="str">
        <f t="shared" si="54"/>
        <v>03-2023</v>
      </c>
      <c r="D1776" s="2">
        <f t="shared" si="55"/>
        <v>11</v>
      </c>
      <c r="E1776" t="s">
        <v>18</v>
      </c>
      <c r="F1776" t="s">
        <v>14</v>
      </c>
      <c r="G1776" t="s">
        <v>15</v>
      </c>
      <c r="H1776" s="2">
        <v>81714</v>
      </c>
      <c r="I1776" s="2">
        <v>9</v>
      </c>
      <c r="J1776" s="2">
        <v>90197</v>
      </c>
      <c r="K1776" s="2">
        <v>29332</v>
      </c>
      <c r="L1776" s="2">
        <v>1</v>
      </c>
      <c r="M1776" t="str">
        <f>IF(Revv_bike_sales_data[[#This Row],[delivery_days]]&lt;=7, "Yes", "No")</f>
        <v>Yes</v>
      </c>
      <c r="N1776" t="s">
        <v>16</v>
      </c>
      <c r="O1776" s="2">
        <v>60865</v>
      </c>
    </row>
    <row r="1777" spans="1:15" x14ac:dyDescent="0.3">
      <c r="A1777" s="2">
        <v>1767</v>
      </c>
      <c r="B1777" s="1">
        <v>45000.583333333336</v>
      </c>
      <c r="C1777" s="1" t="str">
        <f t="shared" si="54"/>
        <v>03-2023</v>
      </c>
      <c r="D1777" s="2">
        <f t="shared" si="55"/>
        <v>11</v>
      </c>
      <c r="E1777" t="s">
        <v>13</v>
      </c>
      <c r="F1777" t="s">
        <v>14</v>
      </c>
      <c r="G1777" t="s">
        <v>19</v>
      </c>
      <c r="H1777" s="2">
        <v>45376</v>
      </c>
      <c r="I1777" s="2">
        <v>3</v>
      </c>
      <c r="J1777" s="2">
        <v>99693</v>
      </c>
      <c r="K1777" s="2">
        <v>69895</v>
      </c>
      <c r="L1777" s="2">
        <v>14</v>
      </c>
      <c r="M1777" t="str">
        <f>IF(Revv_bike_sales_data[[#This Row],[delivery_days]]&lt;=7, "Yes", "No")</f>
        <v>No</v>
      </c>
      <c r="N1777" t="s">
        <v>16</v>
      </c>
      <c r="O1777" s="2">
        <v>29798</v>
      </c>
    </row>
    <row r="1778" spans="1:15" x14ac:dyDescent="0.3">
      <c r="A1778" s="2">
        <v>1768</v>
      </c>
      <c r="B1778" s="1">
        <v>45000.625</v>
      </c>
      <c r="C1778" s="1" t="str">
        <f t="shared" si="54"/>
        <v>03-2023</v>
      </c>
      <c r="D1778" s="2">
        <f t="shared" si="55"/>
        <v>11</v>
      </c>
      <c r="E1778" t="s">
        <v>25</v>
      </c>
      <c r="F1778" t="s">
        <v>14</v>
      </c>
      <c r="G1778" t="s">
        <v>20</v>
      </c>
      <c r="H1778" s="2">
        <v>92660</v>
      </c>
      <c r="I1778" s="2">
        <v>0</v>
      </c>
      <c r="J1778" s="2">
        <v>136555</v>
      </c>
      <c r="K1778" s="2">
        <v>19432</v>
      </c>
      <c r="L1778" s="2">
        <v>12</v>
      </c>
      <c r="M1778" t="str">
        <f>IF(Revv_bike_sales_data[[#This Row],[delivery_days]]&lt;=7, "Yes", "No")</f>
        <v>No</v>
      </c>
      <c r="N1778" t="s">
        <v>16</v>
      </c>
      <c r="O1778" s="2">
        <v>117123</v>
      </c>
    </row>
    <row r="1779" spans="1:15" x14ac:dyDescent="0.3">
      <c r="A1779" s="2">
        <v>1769</v>
      </c>
      <c r="B1779" s="1">
        <v>45000.666666666664</v>
      </c>
      <c r="C1779" s="1" t="str">
        <f t="shared" si="54"/>
        <v>03-2023</v>
      </c>
      <c r="D1779" s="2">
        <f t="shared" si="55"/>
        <v>11</v>
      </c>
      <c r="E1779" t="s">
        <v>25</v>
      </c>
      <c r="F1779" t="s">
        <v>14</v>
      </c>
      <c r="G1779" t="s">
        <v>20</v>
      </c>
      <c r="H1779" s="2">
        <v>39225</v>
      </c>
      <c r="I1779" s="2">
        <v>9</v>
      </c>
      <c r="J1779" s="2">
        <v>62760</v>
      </c>
      <c r="K1779" s="2">
        <v>103095</v>
      </c>
      <c r="L1779" s="2">
        <v>1</v>
      </c>
      <c r="M1779" t="str">
        <f>IF(Revv_bike_sales_data[[#This Row],[delivery_days]]&lt;=7, "Yes", "No")</f>
        <v>Yes</v>
      </c>
      <c r="N1779" t="s">
        <v>16</v>
      </c>
      <c r="O1779" s="2">
        <v>-40335</v>
      </c>
    </row>
    <row r="1780" spans="1:15" x14ac:dyDescent="0.3">
      <c r="A1780" s="2">
        <v>1770</v>
      </c>
      <c r="B1780" s="1">
        <v>45000.708333333336</v>
      </c>
      <c r="C1780" s="1" t="str">
        <f t="shared" si="54"/>
        <v>03-2023</v>
      </c>
      <c r="D1780" s="2">
        <f t="shared" si="55"/>
        <v>11</v>
      </c>
      <c r="E1780" t="s">
        <v>13</v>
      </c>
      <c r="F1780" t="s">
        <v>14</v>
      </c>
      <c r="G1780" t="s">
        <v>21</v>
      </c>
      <c r="H1780" s="2">
        <v>5755</v>
      </c>
      <c r="I1780" s="2">
        <v>4</v>
      </c>
      <c r="J1780" s="2">
        <v>135174</v>
      </c>
      <c r="K1780" s="2">
        <v>41570</v>
      </c>
      <c r="L1780" s="2">
        <v>2</v>
      </c>
      <c r="M1780" t="str">
        <f>IF(Revv_bike_sales_data[[#This Row],[delivery_days]]&lt;=7, "Yes", "No")</f>
        <v>Yes</v>
      </c>
      <c r="N1780" t="s">
        <v>16</v>
      </c>
      <c r="O1780" s="2">
        <v>93604</v>
      </c>
    </row>
    <row r="1781" spans="1:15" x14ac:dyDescent="0.3">
      <c r="A1781" s="2">
        <v>1771</v>
      </c>
      <c r="B1781" s="1">
        <v>45000.75</v>
      </c>
      <c r="C1781" s="1" t="str">
        <f t="shared" si="54"/>
        <v>03-2023</v>
      </c>
      <c r="D1781" s="2">
        <f t="shared" si="55"/>
        <v>11</v>
      </c>
      <c r="E1781" t="s">
        <v>13</v>
      </c>
      <c r="F1781" t="s">
        <v>23</v>
      </c>
      <c r="G1781" t="s">
        <v>19</v>
      </c>
      <c r="H1781" s="2">
        <v>75447</v>
      </c>
      <c r="I1781" s="2">
        <v>0</v>
      </c>
      <c r="J1781" s="2">
        <v>152192</v>
      </c>
      <c r="K1781" s="2">
        <v>120569</v>
      </c>
      <c r="L1781" s="2">
        <v>14</v>
      </c>
      <c r="M1781" t="str">
        <f>IF(Revv_bike_sales_data[[#This Row],[delivery_days]]&lt;=7, "Yes", "No")</f>
        <v>No</v>
      </c>
      <c r="N1781" t="s">
        <v>16</v>
      </c>
      <c r="O1781" s="2">
        <v>31623</v>
      </c>
    </row>
    <row r="1782" spans="1:15" x14ac:dyDescent="0.3">
      <c r="A1782" s="2">
        <v>1772</v>
      </c>
      <c r="B1782" s="1">
        <v>45000.791666666664</v>
      </c>
      <c r="C1782" s="1" t="str">
        <f t="shared" si="54"/>
        <v>03-2023</v>
      </c>
      <c r="D1782" s="2">
        <f t="shared" si="55"/>
        <v>11</v>
      </c>
      <c r="E1782" t="s">
        <v>25</v>
      </c>
      <c r="F1782" t="s">
        <v>14</v>
      </c>
      <c r="G1782" t="s">
        <v>15</v>
      </c>
      <c r="H1782" s="2">
        <v>53880</v>
      </c>
      <c r="I1782" s="2">
        <v>5</v>
      </c>
      <c r="J1782" s="2">
        <v>54024</v>
      </c>
      <c r="K1782" s="2">
        <v>21103</v>
      </c>
      <c r="L1782" s="2">
        <v>11</v>
      </c>
      <c r="M1782" t="str">
        <f>IF(Revv_bike_sales_data[[#This Row],[delivery_days]]&lt;=7, "Yes", "No")</f>
        <v>No</v>
      </c>
      <c r="N1782" t="s">
        <v>16</v>
      </c>
      <c r="O1782" s="2">
        <v>32921</v>
      </c>
    </row>
    <row r="1783" spans="1:15" x14ac:dyDescent="0.3">
      <c r="A1783" s="2">
        <v>1773</v>
      </c>
      <c r="B1783" s="1">
        <v>45000.833333333336</v>
      </c>
      <c r="C1783" s="1" t="str">
        <f t="shared" si="54"/>
        <v>03-2023</v>
      </c>
      <c r="D1783" s="2">
        <f t="shared" si="55"/>
        <v>11</v>
      </c>
      <c r="E1783" t="s">
        <v>18</v>
      </c>
      <c r="F1783" t="s">
        <v>14</v>
      </c>
      <c r="G1783" t="s">
        <v>21</v>
      </c>
      <c r="H1783" s="2">
        <v>53833</v>
      </c>
      <c r="I1783" s="2">
        <v>9</v>
      </c>
      <c r="J1783" s="2">
        <v>48202</v>
      </c>
      <c r="K1783" s="2">
        <v>124316</v>
      </c>
      <c r="L1783" s="2">
        <v>2</v>
      </c>
      <c r="M1783" t="str">
        <f>IF(Revv_bike_sales_data[[#This Row],[delivery_days]]&lt;=7, "Yes", "No")</f>
        <v>Yes</v>
      </c>
      <c r="N1783" t="s">
        <v>16</v>
      </c>
      <c r="O1783" s="2">
        <v>-76114</v>
      </c>
    </row>
    <row r="1784" spans="1:15" x14ac:dyDescent="0.3">
      <c r="A1784" s="2">
        <v>1774</v>
      </c>
      <c r="B1784" s="1">
        <v>45000.875</v>
      </c>
      <c r="C1784" s="1" t="str">
        <f t="shared" si="54"/>
        <v>03-2023</v>
      </c>
      <c r="D1784" s="2">
        <f t="shared" si="55"/>
        <v>11</v>
      </c>
      <c r="E1784" t="s">
        <v>17</v>
      </c>
      <c r="F1784" t="s">
        <v>14</v>
      </c>
      <c r="G1784" t="s">
        <v>20</v>
      </c>
      <c r="H1784" s="2">
        <v>42959</v>
      </c>
      <c r="I1784" s="2">
        <v>9</v>
      </c>
      <c r="J1784" s="2">
        <v>144414</v>
      </c>
      <c r="K1784" s="2">
        <v>137046</v>
      </c>
      <c r="L1784" s="2">
        <v>5</v>
      </c>
      <c r="M1784" t="str">
        <f>IF(Revv_bike_sales_data[[#This Row],[delivery_days]]&lt;=7, "Yes", "No")</f>
        <v>Yes</v>
      </c>
      <c r="N1784" t="s">
        <v>16</v>
      </c>
      <c r="O1784" s="2">
        <v>7368</v>
      </c>
    </row>
    <row r="1785" spans="1:15" x14ac:dyDescent="0.3">
      <c r="A1785" s="2">
        <v>1775</v>
      </c>
      <c r="B1785" s="1">
        <v>45000.916666666664</v>
      </c>
      <c r="C1785" s="1" t="str">
        <f t="shared" si="54"/>
        <v>03-2023</v>
      </c>
      <c r="D1785" s="2">
        <f t="shared" si="55"/>
        <v>11</v>
      </c>
      <c r="E1785" t="s">
        <v>17</v>
      </c>
      <c r="F1785" t="s">
        <v>14</v>
      </c>
      <c r="G1785" t="s">
        <v>21</v>
      </c>
      <c r="H1785" s="2">
        <v>36663</v>
      </c>
      <c r="I1785" s="2">
        <v>6</v>
      </c>
      <c r="J1785" s="2">
        <v>76524</v>
      </c>
      <c r="K1785" s="2">
        <v>30900</v>
      </c>
      <c r="L1785" s="2">
        <v>1</v>
      </c>
      <c r="M1785" t="str">
        <f>IF(Revv_bike_sales_data[[#This Row],[delivery_days]]&lt;=7, "Yes", "No")</f>
        <v>Yes</v>
      </c>
      <c r="N1785" t="s">
        <v>24</v>
      </c>
      <c r="O1785" s="2">
        <v>45624</v>
      </c>
    </row>
    <row r="1786" spans="1:15" x14ac:dyDescent="0.3">
      <c r="A1786" s="2">
        <v>1776</v>
      </c>
      <c r="B1786" s="1">
        <v>45000.958333333336</v>
      </c>
      <c r="C1786" s="1" t="str">
        <f t="shared" si="54"/>
        <v>03-2023</v>
      </c>
      <c r="D1786" s="2">
        <f t="shared" si="55"/>
        <v>11</v>
      </c>
      <c r="E1786" t="s">
        <v>13</v>
      </c>
      <c r="F1786" t="s">
        <v>14</v>
      </c>
      <c r="G1786" t="s">
        <v>21</v>
      </c>
      <c r="H1786" s="2">
        <v>34471</v>
      </c>
      <c r="I1786" s="2">
        <v>0</v>
      </c>
      <c r="J1786" s="2">
        <v>165432</v>
      </c>
      <c r="K1786" s="2">
        <v>73415</v>
      </c>
      <c r="L1786" s="2">
        <v>11</v>
      </c>
      <c r="M1786" t="str">
        <f>IF(Revv_bike_sales_data[[#This Row],[delivery_days]]&lt;=7, "Yes", "No")</f>
        <v>No</v>
      </c>
      <c r="N1786" t="s">
        <v>16</v>
      </c>
      <c r="O1786" s="2">
        <v>92017</v>
      </c>
    </row>
    <row r="1787" spans="1:15" x14ac:dyDescent="0.3">
      <c r="A1787" s="2">
        <v>1777</v>
      </c>
      <c r="B1787" s="1">
        <v>45001</v>
      </c>
      <c r="C1787" s="1" t="str">
        <f t="shared" si="54"/>
        <v>03-2023</v>
      </c>
      <c r="D1787" s="2">
        <f t="shared" si="55"/>
        <v>11</v>
      </c>
      <c r="E1787" t="s">
        <v>17</v>
      </c>
      <c r="F1787" t="s">
        <v>14</v>
      </c>
      <c r="G1787" t="s">
        <v>20</v>
      </c>
      <c r="H1787" s="2">
        <v>97271</v>
      </c>
      <c r="I1787" s="2">
        <v>9</v>
      </c>
      <c r="J1787" s="2">
        <v>123228</v>
      </c>
      <c r="K1787" s="2">
        <v>82567</v>
      </c>
      <c r="L1787" s="2">
        <v>2</v>
      </c>
      <c r="M1787" t="str">
        <f>IF(Revv_bike_sales_data[[#This Row],[delivery_days]]&lt;=7, "Yes", "No")</f>
        <v>Yes</v>
      </c>
      <c r="N1787" t="s">
        <v>16</v>
      </c>
      <c r="O1787" s="2">
        <v>40661</v>
      </c>
    </row>
    <row r="1788" spans="1:15" x14ac:dyDescent="0.3">
      <c r="A1788" s="2">
        <v>1778</v>
      </c>
      <c r="B1788" s="1">
        <v>45001.041666666664</v>
      </c>
      <c r="C1788" s="1" t="str">
        <f t="shared" si="54"/>
        <v>03-2023</v>
      </c>
      <c r="D1788" s="2">
        <f t="shared" si="55"/>
        <v>11</v>
      </c>
      <c r="E1788" t="s">
        <v>25</v>
      </c>
      <c r="F1788" t="s">
        <v>14</v>
      </c>
      <c r="G1788" t="s">
        <v>19</v>
      </c>
      <c r="H1788" s="2">
        <v>65649</v>
      </c>
      <c r="I1788" s="2">
        <v>3</v>
      </c>
      <c r="J1788" s="2">
        <v>129755</v>
      </c>
      <c r="K1788" s="2">
        <v>77713</v>
      </c>
      <c r="L1788" s="2">
        <v>6</v>
      </c>
      <c r="M1788" t="str">
        <f>IF(Revv_bike_sales_data[[#This Row],[delivery_days]]&lt;=7, "Yes", "No")</f>
        <v>Yes</v>
      </c>
      <c r="N1788" t="s">
        <v>16</v>
      </c>
      <c r="O1788" s="2">
        <v>52042</v>
      </c>
    </row>
    <row r="1789" spans="1:15" x14ac:dyDescent="0.3">
      <c r="A1789" s="2">
        <v>1779</v>
      </c>
      <c r="B1789" s="1">
        <v>45001.083333333336</v>
      </c>
      <c r="C1789" s="1" t="str">
        <f t="shared" si="54"/>
        <v>03-2023</v>
      </c>
      <c r="D1789" s="2">
        <f t="shared" si="55"/>
        <v>11</v>
      </c>
      <c r="E1789" t="s">
        <v>25</v>
      </c>
      <c r="F1789" t="s">
        <v>14</v>
      </c>
      <c r="G1789" t="s">
        <v>19</v>
      </c>
      <c r="H1789" s="2">
        <v>85230</v>
      </c>
      <c r="I1789" s="2">
        <v>8</v>
      </c>
      <c r="J1789" s="2">
        <v>169013</v>
      </c>
      <c r="K1789" s="2">
        <v>98169</v>
      </c>
      <c r="L1789" s="2">
        <v>3</v>
      </c>
      <c r="M1789" t="str">
        <f>IF(Revv_bike_sales_data[[#This Row],[delivery_days]]&lt;=7, "Yes", "No")</f>
        <v>Yes</v>
      </c>
      <c r="N1789" t="s">
        <v>16</v>
      </c>
      <c r="O1789" s="2">
        <v>70844</v>
      </c>
    </row>
    <row r="1790" spans="1:15" x14ac:dyDescent="0.3">
      <c r="A1790" s="2">
        <v>1780</v>
      </c>
      <c r="B1790" s="1">
        <v>45001.125</v>
      </c>
      <c r="C1790" s="1" t="str">
        <f t="shared" si="54"/>
        <v>03-2023</v>
      </c>
      <c r="D1790" s="2">
        <f t="shared" si="55"/>
        <v>11</v>
      </c>
      <c r="E1790" t="s">
        <v>13</v>
      </c>
      <c r="F1790" t="s">
        <v>14</v>
      </c>
      <c r="G1790" t="s">
        <v>21</v>
      </c>
      <c r="H1790" s="2">
        <v>19976</v>
      </c>
      <c r="I1790" s="2">
        <v>0</v>
      </c>
      <c r="J1790" s="2">
        <v>40993</v>
      </c>
      <c r="K1790" s="2">
        <v>73639</v>
      </c>
      <c r="L1790" s="2">
        <v>4</v>
      </c>
      <c r="M1790" t="str">
        <f>IF(Revv_bike_sales_data[[#This Row],[delivery_days]]&lt;=7, "Yes", "No")</f>
        <v>Yes</v>
      </c>
      <c r="N1790" t="s">
        <v>16</v>
      </c>
      <c r="O1790" s="2">
        <v>-32646</v>
      </c>
    </row>
    <row r="1791" spans="1:15" x14ac:dyDescent="0.3">
      <c r="A1791" s="2">
        <v>1781</v>
      </c>
      <c r="B1791" s="1">
        <v>45001.166666666664</v>
      </c>
      <c r="C1791" s="1" t="str">
        <f t="shared" si="54"/>
        <v>03-2023</v>
      </c>
      <c r="D1791" s="2">
        <f t="shared" si="55"/>
        <v>11</v>
      </c>
      <c r="E1791" t="s">
        <v>13</v>
      </c>
      <c r="F1791" t="s">
        <v>14</v>
      </c>
      <c r="G1791" t="s">
        <v>20</v>
      </c>
      <c r="H1791" s="2">
        <v>69080</v>
      </c>
      <c r="I1791" s="2">
        <v>8</v>
      </c>
      <c r="J1791" s="2">
        <v>39620</v>
      </c>
      <c r="K1791" s="2">
        <v>103728</v>
      </c>
      <c r="L1791" s="2">
        <v>1</v>
      </c>
      <c r="M1791" t="str">
        <f>IF(Revv_bike_sales_data[[#This Row],[delivery_days]]&lt;=7, "Yes", "No")</f>
        <v>Yes</v>
      </c>
      <c r="N1791" t="s">
        <v>16</v>
      </c>
      <c r="O1791" s="2">
        <v>-64108</v>
      </c>
    </row>
    <row r="1792" spans="1:15" x14ac:dyDescent="0.3">
      <c r="A1792" s="2">
        <v>1782</v>
      </c>
      <c r="B1792" s="1">
        <v>45001.208333333336</v>
      </c>
      <c r="C1792" s="1" t="str">
        <f t="shared" si="54"/>
        <v>03-2023</v>
      </c>
      <c r="D1792" s="2">
        <f t="shared" si="55"/>
        <v>11</v>
      </c>
      <c r="E1792" t="s">
        <v>13</v>
      </c>
      <c r="F1792" t="s">
        <v>14</v>
      </c>
      <c r="G1792" t="s">
        <v>15</v>
      </c>
      <c r="H1792" s="2">
        <v>87093</v>
      </c>
      <c r="I1792" s="2">
        <v>7</v>
      </c>
      <c r="J1792" s="2">
        <v>148271</v>
      </c>
      <c r="K1792" s="2">
        <v>100476</v>
      </c>
      <c r="L1792" s="2">
        <v>5</v>
      </c>
      <c r="M1792" t="str">
        <f>IF(Revv_bike_sales_data[[#This Row],[delivery_days]]&lt;=7, "Yes", "No")</f>
        <v>Yes</v>
      </c>
      <c r="N1792" t="s">
        <v>16</v>
      </c>
      <c r="O1792" s="2">
        <v>47795</v>
      </c>
    </row>
    <row r="1793" spans="1:15" x14ac:dyDescent="0.3">
      <c r="A1793" s="2">
        <v>1783</v>
      </c>
      <c r="B1793" s="1">
        <v>45001.25</v>
      </c>
      <c r="C1793" s="1" t="str">
        <f t="shared" si="54"/>
        <v>03-2023</v>
      </c>
      <c r="D1793" s="2">
        <f t="shared" si="55"/>
        <v>11</v>
      </c>
      <c r="E1793" t="s">
        <v>18</v>
      </c>
      <c r="F1793" t="s">
        <v>14</v>
      </c>
      <c r="G1793" t="s">
        <v>21</v>
      </c>
      <c r="H1793" s="2">
        <v>69550</v>
      </c>
      <c r="I1793" s="2">
        <v>4</v>
      </c>
      <c r="J1793" s="2">
        <v>45193</v>
      </c>
      <c r="K1793" s="2">
        <v>121823</v>
      </c>
      <c r="L1793" s="2">
        <v>4</v>
      </c>
      <c r="M1793" t="str">
        <f>IF(Revv_bike_sales_data[[#This Row],[delivery_days]]&lt;=7, "Yes", "No")</f>
        <v>Yes</v>
      </c>
      <c r="N1793" t="s">
        <v>16</v>
      </c>
      <c r="O1793" s="2">
        <v>-76630</v>
      </c>
    </row>
    <row r="1794" spans="1:15" x14ac:dyDescent="0.3">
      <c r="A1794" s="2">
        <v>1784</v>
      </c>
      <c r="B1794" s="1">
        <v>45001.291666666664</v>
      </c>
      <c r="C1794" s="1" t="str">
        <f t="shared" si="54"/>
        <v>03-2023</v>
      </c>
      <c r="D1794" s="2">
        <f t="shared" si="55"/>
        <v>11</v>
      </c>
      <c r="E1794" t="s">
        <v>17</v>
      </c>
      <c r="F1794" t="s">
        <v>23</v>
      </c>
      <c r="G1794" t="s">
        <v>15</v>
      </c>
      <c r="H1794" s="2">
        <v>76026</v>
      </c>
      <c r="I1794" s="2">
        <v>5</v>
      </c>
      <c r="J1794" s="2">
        <v>76559</v>
      </c>
      <c r="K1794" s="2">
        <v>23988</v>
      </c>
      <c r="L1794" s="2">
        <v>8</v>
      </c>
      <c r="M1794" t="str">
        <f>IF(Revv_bike_sales_data[[#This Row],[delivery_days]]&lt;=7, "Yes", "No")</f>
        <v>No</v>
      </c>
      <c r="N1794" t="s">
        <v>16</v>
      </c>
      <c r="O1794" s="2">
        <v>52571</v>
      </c>
    </row>
    <row r="1795" spans="1:15" x14ac:dyDescent="0.3">
      <c r="A1795" s="2">
        <v>1785</v>
      </c>
      <c r="B1795" s="1">
        <v>45001.333333333336</v>
      </c>
      <c r="C1795" s="1" t="str">
        <f t="shared" si="54"/>
        <v>03-2023</v>
      </c>
      <c r="D1795" s="2">
        <f t="shared" si="55"/>
        <v>11</v>
      </c>
      <c r="E1795" t="s">
        <v>13</v>
      </c>
      <c r="F1795" t="s">
        <v>23</v>
      </c>
      <c r="G1795" t="s">
        <v>21</v>
      </c>
      <c r="H1795" s="2">
        <v>8007</v>
      </c>
      <c r="I1795" s="2">
        <v>6</v>
      </c>
      <c r="J1795" s="2">
        <v>46248</v>
      </c>
      <c r="K1795" s="2">
        <v>118603</v>
      </c>
      <c r="L1795" s="2">
        <v>3</v>
      </c>
      <c r="M1795" t="str">
        <f>IF(Revv_bike_sales_data[[#This Row],[delivery_days]]&lt;=7, "Yes", "No")</f>
        <v>Yes</v>
      </c>
      <c r="N1795" t="s">
        <v>16</v>
      </c>
      <c r="O1795" s="2">
        <v>-72355</v>
      </c>
    </row>
    <row r="1796" spans="1:15" x14ac:dyDescent="0.3">
      <c r="A1796" s="2">
        <v>1786</v>
      </c>
      <c r="B1796" s="1">
        <v>45001.375</v>
      </c>
      <c r="C1796" s="1" t="str">
        <f t="shared" si="54"/>
        <v>03-2023</v>
      </c>
      <c r="D1796" s="2">
        <f t="shared" si="55"/>
        <v>11</v>
      </c>
      <c r="E1796" t="s">
        <v>22</v>
      </c>
      <c r="F1796" t="s">
        <v>14</v>
      </c>
      <c r="G1796" t="s">
        <v>21</v>
      </c>
      <c r="H1796" s="2">
        <v>70893</v>
      </c>
      <c r="I1796" s="2">
        <v>3</v>
      </c>
      <c r="J1796" s="2">
        <v>161099</v>
      </c>
      <c r="K1796" s="2">
        <v>93488</v>
      </c>
      <c r="L1796" s="2">
        <v>10</v>
      </c>
      <c r="M1796" t="str">
        <f>IF(Revv_bike_sales_data[[#This Row],[delivery_days]]&lt;=7, "Yes", "No")</f>
        <v>No</v>
      </c>
      <c r="N1796" t="s">
        <v>24</v>
      </c>
      <c r="O1796" s="2">
        <v>67611</v>
      </c>
    </row>
    <row r="1797" spans="1:15" x14ac:dyDescent="0.3">
      <c r="A1797" s="2">
        <v>1787</v>
      </c>
      <c r="B1797" s="1">
        <v>45001.416666666664</v>
      </c>
      <c r="C1797" s="1" t="str">
        <f t="shared" si="54"/>
        <v>03-2023</v>
      </c>
      <c r="D1797" s="2">
        <f t="shared" si="55"/>
        <v>11</v>
      </c>
      <c r="E1797" t="s">
        <v>22</v>
      </c>
      <c r="F1797" t="s">
        <v>14</v>
      </c>
      <c r="G1797" t="s">
        <v>20</v>
      </c>
      <c r="H1797" s="2">
        <v>12618</v>
      </c>
      <c r="I1797" s="2">
        <v>5</v>
      </c>
      <c r="J1797" s="2">
        <v>88410</v>
      </c>
      <c r="K1797" s="2">
        <v>107905</v>
      </c>
      <c r="L1797" s="2">
        <v>1</v>
      </c>
      <c r="M1797" t="str">
        <f>IF(Revv_bike_sales_data[[#This Row],[delivery_days]]&lt;=7, "Yes", "No")</f>
        <v>Yes</v>
      </c>
      <c r="N1797" t="s">
        <v>16</v>
      </c>
      <c r="O1797" s="2">
        <v>-19495</v>
      </c>
    </row>
    <row r="1798" spans="1:15" x14ac:dyDescent="0.3">
      <c r="A1798" s="2">
        <v>1788</v>
      </c>
      <c r="B1798" s="1">
        <v>45001.458333333336</v>
      </c>
      <c r="C1798" s="1" t="str">
        <f t="shared" si="54"/>
        <v>03-2023</v>
      </c>
      <c r="D1798" s="2">
        <f t="shared" si="55"/>
        <v>11</v>
      </c>
      <c r="E1798" t="s">
        <v>25</v>
      </c>
      <c r="F1798" t="s">
        <v>14</v>
      </c>
      <c r="G1798" t="s">
        <v>20</v>
      </c>
      <c r="H1798" s="2">
        <v>51029</v>
      </c>
      <c r="I1798" s="2">
        <v>6</v>
      </c>
      <c r="J1798" s="2">
        <v>29260</v>
      </c>
      <c r="K1798" s="2">
        <v>116398</v>
      </c>
      <c r="L1798" s="2">
        <v>14</v>
      </c>
      <c r="M1798" t="str">
        <f>IF(Revv_bike_sales_data[[#This Row],[delivery_days]]&lt;=7, "Yes", "No")</f>
        <v>No</v>
      </c>
      <c r="N1798" t="s">
        <v>16</v>
      </c>
      <c r="O1798" s="2">
        <v>-87138</v>
      </c>
    </row>
    <row r="1799" spans="1:15" x14ac:dyDescent="0.3">
      <c r="A1799" s="2">
        <v>1789</v>
      </c>
      <c r="B1799" s="1">
        <v>45001.5</v>
      </c>
      <c r="C1799" s="1" t="str">
        <f t="shared" si="54"/>
        <v>03-2023</v>
      </c>
      <c r="D1799" s="2">
        <f t="shared" si="55"/>
        <v>11</v>
      </c>
      <c r="E1799" t="s">
        <v>17</v>
      </c>
      <c r="F1799" t="s">
        <v>14</v>
      </c>
      <c r="G1799" t="s">
        <v>15</v>
      </c>
      <c r="H1799" s="2">
        <v>69182</v>
      </c>
      <c r="I1799" s="2">
        <v>5</v>
      </c>
      <c r="J1799" s="2">
        <v>62596</v>
      </c>
      <c r="K1799" s="2">
        <v>17977</v>
      </c>
      <c r="L1799" s="2">
        <v>13</v>
      </c>
      <c r="M1799" t="str">
        <f>IF(Revv_bike_sales_data[[#This Row],[delivery_days]]&lt;=7, "Yes", "No")</f>
        <v>No</v>
      </c>
      <c r="N1799" t="s">
        <v>16</v>
      </c>
      <c r="O1799" s="2">
        <v>44619</v>
      </c>
    </row>
    <row r="1800" spans="1:15" x14ac:dyDescent="0.3">
      <c r="A1800" s="2">
        <v>1790</v>
      </c>
      <c r="B1800" s="1">
        <v>45001.541666666664</v>
      </c>
      <c r="C1800" s="1" t="str">
        <f t="shared" si="54"/>
        <v>03-2023</v>
      </c>
      <c r="D1800" s="2">
        <f t="shared" si="55"/>
        <v>11</v>
      </c>
      <c r="E1800" t="s">
        <v>13</v>
      </c>
      <c r="F1800" t="s">
        <v>14</v>
      </c>
      <c r="G1800" t="s">
        <v>15</v>
      </c>
      <c r="H1800" s="2">
        <v>92437</v>
      </c>
      <c r="I1800" s="2">
        <v>5</v>
      </c>
      <c r="J1800" s="2">
        <v>34012</v>
      </c>
      <c r="K1800" s="2">
        <v>130650</v>
      </c>
      <c r="L1800" s="2">
        <v>10</v>
      </c>
      <c r="M1800" t="str">
        <f>IF(Revv_bike_sales_data[[#This Row],[delivery_days]]&lt;=7, "Yes", "No")</f>
        <v>No</v>
      </c>
      <c r="N1800" t="s">
        <v>24</v>
      </c>
      <c r="O1800" s="2">
        <v>-96638</v>
      </c>
    </row>
    <row r="1801" spans="1:15" x14ac:dyDescent="0.3">
      <c r="A1801" s="2">
        <v>1791</v>
      </c>
      <c r="B1801" s="1">
        <v>45001.583333333336</v>
      </c>
      <c r="C1801" s="1" t="str">
        <f t="shared" si="54"/>
        <v>03-2023</v>
      </c>
      <c r="D1801" s="2">
        <f t="shared" si="55"/>
        <v>11</v>
      </c>
      <c r="E1801" t="s">
        <v>22</v>
      </c>
      <c r="F1801" t="s">
        <v>14</v>
      </c>
      <c r="G1801" t="s">
        <v>19</v>
      </c>
      <c r="H1801" s="2">
        <v>54676</v>
      </c>
      <c r="I1801" s="2">
        <v>1</v>
      </c>
      <c r="J1801" s="2">
        <v>50823</v>
      </c>
      <c r="K1801" s="2">
        <v>119029</v>
      </c>
      <c r="L1801" s="2">
        <v>5</v>
      </c>
      <c r="M1801" t="str">
        <f>IF(Revv_bike_sales_data[[#This Row],[delivery_days]]&lt;=7, "Yes", "No")</f>
        <v>Yes</v>
      </c>
      <c r="N1801" t="s">
        <v>16</v>
      </c>
      <c r="O1801" s="2">
        <v>-68206</v>
      </c>
    </row>
    <row r="1802" spans="1:15" x14ac:dyDescent="0.3">
      <c r="A1802" s="2">
        <v>1792</v>
      </c>
      <c r="B1802" s="1">
        <v>45001.625</v>
      </c>
      <c r="C1802" s="1" t="str">
        <f t="shared" si="54"/>
        <v>03-2023</v>
      </c>
      <c r="D1802" s="2">
        <f t="shared" si="55"/>
        <v>11</v>
      </c>
      <c r="E1802" t="s">
        <v>17</v>
      </c>
      <c r="F1802" t="s">
        <v>14</v>
      </c>
      <c r="G1802" t="s">
        <v>20</v>
      </c>
      <c r="H1802" s="2">
        <v>92213</v>
      </c>
      <c r="I1802" s="2">
        <v>4</v>
      </c>
      <c r="J1802" s="2">
        <v>98851</v>
      </c>
      <c r="K1802" s="2">
        <v>69641</v>
      </c>
      <c r="L1802" s="2">
        <v>14</v>
      </c>
      <c r="M1802" t="str">
        <f>IF(Revv_bike_sales_data[[#This Row],[delivery_days]]&lt;=7, "Yes", "No")</f>
        <v>No</v>
      </c>
      <c r="N1802" t="s">
        <v>16</v>
      </c>
      <c r="O1802" s="2">
        <v>29210</v>
      </c>
    </row>
    <row r="1803" spans="1:15" x14ac:dyDescent="0.3">
      <c r="A1803" s="2">
        <v>1793</v>
      </c>
      <c r="B1803" s="1">
        <v>45001.666666666664</v>
      </c>
      <c r="C1803" s="1" t="str">
        <f t="shared" ref="C1803:C1866" si="56">TEXT(B1803,"mm-yyyy")</f>
        <v>03-2023</v>
      </c>
      <c r="D1803" s="2">
        <f t="shared" ref="D1803:D1866" si="57">WEEKNUM(B1803)</f>
        <v>11</v>
      </c>
      <c r="E1803" t="s">
        <v>25</v>
      </c>
      <c r="F1803" t="s">
        <v>14</v>
      </c>
      <c r="G1803" t="s">
        <v>21</v>
      </c>
      <c r="H1803" s="2">
        <v>4914</v>
      </c>
      <c r="I1803" s="2">
        <v>2</v>
      </c>
      <c r="J1803" s="2">
        <v>72027</v>
      </c>
      <c r="K1803" s="2">
        <v>16268</v>
      </c>
      <c r="L1803" s="2">
        <v>1</v>
      </c>
      <c r="M1803" t="str">
        <f>IF(Revv_bike_sales_data[[#This Row],[delivery_days]]&lt;=7, "Yes", "No")</f>
        <v>Yes</v>
      </c>
      <c r="N1803" t="s">
        <v>16</v>
      </c>
      <c r="O1803" s="2">
        <v>55759</v>
      </c>
    </row>
    <row r="1804" spans="1:15" x14ac:dyDescent="0.3">
      <c r="A1804" s="2">
        <v>1794</v>
      </c>
      <c r="B1804" s="1">
        <v>45001.708333333336</v>
      </c>
      <c r="C1804" s="1" t="str">
        <f t="shared" si="56"/>
        <v>03-2023</v>
      </c>
      <c r="D1804" s="2">
        <f t="shared" si="57"/>
        <v>11</v>
      </c>
      <c r="E1804" t="s">
        <v>18</v>
      </c>
      <c r="F1804" t="s">
        <v>14</v>
      </c>
      <c r="G1804" t="s">
        <v>21</v>
      </c>
      <c r="H1804" s="2">
        <v>83530</v>
      </c>
      <c r="I1804" s="2">
        <v>6</v>
      </c>
      <c r="J1804" s="2">
        <v>108794</v>
      </c>
      <c r="K1804" s="2">
        <v>129465</v>
      </c>
      <c r="L1804" s="2">
        <v>11</v>
      </c>
      <c r="M1804" t="str">
        <f>IF(Revv_bike_sales_data[[#This Row],[delivery_days]]&lt;=7, "Yes", "No")</f>
        <v>No</v>
      </c>
      <c r="N1804" t="s">
        <v>16</v>
      </c>
      <c r="O1804" s="2">
        <v>-20671</v>
      </c>
    </row>
    <row r="1805" spans="1:15" x14ac:dyDescent="0.3">
      <c r="A1805" s="2">
        <v>1795</v>
      </c>
      <c r="B1805" s="1">
        <v>45001.75</v>
      </c>
      <c r="C1805" s="1" t="str">
        <f t="shared" si="56"/>
        <v>03-2023</v>
      </c>
      <c r="D1805" s="2">
        <f t="shared" si="57"/>
        <v>11</v>
      </c>
      <c r="E1805" t="s">
        <v>17</v>
      </c>
      <c r="F1805" t="s">
        <v>14</v>
      </c>
      <c r="G1805" t="s">
        <v>19</v>
      </c>
      <c r="H1805" s="2">
        <v>86473</v>
      </c>
      <c r="I1805" s="2">
        <v>3</v>
      </c>
      <c r="J1805" s="2">
        <v>50099</v>
      </c>
      <c r="K1805" s="2">
        <v>69431</v>
      </c>
      <c r="L1805" s="2">
        <v>5</v>
      </c>
      <c r="M1805" t="str">
        <f>IF(Revv_bike_sales_data[[#This Row],[delivery_days]]&lt;=7, "Yes", "No")</f>
        <v>Yes</v>
      </c>
      <c r="N1805" t="s">
        <v>16</v>
      </c>
      <c r="O1805" s="2">
        <v>-19332</v>
      </c>
    </row>
    <row r="1806" spans="1:15" x14ac:dyDescent="0.3">
      <c r="A1806" s="2">
        <v>1796</v>
      </c>
      <c r="B1806" s="1">
        <v>45001.791666666664</v>
      </c>
      <c r="C1806" s="1" t="str">
        <f t="shared" si="56"/>
        <v>03-2023</v>
      </c>
      <c r="D1806" s="2">
        <f t="shared" si="57"/>
        <v>11</v>
      </c>
      <c r="E1806" t="s">
        <v>17</v>
      </c>
      <c r="F1806" t="s">
        <v>14</v>
      </c>
      <c r="G1806" t="s">
        <v>20</v>
      </c>
      <c r="H1806" s="2">
        <v>62637</v>
      </c>
      <c r="I1806" s="2">
        <v>0</v>
      </c>
      <c r="J1806" s="2">
        <v>126427</v>
      </c>
      <c r="K1806" s="2">
        <v>31756</v>
      </c>
      <c r="L1806" s="2">
        <v>9</v>
      </c>
      <c r="M1806" t="str">
        <f>IF(Revv_bike_sales_data[[#This Row],[delivery_days]]&lt;=7, "Yes", "No")</f>
        <v>No</v>
      </c>
      <c r="N1806" t="s">
        <v>16</v>
      </c>
      <c r="O1806" s="2">
        <v>94671</v>
      </c>
    </row>
    <row r="1807" spans="1:15" x14ac:dyDescent="0.3">
      <c r="A1807" s="2">
        <v>1797</v>
      </c>
      <c r="B1807" s="1">
        <v>45001.833333333336</v>
      </c>
      <c r="C1807" s="1" t="str">
        <f t="shared" si="56"/>
        <v>03-2023</v>
      </c>
      <c r="D1807" s="2">
        <f t="shared" si="57"/>
        <v>11</v>
      </c>
      <c r="E1807" t="s">
        <v>18</v>
      </c>
      <c r="F1807" t="s">
        <v>14</v>
      </c>
      <c r="G1807" t="s">
        <v>21</v>
      </c>
      <c r="H1807" s="2">
        <v>4437</v>
      </c>
      <c r="I1807" s="2">
        <v>5</v>
      </c>
      <c r="J1807" s="2">
        <v>61992</v>
      </c>
      <c r="K1807" s="2">
        <v>35764</v>
      </c>
      <c r="L1807" s="2">
        <v>5</v>
      </c>
      <c r="M1807" t="str">
        <f>IF(Revv_bike_sales_data[[#This Row],[delivery_days]]&lt;=7, "Yes", "No")</f>
        <v>Yes</v>
      </c>
      <c r="N1807" t="s">
        <v>16</v>
      </c>
      <c r="O1807" s="2">
        <v>26228</v>
      </c>
    </row>
    <row r="1808" spans="1:15" x14ac:dyDescent="0.3">
      <c r="A1808" s="2">
        <v>1798</v>
      </c>
      <c r="B1808" s="1">
        <v>45001.875</v>
      </c>
      <c r="C1808" s="1" t="str">
        <f t="shared" si="56"/>
        <v>03-2023</v>
      </c>
      <c r="D1808" s="2">
        <f t="shared" si="57"/>
        <v>11</v>
      </c>
      <c r="E1808" t="s">
        <v>17</v>
      </c>
      <c r="F1808" t="s">
        <v>23</v>
      </c>
      <c r="G1808" t="s">
        <v>19</v>
      </c>
      <c r="H1808" s="2">
        <v>37231</v>
      </c>
      <c r="I1808" s="2">
        <v>5</v>
      </c>
      <c r="J1808" s="2">
        <v>144942</v>
      </c>
      <c r="K1808" s="2">
        <v>74912</v>
      </c>
      <c r="L1808" s="2">
        <v>2</v>
      </c>
      <c r="M1808" t="str">
        <f>IF(Revv_bike_sales_data[[#This Row],[delivery_days]]&lt;=7, "Yes", "No")</f>
        <v>Yes</v>
      </c>
      <c r="N1808" t="s">
        <v>16</v>
      </c>
      <c r="O1808" s="2">
        <v>70030</v>
      </c>
    </row>
    <row r="1809" spans="1:15" x14ac:dyDescent="0.3">
      <c r="A1809" s="2">
        <v>1799</v>
      </c>
      <c r="B1809" s="1">
        <v>45001.916666666664</v>
      </c>
      <c r="C1809" s="1" t="str">
        <f t="shared" si="56"/>
        <v>03-2023</v>
      </c>
      <c r="D1809" s="2">
        <f t="shared" si="57"/>
        <v>11</v>
      </c>
      <c r="E1809" t="s">
        <v>25</v>
      </c>
      <c r="F1809" t="s">
        <v>14</v>
      </c>
      <c r="G1809" t="s">
        <v>19</v>
      </c>
      <c r="H1809" s="2">
        <v>87362</v>
      </c>
      <c r="I1809" s="2">
        <v>6</v>
      </c>
      <c r="J1809" s="2">
        <v>142886</v>
      </c>
      <c r="K1809" s="2">
        <v>55385</v>
      </c>
      <c r="L1809" s="2">
        <v>13</v>
      </c>
      <c r="M1809" t="str">
        <f>IF(Revv_bike_sales_data[[#This Row],[delivery_days]]&lt;=7, "Yes", "No")</f>
        <v>No</v>
      </c>
      <c r="N1809" t="s">
        <v>16</v>
      </c>
      <c r="O1809" s="2">
        <v>87501</v>
      </c>
    </row>
    <row r="1810" spans="1:15" x14ac:dyDescent="0.3">
      <c r="A1810" s="2">
        <v>1800</v>
      </c>
      <c r="B1810" s="1">
        <v>45001.958333333336</v>
      </c>
      <c r="C1810" s="1" t="str">
        <f t="shared" si="56"/>
        <v>03-2023</v>
      </c>
      <c r="D1810" s="2">
        <f t="shared" si="57"/>
        <v>11</v>
      </c>
      <c r="E1810" t="s">
        <v>25</v>
      </c>
      <c r="F1810" t="s">
        <v>14</v>
      </c>
      <c r="G1810" t="s">
        <v>21</v>
      </c>
      <c r="H1810" s="2">
        <v>39165</v>
      </c>
      <c r="I1810" s="2">
        <v>7</v>
      </c>
      <c r="J1810" s="2">
        <v>167049</v>
      </c>
      <c r="K1810" s="2">
        <v>30032</v>
      </c>
      <c r="L1810" s="2">
        <v>2</v>
      </c>
      <c r="M1810" t="str">
        <f>IF(Revv_bike_sales_data[[#This Row],[delivery_days]]&lt;=7, "Yes", "No")</f>
        <v>Yes</v>
      </c>
      <c r="N1810" t="s">
        <v>16</v>
      </c>
      <c r="O1810" s="2">
        <v>137017</v>
      </c>
    </row>
    <row r="1811" spans="1:15" x14ac:dyDescent="0.3">
      <c r="A1811" s="2">
        <v>1801</v>
      </c>
      <c r="B1811" s="1">
        <v>45002</v>
      </c>
      <c r="C1811" s="1" t="str">
        <f t="shared" si="56"/>
        <v>03-2023</v>
      </c>
      <c r="D1811" s="2">
        <f t="shared" si="57"/>
        <v>11</v>
      </c>
      <c r="E1811" t="s">
        <v>18</v>
      </c>
      <c r="F1811" t="s">
        <v>23</v>
      </c>
      <c r="G1811" t="s">
        <v>21</v>
      </c>
      <c r="H1811" s="2">
        <v>75010</v>
      </c>
      <c r="I1811" s="2">
        <v>2</v>
      </c>
      <c r="J1811" s="2">
        <v>34218</v>
      </c>
      <c r="K1811" s="2">
        <v>110014</v>
      </c>
      <c r="L1811" s="2">
        <v>10</v>
      </c>
      <c r="M1811" t="str">
        <f>IF(Revv_bike_sales_data[[#This Row],[delivery_days]]&lt;=7, "Yes", "No")</f>
        <v>No</v>
      </c>
      <c r="N1811" t="s">
        <v>16</v>
      </c>
      <c r="O1811" s="2">
        <v>-75796</v>
      </c>
    </row>
    <row r="1812" spans="1:15" x14ac:dyDescent="0.3">
      <c r="A1812" s="2">
        <v>1802</v>
      </c>
      <c r="B1812" s="1">
        <v>45002.041666666664</v>
      </c>
      <c r="C1812" s="1" t="str">
        <f t="shared" si="56"/>
        <v>03-2023</v>
      </c>
      <c r="D1812" s="2">
        <f t="shared" si="57"/>
        <v>11</v>
      </c>
      <c r="E1812" t="s">
        <v>13</v>
      </c>
      <c r="F1812" t="s">
        <v>23</v>
      </c>
      <c r="G1812" t="s">
        <v>15</v>
      </c>
      <c r="H1812" s="2">
        <v>18000</v>
      </c>
      <c r="I1812" s="2">
        <v>5</v>
      </c>
      <c r="J1812" s="2">
        <v>46788</v>
      </c>
      <c r="K1812" s="2">
        <v>60702</v>
      </c>
      <c r="L1812" s="2">
        <v>9</v>
      </c>
      <c r="M1812" t="str">
        <f>IF(Revv_bike_sales_data[[#This Row],[delivery_days]]&lt;=7, "Yes", "No")</f>
        <v>No</v>
      </c>
      <c r="N1812" t="s">
        <v>16</v>
      </c>
      <c r="O1812" s="2">
        <v>-13914</v>
      </c>
    </row>
    <row r="1813" spans="1:15" x14ac:dyDescent="0.3">
      <c r="A1813" s="2">
        <v>1803</v>
      </c>
      <c r="B1813" s="1">
        <v>45002.083333333336</v>
      </c>
      <c r="C1813" s="1" t="str">
        <f t="shared" si="56"/>
        <v>03-2023</v>
      </c>
      <c r="D1813" s="2">
        <f t="shared" si="57"/>
        <v>11</v>
      </c>
      <c r="E1813" t="s">
        <v>22</v>
      </c>
      <c r="F1813" t="s">
        <v>14</v>
      </c>
      <c r="G1813" t="s">
        <v>20</v>
      </c>
      <c r="H1813" s="2">
        <v>2250</v>
      </c>
      <c r="I1813" s="2">
        <v>9</v>
      </c>
      <c r="J1813" s="2">
        <v>45501</v>
      </c>
      <c r="K1813" s="2">
        <v>26885</v>
      </c>
      <c r="L1813" s="2">
        <v>12</v>
      </c>
      <c r="M1813" t="str">
        <f>IF(Revv_bike_sales_data[[#This Row],[delivery_days]]&lt;=7, "Yes", "No")</f>
        <v>No</v>
      </c>
      <c r="N1813" t="s">
        <v>16</v>
      </c>
      <c r="O1813" s="2">
        <v>18616</v>
      </c>
    </row>
    <row r="1814" spans="1:15" x14ac:dyDescent="0.3">
      <c r="A1814" s="2">
        <v>1804</v>
      </c>
      <c r="B1814" s="1">
        <v>45002.125</v>
      </c>
      <c r="C1814" s="1" t="str">
        <f t="shared" si="56"/>
        <v>03-2023</v>
      </c>
      <c r="D1814" s="2">
        <f t="shared" si="57"/>
        <v>11</v>
      </c>
      <c r="E1814" t="s">
        <v>13</v>
      </c>
      <c r="F1814" t="s">
        <v>14</v>
      </c>
      <c r="G1814" t="s">
        <v>15</v>
      </c>
      <c r="H1814" s="2">
        <v>65518</v>
      </c>
      <c r="I1814" s="2">
        <v>1</v>
      </c>
      <c r="J1814" s="2">
        <v>128733</v>
      </c>
      <c r="K1814" s="2">
        <v>24796</v>
      </c>
      <c r="L1814" s="2">
        <v>14</v>
      </c>
      <c r="M1814" t="str">
        <f>IF(Revv_bike_sales_data[[#This Row],[delivery_days]]&lt;=7, "Yes", "No")</f>
        <v>No</v>
      </c>
      <c r="N1814" t="s">
        <v>16</v>
      </c>
      <c r="O1814" s="2">
        <v>103937</v>
      </c>
    </row>
    <row r="1815" spans="1:15" x14ac:dyDescent="0.3">
      <c r="A1815" s="2">
        <v>1805</v>
      </c>
      <c r="B1815" s="1">
        <v>45002.166666666664</v>
      </c>
      <c r="C1815" s="1" t="str">
        <f t="shared" si="56"/>
        <v>03-2023</v>
      </c>
      <c r="D1815" s="2">
        <f t="shared" si="57"/>
        <v>11</v>
      </c>
      <c r="E1815" t="s">
        <v>17</v>
      </c>
      <c r="F1815" t="s">
        <v>14</v>
      </c>
      <c r="G1815" t="s">
        <v>19</v>
      </c>
      <c r="H1815" s="2">
        <v>4527</v>
      </c>
      <c r="I1815" s="2">
        <v>8</v>
      </c>
      <c r="J1815" s="2">
        <v>40210</v>
      </c>
      <c r="K1815" s="2">
        <v>119583</v>
      </c>
      <c r="L1815" s="2">
        <v>5</v>
      </c>
      <c r="M1815" t="str">
        <f>IF(Revv_bike_sales_data[[#This Row],[delivery_days]]&lt;=7, "Yes", "No")</f>
        <v>Yes</v>
      </c>
      <c r="N1815" t="s">
        <v>16</v>
      </c>
      <c r="O1815" s="2">
        <v>-79373</v>
      </c>
    </row>
    <row r="1816" spans="1:15" x14ac:dyDescent="0.3">
      <c r="A1816" s="2">
        <v>1806</v>
      </c>
      <c r="B1816" s="1">
        <v>45002.208333333336</v>
      </c>
      <c r="C1816" s="1" t="str">
        <f t="shared" si="56"/>
        <v>03-2023</v>
      </c>
      <c r="D1816" s="2">
        <f t="shared" si="57"/>
        <v>11</v>
      </c>
      <c r="E1816" t="s">
        <v>22</v>
      </c>
      <c r="F1816" t="s">
        <v>14</v>
      </c>
      <c r="G1816" t="s">
        <v>21</v>
      </c>
      <c r="H1816" s="2">
        <v>6245</v>
      </c>
      <c r="I1816" s="2">
        <v>1</v>
      </c>
      <c r="J1816" s="2">
        <v>153476</v>
      </c>
      <c r="K1816" s="2">
        <v>47863</v>
      </c>
      <c r="L1816" s="2">
        <v>11</v>
      </c>
      <c r="M1816" t="str">
        <f>IF(Revv_bike_sales_data[[#This Row],[delivery_days]]&lt;=7, "Yes", "No")</f>
        <v>No</v>
      </c>
      <c r="N1816" t="s">
        <v>16</v>
      </c>
      <c r="O1816" s="2">
        <v>105613</v>
      </c>
    </row>
    <row r="1817" spans="1:15" x14ac:dyDescent="0.3">
      <c r="A1817" s="2">
        <v>1807</v>
      </c>
      <c r="B1817" s="1">
        <v>45002.25</v>
      </c>
      <c r="C1817" s="1" t="str">
        <f t="shared" si="56"/>
        <v>03-2023</v>
      </c>
      <c r="D1817" s="2">
        <f t="shared" si="57"/>
        <v>11</v>
      </c>
      <c r="E1817" t="s">
        <v>18</v>
      </c>
      <c r="F1817" t="s">
        <v>14</v>
      </c>
      <c r="G1817" t="s">
        <v>15</v>
      </c>
      <c r="H1817" s="2">
        <v>62231</v>
      </c>
      <c r="I1817" s="2">
        <v>2</v>
      </c>
      <c r="J1817" s="2">
        <v>99225</v>
      </c>
      <c r="K1817" s="2">
        <v>96014</v>
      </c>
      <c r="L1817" s="2">
        <v>8</v>
      </c>
      <c r="M1817" t="str">
        <f>IF(Revv_bike_sales_data[[#This Row],[delivery_days]]&lt;=7, "Yes", "No")</f>
        <v>No</v>
      </c>
      <c r="N1817" t="s">
        <v>16</v>
      </c>
      <c r="O1817" s="2">
        <v>3211</v>
      </c>
    </row>
    <row r="1818" spans="1:15" x14ac:dyDescent="0.3">
      <c r="A1818" s="2">
        <v>1808</v>
      </c>
      <c r="B1818" s="1">
        <v>45002.291666666664</v>
      </c>
      <c r="C1818" s="1" t="str">
        <f t="shared" si="56"/>
        <v>03-2023</v>
      </c>
      <c r="D1818" s="2">
        <f t="shared" si="57"/>
        <v>11</v>
      </c>
      <c r="E1818" t="s">
        <v>18</v>
      </c>
      <c r="F1818" t="s">
        <v>14</v>
      </c>
      <c r="G1818" t="s">
        <v>19</v>
      </c>
      <c r="H1818" s="2">
        <v>87484</v>
      </c>
      <c r="I1818" s="2">
        <v>9</v>
      </c>
      <c r="J1818" s="2">
        <v>88721</v>
      </c>
      <c r="K1818" s="2">
        <v>47117</v>
      </c>
      <c r="L1818" s="2">
        <v>10</v>
      </c>
      <c r="M1818" t="str">
        <f>IF(Revv_bike_sales_data[[#This Row],[delivery_days]]&lt;=7, "Yes", "No")</f>
        <v>No</v>
      </c>
      <c r="N1818" t="s">
        <v>16</v>
      </c>
      <c r="O1818" s="2">
        <v>41604</v>
      </c>
    </row>
    <row r="1819" spans="1:15" x14ac:dyDescent="0.3">
      <c r="A1819" s="2">
        <v>1809</v>
      </c>
      <c r="B1819" s="1">
        <v>45002.333333333336</v>
      </c>
      <c r="C1819" s="1" t="str">
        <f t="shared" si="56"/>
        <v>03-2023</v>
      </c>
      <c r="D1819" s="2">
        <f t="shared" si="57"/>
        <v>11</v>
      </c>
      <c r="E1819" t="s">
        <v>22</v>
      </c>
      <c r="F1819" t="s">
        <v>14</v>
      </c>
      <c r="G1819" t="s">
        <v>20</v>
      </c>
      <c r="H1819" s="2">
        <v>28951</v>
      </c>
      <c r="I1819" s="2">
        <v>1</v>
      </c>
      <c r="J1819" s="2">
        <v>164988</v>
      </c>
      <c r="K1819" s="2">
        <v>35753</v>
      </c>
      <c r="L1819" s="2">
        <v>4</v>
      </c>
      <c r="M1819" t="str">
        <f>IF(Revv_bike_sales_data[[#This Row],[delivery_days]]&lt;=7, "Yes", "No")</f>
        <v>Yes</v>
      </c>
      <c r="N1819" t="s">
        <v>24</v>
      </c>
      <c r="O1819" s="2">
        <v>129235</v>
      </c>
    </row>
    <row r="1820" spans="1:15" x14ac:dyDescent="0.3">
      <c r="A1820" s="2">
        <v>1810</v>
      </c>
      <c r="B1820" s="1">
        <v>45002.375</v>
      </c>
      <c r="C1820" s="1" t="str">
        <f t="shared" si="56"/>
        <v>03-2023</v>
      </c>
      <c r="D1820" s="2">
        <f t="shared" si="57"/>
        <v>11</v>
      </c>
      <c r="E1820" t="s">
        <v>25</v>
      </c>
      <c r="F1820" t="s">
        <v>14</v>
      </c>
      <c r="G1820" t="s">
        <v>21</v>
      </c>
      <c r="H1820" s="2">
        <v>94243</v>
      </c>
      <c r="I1820" s="2">
        <v>8</v>
      </c>
      <c r="J1820" s="2">
        <v>56449</v>
      </c>
      <c r="K1820" s="2">
        <v>35325</v>
      </c>
      <c r="L1820" s="2">
        <v>2</v>
      </c>
      <c r="M1820" t="str">
        <f>IF(Revv_bike_sales_data[[#This Row],[delivery_days]]&lt;=7, "Yes", "No")</f>
        <v>Yes</v>
      </c>
      <c r="N1820" t="s">
        <v>16</v>
      </c>
      <c r="O1820" s="2">
        <v>21124</v>
      </c>
    </row>
    <row r="1821" spans="1:15" x14ac:dyDescent="0.3">
      <c r="A1821" s="2">
        <v>1811</v>
      </c>
      <c r="B1821" s="1">
        <v>45002.416666666664</v>
      </c>
      <c r="C1821" s="1" t="str">
        <f t="shared" si="56"/>
        <v>03-2023</v>
      </c>
      <c r="D1821" s="2">
        <f t="shared" si="57"/>
        <v>11</v>
      </c>
      <c r="E1821" t="s">
        <v>22</v>
      </c>
      <c r="F1821" t="s">
        <v>14</v>
      </c>
      <c r="G1821" t="s">
        <v>15</v>
      </c>
      <c r="H1821" s="2">
        <v>71974</v>
      </c>
      <c r="I1821" s="2">
        <v>0</v>
      </c>
      <c r="J1821" s="2">
        <v>114333</v>
      </c>
      <c r="K1821" s="2">
        <v>22021</v>
      </c>
      <c r="L1821" s="2">
        <v>4</v>
      </c>
      <c r="M1821" t="str">
        <f>IF(Revv_bike_sales_data[[#This Row],[delivery_days]]&lt;=7, "Yes", "No")</f>
        <v>Yes</v>
      </c>
      <c r="N1821" t="s">
        <v>16</v>
      </c>
      <c r="O1821" s="2">
        <v>92312</v>
      </c>
    </row>
    <row r="1822" spans="1:15" x14ac:dyDescent="0.3">
      <c r="A1822" s="2">
        <v>1812</v>
      </c>
      <c r="B1822" s="1">
        <v>45002.458333333336</v>
      </c>
      <c r="C1822" s="1" t="str">
        <f t="shared" si="56"/>
        <v>03-2023</v>
      </c>
      <c r="D1822" s="2">
        <f t="shared" si="57"/>
        <v>11</v>
      </c>
      <c r="E1822" t="s">
        <v>17</v>
      </c>
      <c r="F1822" t="s">
        <v>14</v>
      </c>
      <c r="G1822" t="s">
        <v>20</v>
      </c>
      <c r="H1822" s="2">
        <v>62036</v>
      </c>
      <c r="I1822" s="2">
        <v>4</v>
      </c>
      <c r="J1822" s="2">
        <v>45782</v>
      </c>
      <c r="K1822" s="2">
        <v>95721</v>
      </c>
      <c r="L1822" s="2">
        <v>12</v>
      </c>
      <c r="M1822" t="str">
        <f>IF(Revv_bike_sales_data[[#This Row],[delivery_days]]&lt;=7, "Yes", "No")</f>
        <v>No</v>
      </c>
      <c r="N1822" t="s">
        <v>16</v>
      </c>
      <c r="O1822" s="2">
        <v>-49939</v>
      </c>
    </row>
    <row r="1823" spans="1:15" x14ac:dyDescent="0.3">
      <c r="A1823" s="2">
        <v>1813</v>
      </c>
      <c r="B1823" s="1">
        <v>45002.5</v>
      </c>
      <c r="C1823" s="1" t="str">
        <f t="shared" si="56"/>
        <v>03-2023</v>
      </c>
      <c r="D1823" s="2">
        <f t="shared" si="57"/>
        <v>11</v>
      </c>
      <c r="E1823" t="s">
        <v>25</v>
      </c>
      <c r="F1823" t="s">
        <v>14</v>
      </c>
      <c r="G1823" t="s">
        <v>15</v>
      </c>
      <c r="H1823" s="2">
        <v>12650</v>
      </c>
      <c r="I1823" s="2">
        <v>0</v>
      </c>
      <c r="J1823" s="2">
        <v>45243</v>
      </c>
      <c r="K1823" s="2">
        <v>139080</v>
      </c>
      <c r="L1823" s="2">
        <v>11</v>
      </c>
      <c r="M1823" t="str">
        <f>IF(Revv_bike_sales_data[[#This Row],[delivery_days]]&lt;=7, "Yes", "No")</f>
        <v>No</v>
      </c>
      <c r="N1823" t="s">
        <v>16</v>
      </c>
      <c r="O1823" s="2">
        <v>-93837</v>
      </c>
    </row>
    <row r="1824" spans="1:15" x14ac:dyDescent="0.3">
      <c r="A1824" s="2">
        <v>1814</v>
      </c>
      <c r="B1824" s="1">
        <v>45002.541666666664</v>
      </c>
      <c r="C1824" s="1" t="str">
        <f t="shared" si="56"/>
        <v>03-2023</v>
      </c>
      <c r="D1824" s="2">
        <f t="shared" si="57"/>
        <v>11</v>
      </c>
      <c r="E1824" t="s">
        <v>18</v>
      </c>
      <c r="F1824" t="s">
        <v>14</v>
      </c>
      <c r="G1824" t="s">
        <v>19</v>
      </c>
      <c r="H1824" s="2">
        <v>13906</v>
      </c>
      <c r="I1824" s="2">
        <v>4</v>
      </c>
      <c r="J1824" s="2">
        <v>54379</v>
      </c>
      <c r="K1824" s="2">
        <v>68096</v>
      </c>
      <c r="L1824" s="2">
        <v>4</v>
      </c>
      <c r="M1824" t="str">
        <f>IF(Revv_bike_sales_data[[#This Row],[delivery_days]]&lt;=7, "Yes", "No")</f>
        <v>Yes</v>
      </c>
      <c r="N1824" t="s">
        <v>16</v>
      </c>
      <c r="O1824" s="2">
        <v>-13717</v>
      </c>
    </row>
    <row r="1825" spans="1:15" x14ac:dyDescent="0.3">
      <c r="A1825" s="2">
        <v>1815</v>
      </c>
      <c r="B1825" s="1">
        <v>45002.583333333336</v>
      </c>
      <c r="C1825" s="1" t="str">
        <f t="shared" si="56"/>
        <v>03-2023</v>
      </c>
      <c r="D1825" s="2">
        <f t="shared" si="57"/>
        <v>11</v>
      </c>
      <c r="E1825" t="s">
        <v>22</v>
      </c>
      <c r="F1825" t="s">
        <v>14</v>
      </c>
      <c r="G1825" t="s">
        <v>20</v>
      </c>
      <c r="H1825" s="2">
        <v>20281</v>
      </c>
      <c r="I1825" s="2">
        <v>7</v>
      </c>
      <c r="J1825" s="2">
        <v>62780</v>
      </c>
      <c r="K1825" s="2">
        <v>86404</v>
      </c>
      <c r="L1825" s="2">
        <v>11</v>
      </c>
      <c r="M1825" t="str">
        <f>IF(Revv_bike_sales_data[[#This Row],[delivery_days]]&lt;=7, "Yes", "No")</f>
        <v>No</v>
      </c>
      <c r="N1825" t="s">
        <v>16</v>
      </c>
      <c r="O1825" s="2">
        <v>-23624</v>
      </c>
    </row>
    <row r="1826" spans="1:15" x14ac:dyDescent="0.3">
      <c r="A1826" s="2">
        <v>1816</v>
      </c>
      <c r="B1826" s="1">
        <v>45002.625</v>
      </c>
      <c r="C1826" s="1" t="str">
        <f t="shared" si="56"/>
        <v>03-2023</v>
      </c>
      <c r="D1826" s="2">
        <f t="shared" si="57"/>
        <v>11</v>
      </c>
      <c r="E1826" t="s">
        <v>13</v>
      </c>
      <c r="F1826" t="s">
        <v>14</v>
      </c>
      <c r="G1826" t="s">
        <v>15</v>
      </c>
      <c r="H1826" s="2">
        <v>57917</v>
      </c>
      <c r="I1826" s="2">
        <v>7</v>
      </c>
      <c r="J1826" s="2">
        <v>139944</v>
      </c>
      <c r="K1826" s="2">
        <v>28071</v>
      </c>
      <c r="L1826" s="2">
        <v>9</v>
      </c>
      <c r="M1826" t="str">
        <f>IF(Revv_bike_sales_data[[#This Row],[delivery_days]]&lt;=7, "Yes", "No")</f>
        <v>No</v>
      </c>
      <c r="N1826" t="s">
        <v>16</v>
      </c>
      <c r="O1826" s="2">
        <v>111873</v>
      </c>
    </row>
    <row r="1827" spans="1:15" x14ac:dyDescent="0.3">
      <c r="A1827" s="2">
        <v>1817</v>
      </c>
      <c r="B1827" s="1">
        <v>45002.666666666664</v>
      </c>
      <c r="C1827" s="1" t="str">
        <f t="shared" si="56"/>
        <v>03-2023</v>
      </c>
      <c r="D1827" s="2">
        <f t="shared" si="57"/>
        <v>11</v>
      </c>
      <c r="E1827" t="s">
        <v>13</v>
      </c>
      <c r="F1827" t="s">
        <v>14</v>
      </c>
      <c r="G1827" t="s">
        <v>20</v>
      </c>
      <c r="H1827" s="2">
        <v>18825</v>
      </c>
      <c r="I1827" s="2">
        <v>7</v>
      </c>
      <c r="J1827" s="2">
        <v>44984</v>
      </c>
      <c r="K1827" s="2">
        <v>135084</v>
      </c>
      <c r="L1827" s="2">
        <v>10</v>
      </c>
      <c r="M1827" t="str">
        <f>IF(Revv_bike_sales_data[[#This Row],[delivery_days]]&lt;=7, "Yes", "No")</f>
        <v>No</v>
      </c>
      <c r="N1827" t="s">
        <v>16</v>
      </c>
      <c r="O1827" s="2">
        <v>-90100</v>
      </c>
    </row>
    <row r="1828" spans="1:15" x14ac:dyDescent="0.3">
      <c r="A1828" s="2">
        <v>1818</v>
      </c>
      <c r="B1828" s="1">
        <v>45002.708333333336</v>
      </c>
      <c r="C1828" s="1" t="str">
        <f t="shared" si="56"/>
        <v>03-2023</v>
      </c>
      <c r="D1828" s="2">
        <f t="shared" si="57"/>
        <v>11</v>
      </c>
      <c r="E1828" t="s">
        <v>17</v>
      </c>
      <c r="F1828" t="s">
        <v>23</v>
      </c>
      <c r="G1828" t="s">
        <v>19</v>
      </c>
      <c r="H1828" s="2">
        <v>69184</v>
      </c>
      <c r="I1828" s="2">
        <v>1</v>
      </c>
      <c r="J1828" s="2">
        <v>25050</v>
      </c>
      <c r="K1828" s="2">
        <v>79649</v>
      </c>
      <c r="L1828" s="2">
        <v>11</v>
      </c>
      <c r="M1828" t="str">
        <f>IF(Revv_bike_sales_data[[#This Row],[delivery_days]]&lt;=7, "Yes", "No")</f>
        <v>No</v>
      </c>
      <c r="N1828" t="s">
        <v>16</v>
      </c>
      <c r="O1828" s="2">
        <v>-54599</v>
      </c>
    </row>
    <row r="1829" spans="1:15" x14ac:dyDescent="0.3">
      <c r="A1829" s="2">
        <v>1819</v>
      </c>
      <c r="B1829" s="1">
        <v>45002.75</v>
      </c>
      <c r="C1829" s="1" t="str">
        <f t="shared" si="56"/>
        <v>03-2023</v>
      </c>
      <c r="D1829" s="2">
        <f t="shared" si="57"/>
        <v>11</v>
      </c>
      <c r="E1829" t="s">
        <v>13</v>
      </c>
      <c r="F1829" t="s">
        <v>14</v>
      </c>
      <c r="G1829" t="s">
        <v>20</v>
      </c>
      <c r="H1829" s="2">
        <v>94915</v>
      </c>
      <c r="I1829" s="2">
        <v>7</v>
      </c>
      <c r="J1829" s="2">
        <v>162662</v>
      </c>
      <c r="K1829" s="2">
        <v>23041</v>
      </c>
      <c r="L1829" s="2">
        <v>6</v>
      </c>
      <c r="M1829" t="str">
        <f>IF(Revv_bike_sales_data[[#This Row],[delivery_days]]&lt;=7, "Yes", "No")</f>
        <v>Yes</v>
      </c>
      <c r="N1829" t="s">
        <v>16</v>
      </c>
      <c r="O1829" s="2">
        <v>139621</v>
      </c>
    </row>
    <row r="1830" spans="1:15" x14ac:dyDescent="0.3">
      <c r="A1830" s="2">
        <v>1820</v>
      </c>
      <c r="B1830" s="1">
        <v>45002.791666666664</v>
      </c>
      <c r="C1830" s="1" t="str">
        <f t="shared" si="56"/>
        <v>03-2023</v>
      </c>
      <c r="D1830" s="2">
        <f t="shared" si="57"/>
        <v>11</v>
      </c>
      <c r="E1830" t="s">
        <v>22</v>
      </c>
      <c r="F1830" t="s">
        <v>14</v>
      </c>
      <c r="G1830" t="s">
        <v>15</v>
      </c>
      <c r="H1830" s="2">
        <v>73969</v>
      </c>
      <c r="I1830" s="2">
        <v>4</v>
      </c>
      <c r="J1830" s="2">
        <v>65205</v>
      </c>
      <c r="K1830" s="2">
        <v>97051</v>
      </c>
      <c r="L1830" s="2">
        <v>10</v>
      </c>
      <c r="M1830" t="str">
        <f>IF(Revv_bike_sales_data[[#This Row],[delivery_days]]&lt;=7, "Yes", "No")</f>
        <v>No</v>
      </c>
      <c r="N1830" t="s">
        <v>16</v>
      </c>
      <c r="O1830" s="2">
        <v>-31846</v>
      </c>
    </row>
    <row r="1831" spans="1:15" x14ac:dyDescent="0.3">
      <c r="A1831" s="2">
        <v>1821</v>
      </c>
      <c r="B1831" s="1">
        <v>45002.833333333336</v>
      </c>
      <c r="C1831" s="1" t="str">
        <f t="shared" si="56"/>
        <v>03-2023</v>
      </c>
      <c r="D1831" s="2">
        <f t="shared" si="57"/>
        <v>11</v>
      </c>
      <c r="E1831" t="s">
        <v>22</v>
      </c>
      <c r="F1831" t="s">
        <v>14</v>
      </c>
      <c r="G1831" t="s">
        <v>19</v>
      </c>
      <c r="H1831" s="2">
        <v>9936</v>
      </c>
      <c r="I1831" s="2">
        <v>0</v>
      </c>
      <c r="J1831" s="2">
        <v>40162</v>
      </c>
      <c r="K1831" s="2">
        <v>124611</v>
      </c>
      <c r="L1831" s="2">
        <v>6</v>
      </c>
      <c r="M1831" t="str">
        <f>IF(Revv_bike_sales_data[[#This Row],[delivery_days]]&lt;=7, "Yes", "No")</f>
        <v>Yes</v>
      </c>
      <c r="N1831" t="s">
        <v>16</v>
      </c>
      <c r="O1831" s="2">
        <v>-84449</v>
      </c>
    </row>
    <row r="1832" spans="1:15" x14ac:dyDescent="0.3">
      <c r="A1832" s="2">
        <v>1822</v>
      </c>
      <c r="B1832" s="1">
        <v>45002.875</v>
      </c>
      <c r="C1832" s="1" t="str">
        <f t="shared" si="56"/>
        <v>03-2023</v>
      </c>
      <c r="D1832" s="2">
        <f t="shared" si="57"/>
        <v>11</v>
      </c>
      <c r="E1832" t="s">
        <v>13</v>
      </c>
      <c r="F1832" t="s">
        <v>14</v>
      </c>
      <c r="G1832" t="s">
        <v>21</v>
      </c>
      <c r="H1832" s="2">
        <v>18169</v>
      </c>
      <c r="I1832" s="2">
        <v>6</v>
      </c>
      <c r="J1832" s="2">
        <v>74746</v>
      </c>
      <c r="K1832" s="2">
        <v>55058</v>
      </c>
      <c r="L1832" s="2">
        <v>5</v>
      </c>
      <c r="M1832" t="str">
        <f>IF(Revv_bike_sales_data[[#This Row],[delivery_days]]&lt;=7, "Yes", "No")</f>
        <v>Yes</v>
      </c>
      <c r="N1832" t="s">
        <v>16</v>
      </c>
      <c r="O1832" s="2">
        <v>19688</v>
      </c>
    </row>
    <row r="1833" spans="1:15" x14ac:dyDescent="0.3">
      <c r="A1833" s="2">
        <v>1823</v>
      </c>
      <c r="B1833" s="1">
        <v>45002.916666666664</v>
      </c>
      <c r="C1833" s="1" t="str">
        <f t="shared" si="56"/>
        <v>03-2023</v>
      </c>
      <c r="D1833" s="2">
        <f t="shared" si="57"/>
        <v>11</v>
      </c>
      <c r="E1833" t="s">
        <v>22</v>
      </c>
      <c r="F1833" t="s">
        <v>14</v>
      </c>
      <c r="G1833" t="s">
        <v>15</v>
      </c>
      <c r="H1833" s="2">
        <v>72510</v>
      </c>
      <c r="I1833" s="2">
        <v>5</v>
      </c>
      <c r="J1833" s="2">
        <v>169177</v>
      </c>
      <c r="K1833" s="2">
        <v>63263</v>
      </c>
      <c r="L1833" s="2">
        <v>6</v>
      </c>
      <c r="M1833" t="str">
        <f>IF(Revv_bike_sales_data[[#This Row],[delivery_days]]&lt;=7, "Yes", "No")</f>
        <v>Yes</v>
      </c>
      <c r="N1833" t="s">
        <v>16</v>
      </c>
      <c r="O1833" s="2">
        <v>105914</v>
      </c>
    </row>
    <row r="1834" spans="1:15" x14ac:dyDescent="0.3">
      <c r="A1834" s="2">
        <v>1824</v>
      </c>
      <c r="B1834" s="1">
        <v>45002.958333333336</v>
      </c>
      <c r="C1834" s="1" t="str">
        <f t="shared" si="56"/>
        <v>03-2023</v>
      </c>
      <c r="D1834" s="2">
        <f t="shared" si="57"/>
        <v>11</v>
      </c>
      <c r="E1834" t="s">
        <v>17</v>
      </c>
      <c r="F1834" t="s">
        <v>14</v>
      </c>
      <c r="G1834" t="s">
        <v>15</v>
      </c>
      <c r="H1834" s="2">
        <v>77264</v>
      </c>
      <c r="I1834" s="2">
        <v>4</v>
      </c>
      <c r="J1834" s="2">
        <v>36628</v>
      </c>
      <c r="K1834" s="2">
        <v>106502</v>
      </c>
      <c r="L1834" s="2">
        <v>1</v>
      </c>
      <c r="M1834" t="str">
        <f>IF(Revv_bike_sales_data[[#This Row],[delivery_days]]&lt;=7, "Yes", "No")</f>
        <v>Yes</v>
      </c>
      <c r="N1834" t="s">
        <v>16</v>
      </c>
      <c r="O1834" s="2">
        <v>-69874</v>
      </c>
    </row>
    <row r="1835" spans="1:15" x14ac:dyDescent="0.3">
      <c r="A1835" s="2">
        <v>1825</v>
      </c>
      <c r="B1835" s="1">
        <v>45003</v>
      </c>
      <c r="C1835" s="1" t="str">
        <f t="shared" si="56"/>
        <v>03-2023</v>
      </c>
      <c r="D1835" s="2">
        <f t="shared" si="57"/>
        <v>11</v>
      </c>
      <c r="E1835" t="s">
        <v>25</v>
      </c>
      <c r="F1835" t="s">
        <v>14</v>
      </c>
      <c r="G1835" t="s">
        <v>19</v>
      </c>
      <c r="H1835" s="2">
        <v>99574</v>
      </c>
      <c r="I1835" s="2">
        <v>0</v>
      </c>
      <c r="J1835" s="2">
        <v>63516</v>
      </c>
      <c r="K1835" s="2">
        <v>119820</v>
      </c>
      <c r="L1835" s="2">
        <v>13</v>
      </c>
      <c r="M1835" t="str">
        <f>IF(Revv_bike_sales_data[[#This Row],[delivery_days]]&lt;=7, "Yes", "No")</f>
        <v>No</v>
      </c>
      <c r="N1835" t="s">
        <v>16</v>
      </c>
      <c r="O1835" s="2">
        <v>-56304</v>
      </c>
    </row>
    <row r="1836" spans="1:15" x14ac:dyDescent="0.3">
      <c r="A1836" s="2">
        <v>1826</v>
      </c>
      <c r="B1836" s="1">
        <v>45003.041666666664</v>
      </c>
      <c r="C1836" s="1" t="str">
        <f t="shared" si="56"/>
        <v>03-2023</v>
      </c>
      <c r="D1836" s="2">
        <f t="shared" si="57"/>
        <v>11</v>
      </c>
      <c r="E1836" t="s">
        <v>17</v>
      </c>
      <c r="F1836" t="s">
        <v>14</v>
      </c>
      <c r="G1836" t="s">
        <v>19</v>
      </c>
      <c r="H1836" s="2">
        <v>2343</v>
      </c>
      <c r="I1836" s="2">
        <v>0</v>
      </c>
      <c r="J1836" s="2">
        <v>112157</v>
      </c>
      <c r="K1836" s="2">
        <v>122645</v>
      </c>
      <c r="L1836" s="2">
        <v>5</v>
      </c>
      <c r="M1836" t="str">
        <f>IF(Revv_bike_sales_data[[#This Row],[delivery_days]]&lt;=7, "Yes", "No")</f>
        <v>Yes</v>
      </c>
      <c r="N1836" t="s">
        <v>16</v>
      </c>
      <c r="O1836" s="2">
        <v>-10488</v>
      </c>
    </row>
    <row r="1837" spans="1:15" x14ac:dyDescent="0.3">
      <c r="A1837" s="2">
        <v>1827</v>
      </c>
      <c r="B1837" s="1">
        <v>45003.083333333336</v>
      </c>
      <c r="C1837" s="1" t="str">
        <f t="shared" si="56"/>
        <v>03-2023</v>
      </c>
      <c r="D1837" s="2">
        <f t="shared" si="57"/>
        <v>11</v>
      </c>
      <c r="E1837" t="s">
        <v>17</v>
      </c>
      <c r="F1837" t="s">
        <v>14</v>
      </c>
      <c r="G1837" t="s">
        <v>21</v>
      </c>
      <c r="H1837" s="2">
        <v>66109</v>
      </c>
      <c r="I1837" s="2">
        <v>5</v>
      </c>
      <c r="J1837" s="2">
        <v>157548</v>
      </c>
      <c r="K1837" s="2">
        <v>59470</v>
      </c>
      <c r="L1837" s="2">
        <v>12</v>
      </c>
      <c r="M1837" t="str">
        <f>IF(Revv_bike_sales_data[[#This Row],[delivery_days]]&lt;=7, "Yes", "No")</f>
        <v>No</v>
      </c>
      <c r="N1837" t="s">
        <v>16</v>
      </c>
      <c r="O1837" s="2">
        <v>98078</v>
      </c>
    </row>
    <row r="1838" spans="1:15" x14ac:dyDescent="0.3">
      <c r="A1838" s="2">
        <v>1828</v>
      </c>
      <c r="B1838" s="1">
        <v>45003.125</v>
      </c>
      <c r="C1838" s="1" t="str">
        <f t="shared" si="56"/>
        <v>03-2023</v>
      </c>
      <c r="D1838" s="2">
        <f t="shared" si="57"/>
        <v>11</v>
      </c>
      <c r="E1838" t="s">
        <v>22</v>
      </c>
      <c r="F1838" t="s">
        <v>14</v>
      </c>
      <c r="G1838" t="s">
        <v>15</v>
      </c>
      <c r="H1838" s="2">
        <v>51312</v>
      </c>
      <c r="I1838" s="2">
        <v>9</v>
      </c>
      <c r="J1838" s="2">
        <v>144558</v>
      </c>
      <c r="K1838" s="2">
        <v>102826</v>
      </c>
      <c r="L1838" s="2">
        <v>6</v>
      </c>
      <c r="M1838" t="str">
        <f>IF(Revv_bike_sales_data[[#This Row],[delivery_days]]&lt;=7, "Yes", "No")</f>
        <v>Yes</v>
      </c>
      <c r="N1838" t="s">
        <v>16</v>
      </c>
      <c r="O1838" s="2">
        <v>41732</v>
      </c>
    </row>
    <row r="1839" spans="1:15" x14ac:dyDescent="0.3">
      <c r="A1839" s="2">
        <v>1829</v>
      </c>
      <c r="B1839" s="1">
        <v>45003.166666666664</v>
      </c>
      <c r="C1839" s="1" t="str">
        <f t="shared" si="56"/>
        <v>03-2023</v>
      </c>
      <c r="D1839" s="2">
        <f t="shared" si="57"/>
        <v>11</v>
      </c>
      <c r="E1839" t="s">
        <v>25</v>
      </c>
      <c r="F1839" t="s">
        <v>14</v>
      </c>
      <c r="G1839" t="s">
        <v>19</v>
      </c>
      <c r="H1839" s="2">
        <v>16559</v>
      </c>
      <c r="I1839" s="2">
        <v>6</v>
      </c>
      <c r="J1839" s="2">
        <v>65800</v>
      </c>
      <c r="K1839" s="2">
        <v>111238</v>
      </c>
      <c r="L1839" s="2">
        <v>8</v>
      </c>
      <c r="M1839" t="str">
        <f>IF(Revv_bike_sales_data[[#This Row],[delivery_days]]&lt;=7, "Yes", "No")</f>
        <v>No</v>
      </c>
      <c r="N1839" t="s">
        <v>16</v>
      </c>
      <c r="O1839" s="2">
        <v>-45438</v>
      </c>
    </row>
    <row r="1840" spans="1:15" x14ac:dyDescent="0.3">
      <c r="A1840" s="2">
        <v>1830</v>
      </c>
      <c r="B1840" s="1">
        <v>45003.208333333336</v>
      </c>
      <c r="C1840" s="1" t="str">
        <f t="shared" si="56"/>
        <v>03-2023</v>
      </c>
      <c r="D1840" s="2">
        <f t="shared" si="57"/>
        <v>11</v>
      </c>
      <c r="E1840" t="s">
        <v>22</v>
      </c>
      <c r="F1840" t="s">
        <v>23</v>
      </c>
      <c r="G1840" t="s">
        <v>21</v>
      </c>
      <c r="H1840" s="2">
        <v>86769</v>
      </c>
      <c r="I1840" s="2">
        <v>9</v>
      </c>
      <c r="J1840" s="2">
        <v>60788</v>
      </c>
      <c r="K1840" s="2">
        <v>43223</v>
      </c>
      <c r="L1840" s="2">
        <v>4</v>
      </c>
      <c r="M1840" t="str">
        <f>IF(Revv_bike_sales_data[[#This Row],[delivery_days]]&lt;=7, "Yes", "No")</f>
        <v>Yes</v>
      </c>
      <c r="N1840" t="s">
        <v>16</v>
      </c>
      <c r="O1840" s="2">
        <v>17565</v>
      </c>
    </row>
    <row r="1841" spans="1:15" x14ac:dyDescent="0.3">
      <c r="A1841" s="2">
        <v>1831</v>
      </c>
      <c r="B1841" s="1">
        <v>45003.25</v>
      </c>
      <c r="C1841" s="1" t="str">
        <f t="shared" si="56"/>
        <v>03-2023</v>
      </c>
      <c r="D1841" s="2">
        <f t="shared" si="57"/>
        <v>11</v>
      </c>
      <c r="E1841" t="s">
        <v>18</v>
      </c>
      <c r="F1841" t="s">
        <v>14</v>
      </c>
      <c r="G1841" t="s">
        <v>21</v>
      </c>
      <c r="H1841" s="2">
        <v>41268</v>
      </c>
      <c r="I1841" s="2">
        <v>9</v>
      </c>
      <c r="J1841" s="2">
        <v>145754</v>
      </c>
      <c r="K1841" s="2">
        <v>48575</v>
      </c>
      <c r="L1841" s="2">
        <v>14</v>
      </c>
      <c r="M1841" t="str">
        <f>IF(Revv_bike_sales_data[[#This Row],[delivery_days]]&lt;=7, "Yes", "No")</f>
        <v>No</v>
      </c>
      <c r="N1841" t="s">
        <v>16</v>
      </c>
      <c r="O1841" s="2">
        <v>97179</v>
      </c>
    </row>
    <row r="1842" spans="1:15" x14ac:dyDescent="0.3">
      <c r="A1842" s="2">
        <v>1832</v>
      </c>
      <c r="B1842" s="1">
        <v>45003.291666666664</v>
      </c>
      <c r="C1842" s="1" t="str">
        <f t="shared" si="56"/>
        <v>03-2023</v>
      </c>
      <c r="D1842" s="2">
        <f t="shared" si="57"/>
        <v>11</v>
      </c>
      <c r="E1842" t="s">
        <v>22</v>
      </c>
      <c r="F1842" t="s">
        <v>14</v>
      </c>
      <c r="G1842" t="s">
        <v>19</v>
      </c>
      <c r="H1842" s="2">
        <v>25895</v>
      </c>
      <c r="I1842" s="2">
        <v>0</v>
      </c>
      <c r="J1842" s="2">
        <v>51240</v>
      </c>
      <c r="K1842" s="2">
        <v>60799</v>
      </c>
      <c r="L1842" s="2">
        <v>5</v>
      </c>
      <c r="M1842" t="str">
        <f>IF(Revv_bike_sales_data[[#This Row],[delivery_days]]&lt;=7, "Yes", "No")</f>
        <v>Yes</v>
      </c>
      <c r="N1842" t="s">
        <v>16</v>
      </c>
      <c r="O1842" s="2">
        <v>-9559</v>
      </c>
    </row>
    <row r="1843" spans="1:15" x14ac:dyDescent="0.3">
      <c r="A1843" s="2">
        <v>1833</v>
      </c>
      <c r="B1843" s="1">
        <v>45003.333333333336</v>
      </c>
      <c r="C1843" s="1" t="str">
        <f t="shared" si="56"/>
        <v>03-2023</v>
      </c>
      <c r="D1843" s="2">
        <f t="shared" si="57"/>
        <v>11</v>
      </c>
      <c r="E1843" t="s">
        <v>22</v>
      </c>
      <c r="F1843" t="s">
        <v>14</v>
      </c>
      <c r="G1843" t="s">
        <v>15</v>
      </c>
      <c r="H1843" s="2">
        <v>20702</v>
      </c>
      <c r="I1843" s="2">
        <v>8</v>
      </c>
      <c r="J1843" s="2">
        <v>166994</v>
      </c>
      <c r="K1843" s="2">
        <v>129738</v>
      </c>
      <c r="L1843" s="2">
        <v>4</v>
      </c>
      <c r="M1843" t="str">
        <f>IF(Revv_bike_sales_data[[#This Row],[delivery_days]]&lt;=7, "Yes", "No")</f>
        <v>Yes</v>
      </c>
      <c r="N1843" t="s">
        <v>24</v>
      </c>
      <c r="O1843" s="2">
        <v>37256</v>
      </c>
    </row>
    <row r="1844" spans="1:15" x14ac:dyDescent="0.3">
      <c r="A1844" s="2">
        <v>1834</v>
      </c>
      <c r="B1844" s="1">
        <v>45003.375</v>
      </c>
      <c r="C1844" s="1" t="str">
        <f t="shared" si="56"/>
        <v>03-2023</v>
      </c>
      <c r="D1844" s="2">
        <f t="shared" si="57"/>
        <v>11</v>
      </c>
      <c r="E1844" t="s">
        <v>22</v>
      </c>
      <c r="F1844" t="s">
        <v>14</v>
      </c>
      <c r="G1844" t="s">
        <v>20</v>
      </c>
      <c r="H1844" s="2">
        <v>13773</v>
      </c>
      <c r="I1844" s="2">
        <v>3</v>
      </c>
      <c r="J1844" s="2">
        <v>89198</v>
      </c>
      <c r="K1844" s="2">
        <v>124704</v>
      </c>
      <c r="L1844" s="2">
        <v>7</v>
      </c>
      <c r="M1844" t="str">
        <f>IF(Revv_bike_sales_data[[#This Row],[delivery_days]]&lt;=7, "Yes", "No")</f>
        <v>Yes</v>
      </c>
      <c r="N1844" t="s">
        <v>16</v>
      </c>
      <c r="O1844" s="2">
        <v>-35506</v>
      </c>
    </row>
    <row r="1845" spans="1:15" x14ac:dyDescent="0.3">
      <c r="A1845" s="2">
        <v>1835</v>
      </c>
      <c r="B1845" s="1">
        <v>45003.416666666664</v>
      </c>
      <c r="C1845" s="1" t="str">
        <f t="shared" si="56"/>
        <v>03-2023</v>
      </c>
      <c r="D1845" s="2">
        <f t="shared" si="57"/>
        <v>11</v>
      </c>
      <c r="E1845" t="s">
        <v>25</v>
      </c>
      <c r="F1845" t="s">
        <v>14</v>
      </c>
      <c r="G1845" t="s">
        <v>20</v>
      </c>
      <c r="H1845" s="2">
        <v>49389</v>
      </c>
      <c r="I1845" s="2">
        <v>4</v>
      </c>
      <c r="J1845" s="2">
        <v>83739</v>
      </c>
      <c r="K1845" s="2">
        <v>36661</v>
      </c>
      <c r="L1845" s="2">
        <v>10</v>
      </c>
      <c r="M1845" t="str">
        <f>IF(Revv_bike_sales_data[[#This Row],[delivery_days]]&lt;=7, "Yes", "No")</f>
        <v>No</v>
      </c>
      <c r="N1845" t="s">
        <v>16</v>
      </c>
      <c r="O1845" s="2">
        <v>47078</v>
      </c>
    </row>
    <row r="1846" spans="1:15" x14ac:dyDescent="0.3">
      <c r="A1846" s="2">
        <v>1836</v>
      </c>
      <c r="B1846" s="1">
        <v>45003.458333333336</v>
      </c>
      <c r="C1846" s="1" t="str">
        <f t="shared" si="56"/>
        <v>03-2023</v>
      </c>
      <c r="D1846" s="2">
        <f t="shared" si="57"/>
        <v>11</v>
      </c>
      <c r="E1846" t="s">
        <v>22</v>
      </c>
      <c r="F1846" t="s">
        <v>14</v>
      </c>
      <c r="G1846" t="s">
        <v>21</v>
      </c>
      <c r="H1846" s="2">
        <v>99135</v>
      </c>
      <c r="I1846" s="2">
        <v>1</v>
      </c>
      <c r="J1846" s="2">
        <v>37089</v>
      </c>
      <c r="K1846" s="2">
        <v>96975</v>
      </c>
      <c r="L1846" s="2">
        <v>6</v>
      </c>
      <c r="M1846" t="str">
        <f>IF(Revv_bike_sales_data[[#This Row],[delivery_days]]&lt;=7, "Yes", "No")</f>
        <v>Yes</v>
      </c>
      <c r="N1846" t="s">
        <v>16</v>
      </c>
      <c r="O1846" s="2">
        <v>-59886</v>
      </c>
    </row>
    <row r="1847" spans="1:15" x14ac:dyDescent="0.3">
      <c r="A1847" s="2">
        <v>1837</v>
      </c>
      <c r="B1847" s="1">
        <v>45003.5</v>
      </c>
      <c r="C1847" s="1" t="str">
        <f t="shared" si="56"/>
        <v>03-2023</v>
      </c>
      <c r="D1847" s="2">
        <f t="shared" si="57"/>
        <v>11</v>
      </c>
      <c r="E1847" t="s">
        <v>25</v>
      </c>
      <c r="F1847" t="s">
        <v>14</v>
      </c>
      <c r="G1847" t="s">
        <v>20</v>
      </c>
      <c r="H1847" s="2">
        <v>73548</v>
      </c>
      <c r="I1847" s="2">
        <v>9</v>
      </c>
      <c r="J1847" s="2">
        <v>57600</v>
      </c>
      <c r="K1847" s="2">
        <v>51432</v>
      </c>
      <c r="L1847" s="2">
        <v>14</v>
      </c>
      <c r="M1847" t="str">
        <f>IF(Revv_bike_sales_data[[#This Row],[delivery_days]]&lt;=7, "Yes", "No")</f>
        <v>No</v>
      </c>
      <c r="N1847" t="s">
        <v>16</v>
      </c>
      <c r="O1847" s="2">
        <v>6168</v>
      </c>
    </row>
    <row r="1848" spans="1:15" x14ac:dyDescent="0.3">
      <c r="A1848" s="2">
        <v>1838</v>
      </c>
      <c r="B1848" s="1">
        <v>45003.541666666664</v>
      </c>
      <c r="C1848" s="1" t="str">
        <f t="shared" si="56"/>
        <v>03-2023</v>
      </c>
      <c r="D1848" s="2">
        <f t="shared" si="57"/>
        <v>11</v>
      </c>
      <c r="E1848" t="s">
        <v>13</v>
      </c>
      <c r="F1848" t="s">
        <v>14</v>
      </c>
      <c r="G1848" t="s">
        <v>20</v>
      </c>
      <c r="H1848" s="2">
        <v>94267</v>
      </c>
      <c r="I1848" s="2">
        <v>7</v>
      </c>
      <c r="J1848" s="2">
        <v>33167</v>
      </c>
      <c r="K1848" s="2">
        <v>114047</v>
      </c>
      <c r="L1848" s="2">
        <v>4</v>
      </c>
      <c r="M1848" t="str">
        <f>IF(Revv_bike_sales_data[[#This Row],[delivery_days]]&lt;=7, "Yes", "No")</f>
        <v>Yes</v>
      </c>
      <c r="N1848" t="s">
        <v>16</v>
      </c>
      <c r="O1848" s="2">
        <v>-80880</v>
      </c>
    </row>
    <row r="1849" spans="1:15" x14ac:dyDescent="0.3">
      <c r="A1849" s="2">
        <v>1839</v>
      </c>
      <c r="B1849" s="1">
        <v>45003.583333333336</v>
      </c>
      <c r="C1849" s="1" t="str">
        <f t="shared" si="56"/>
        <v>03-2023</v>
      </c>
      <c r="D1849" s="2">
        <f t="shared" si="57"/>
        <v>11</v>
      </c>
      <c r="E1849" t="s">
        <v>18</v>
      </c>
      <c r="F1849" t="s">
        <v>14</v>
      </c>
      <c r="G1849" t="s">
        <v>19</v>
      </c>
      <c r="H1849" s="2">
        <v>89310</v>
      </c>
      <c r="I1849" s="2">
        <v>1</v>
      </c>
      <c r="J1849" s="2">
        <v>103352</v>
      </c>
      <c r="K1849" s="2">
        <v>46147</v>
      </c>
      <c r="L1849" s="2">
        <v>6</v>
      </c>
      <c r="M1849" t="str">
        <f>IF(Revv_bike_sales_data[[#This Row],[delivery_days]]&lt;=7, "Yes", "No")</f>
        <v>Yes</v>
      </c>
      <c r="N1849" t="s">
        <v>16</v>
      </c>
      <c r="O1849" s="2">
        <v>57205</v>
      </c>
    </row>
    <row r="1850" spans="1:15" x14ac:dyDescent="0.3">
      <c r="A1850" s="2">
        <v>1840</v>
      </c>
      <c r="B1850" s="1">
        <v>45003.625</v>
      </c>
      <c r="C1850" s="1" t="str">
        <f t="shared" si="56"/>
        <v>03-2023</v>
      </c>
      <c r="D1850" s="2">
        <f t="shared" si="57"/>
        <v>11</v>
      </c>
      <c r="E1850" t="s">
        <v>25</v>
      </c>
      <c r="F1850" t="s">
        <v>14</v>
      </c>
      <c r="G1850" t="s">
        <v>21</v>
      </c>
      <c r="H1850" s="2">
        <v>46010</v>
      </c>
      <c r="I1850" s="2">
        <v>2</v>
      </c>
      <c r="J1850" s="2">
        <v>177236</v>
      </c>
      <c r="K1850" s="2">
        <v>44114</v>
      </c>
      <c r="L1850" s="2">
        <v>13</v>
      </c>
      <c r="M1850" t="str">
        <f>IF(Revv_bike_sales_data[[#This Row],[delivery_days]]&lt;=7, "Yes", "No")</f>
        <v>No</v>
      </c>
      <c r="N1850" t="s">
        <v>16</v>
      </c>
      <c r="O1850" s="2">
        <v>133122</v>
      </c>
    </row>
    <row r="1851" spans="1:15" x14ac:dyDescent="0.3">
      <c r="A1851" s="2">
        <v>1841</v>
      </c>
      <c r="B1851" s="1">
        <v>45003.666666666664</v>
      </c>
      <c r="C1851" s="1" t="str">
        <f t="shared" si="56"/>
        <v>03-2023</v>
      </c>
      <c r="D1851" s="2">
        <f t="shared" si="57"/>
        <v>11</v>
      </c>
      <c r="E1851" t="s">
        <v>13</v>
      </c>
      <c r="F1851" t="s">
        <v>14</v>
      </c>
      <c r="G1851" t="s">
        <v>15</v>
      </c>
      <c r="H1851" s="2">
        <v>88445</v>
      </c>
      <c r="I1851" s="2">
        <v>8</v>
      </c>
      <c r="J1851" s="2">
        <v>110965</v>
      </c>
      <c r="K1851" s="2">
        <v>21030</v>
      </c>
      <c r="L1851" s="2">
        <v>4</v>
      </c>
      <c r="M1851" t="str">
        <f>IF(Revv_bike_sales_data[[#This Row],[delivery_days]]&lt;=7, "Yes", "No")</f>
        <v>Yes</v>
      </c>
      <c r="N1851" t="s">
        <v>16</v>
      </c>
      <c r="O1851" s="2">
        <v>89935</v>
      </c>
    </row>
    <row r="1852" spans="1:15" x14ac:dyDescent="0.3">
      <c r="A1852" s="2">
        <v>1842</v>
      </c>
      <c r="B1852" s="1">
        <v>45003.708333333336</v>
      </c>
      <c r="C1852" s="1" t="str">
        <f t="shared" si="56"/>
        <v>03-2023</v>
      </c>
      <c r="D1852" s="2">
        <f t="shared" si="57"/>
        <v>11</v>
      </c>
      <c r="E1852" t="s">
        <v>25</v>
      </c>
      <c r="F1852" t="s">
        <v>14</v>
      </c>
      <c r="G1852" t="s">
        <v>21</v>
      </c>
      <c r="H1852" s="2">
        <v>71149</v>
      </c>
      <c r="I1852" s="2">
        <v>1</v>
      </c>
      <c r="J1852" s="2">
        <v>150540</v>
      </c>
      <c r="K1852" s="2">
        <v>105051</v>
      </c>
      <c r="L1852" s="2">
        <v>12</v>
      </c>
      <c r="M1852" t="str">
        <f>IF(Revv_bike_sales_data[[#This Row],[delivery_days]]&lt;=7, "Yes", "No")</f>
        <v>No</v>
      </c>
      <c r="N1852" t="s">
        <v>16</v>
      </c>
      <c r="O1852" s="2">
        <v>45489</v>
      </c>
    </row>
    <row r="1853" spans="1:15" x14ac:dyDescent="0.3">
      <c r="A1853" s="2">
        <v>1843</v>
      </c>
      <c r="B1853" s="1">
        <v>45003.75</v>
      </c>
      <c r="C1853" s="1" t="str">
        <f t="shared" si="56"/>
        <v>03-2023</v>
      </c>
      <c r="D1853" s="2">
        <f t="shared" si="57"/>
        <v>11</v>
      </c>
      <c r="E1853" t="s">
        <v>25</v>
      </c>
      <c r="F1853" t="s">
        <v>14</v>
      </c>
      <c r="G1853" t="s">
        <v>19</v>
      </c>
      <c r="H1853" s="2">
        <v>3381</v>
      </c>
      <c r="I1853" s="2">
        <v>5</v>
      </c>
      <c r="J1853" s="2">
        <v>56415</v>
      </c>
      <c r="K1853" s="2">
        <v>62429</v>
      </c>
      <c r="L1853" s="2">
        <v>8</v>
      </c>
      <c r="M1853" t="str">
        <f>IF(Revv_bike_sales_data[[#This Row],[delivery_days]]&lt;=7, "Yes", "No")</f>
        <v>No</v>
      </c>
      <c r="N1853" t="s">
        <v>16</v>
      </c>
      <c r="O1853" s="2">
        <v>-6014</v>
      </c>
    </row>
    <row r="1854" spans="1:15" x14ac:dyDescent="0.3">
      <c r="A1854" s="2">
        <v>1844</v>
      </c>
      <c r="B1854" s="1">
        <v>45003.791666666664</v>
      </c>
      <c r="C1854" s="1" t="str">
        <f t="shared" si="56"/>
        <v>03-2023</v>
      </c>
      <c r="D1854" s="2">
        <f t="shared" si="57"/>
        <v>11</v>
      </c>
      <c r="E1854" t="s">
        <v>18</v>
      </c>
      <c r="F1854" t="s">
        <v>14</v>
      </c>
      <c r="G1854" t="s">
        <v>20</v>
      </c>
      <c r="H1854" s="2">
        <v>46413</v>
      </c>
      <c r="I1854" s="2">
        <v>3</v>
      </c>
      <c r="J1854" s="2">
        <v>96895</v>
      </c>
      <c r="K1854" s="2">
        <v>62743</v>
      </c>
      <c r="L1854" s="2">
        <v>11</v>
      </c>
      <c r="M1854" t="str">
        <f>IF(Revv_bike_sales_data[[#This Row],[delivery_days]]&lt;=7, "Yes", "No")</f>
        <v>No</v>
      </c>
      <c r="N1854" t="s">
        <v>16</v>
      </c>
      <c r="O1854" s="2">
        <v>34152</v>
      </c>
    </row>
    <row r="1855" spans="1:15" x14ac:dyDescent="0.3">
      <c r="A1855" s="2">
        <v>1845</v>
      </c>
      <c r="B1855" s="1">
        <v>45003.833333333336</v>
      </c>
      <c r="C1855" s="1" t="str">
        <f t="shared" si="56"/>
        <v>03-2023</v>
      </c>
      <c r="D1855" s="2">
        <f t="shared" si="57"/>
        <v>11</v>
      </c>
      <c r="E1855" t="s">
        <v>17</v>
      </c>
      <c r="F1855" t="s">
        <v>14</v>
      </c>
      <c r="G1855" t="s">
        <v>15</v>
      </c>
      <c r="H1855" s="2">
        <v>85285</v>
      </c>
      <c r="I1855" s="2">
        <v>6</v>
      </c>
      <c r="J1855" s="2">
        <v>104900</v>
      </c>
      <c r="K1855" s="2">
        <v>110869</v>
      </c>
      <c r="L1855" s="2">
        <v>3</v>
      </c>
      <c r="M1855" t="str">
        <f>IF(Revv_bike_sales_data[[#This Row],[delivery_days]]&lt;=7, "Yes", "No")</f>
        <v>Yes</v>
      </c>
      <c r="N1855" t="s">
        <v>16</v>
      </c>
      <c r="O1855" s="2">
        <v>-5969</v>
      </c>
    </row>
    <row r="1856" spans="1:15" x14ac:dyDescent="0.3">
      <c r="A1856" s="2">
        <v>1846</v>
      </c>
      <c r="B1856" s="1">
        <v>45003.875</v>
      </c>
      <c r="C1856" s="1" t="str">
        <f t="shared" si="56"/>
        <v>03-2023</v>
      </c>
      <c r="D1856" s="2">
        <f t="shared" si="57"/>
        <v>11</v>
      </c>
      <c r="E1856" t="s">
        <v>17</v>
      </c>
      <c r="F1856" t="s">
        <v>14</v>
      </c>
      <c r="G1856" t="s">
        <v>21</v>
      </c>
      <c r="H1856" s="2">
        <v>65537</v>
      </c>
      <c r="I1856" s="2">
        <v>5</v>
      </c>
      <c r="J1856" s="2">
        <v>119330</v>
      </c>
      <c r="K1856" s="2">
        <v>80615</v>
      </c>
      <c r="L1856" s="2">
        <v>8</v>
      </c>
      <c r="M1856" t="str">
        <f>IF(Revv_bike_sales_data[[#This Row],[delivery_days]]&lt;=7, "Yes", "No")</f>
        <v>No</v>
      </c>
      <c r="N1856" t="s">
        <v>16</v>
      </c>
      <c r="O1856" s="2">
        <v>38715</v>
      </c>
    </row>
    <row r="1857" spans="1:15" x14ac:dyDescent="0.3">
      <c r="A1857" s="2">
        <v>1847</v>
      </c>
      <c r="B1857" s="1">
        <v>45003.916666666664</v>
      </c>
      <c r="C1857" s="1" t="str">
        <f t="shared" si="56"/>
        <v>03-2023</v>
      </c>
      <c r="D1857" s="2">
        <f t="shared" si="57"/>
        <v>11</v>
      </c>
      <c r="E1857" t="s">
        <v>25</v>
      </c>
      <c r="F1857" t="s">
        <v>14</v>
      </c>
      <c r="G1857" t="s">
        <v>20</v>
      </c>
      <c r="H1857" s="2">
        <v>62957</v>
      </c>
      <c r="I1857" s="2">
        <v>9</v>
      </c>
      <c r="J1857" s="2">
        <v>83650</v>
      </c>
      <c r="K1857" s="2">
        <v>62577</v>
      </c>
      <c r="L1857" s="2">
        <v>13</v>
      </c>
      <c r="M1857" t="str">
        <f>IF(Revv_bike_sales_data[[#This Row],[delivery_days]]&lt;=7, "Yes", "No")</f>
        <v>No</v>
      </c>
      <c r="N1857" t="s">
        <v>16</v>
      </c>
      <c r="O1857" s="2">
        <v>21073</v>
      </c>
    </row>
    <row r="1858" spans="1:15" x14ac:dyDescent="0.3">
      <c r="A1858" s="2">
        <v>1848</v>
      </c>
      <c r="B1858" s="1">
        <v>45003.958333333336</v>
      </c>
      <c r="C1858" s="1" t="str">
        <f t="shared" si="56"/>
        <v>03-2023</v>
      </c>
      <c r="D1858" s="2">
        <f t="shared" si="57"/>
        <v>11</v>
      </c>
      <c r="E1858" t="s">
        <v>22</v>
      </c>
      <c r="F1858" t="s">
        <v>14</v>
      </c>
      <c r="G1858" t="s">
        <v>21</v>
      </c>
      <c r="H1858" s="2">
        <v>35843</v>
      </c>
      <c r="I1858" s="2">
        <v>8</v>
      </c>
      <c r="J1858" s="2">
        <v>25615</v>
      </c>
      <c r="K1858" s="2">
        <v>109584</v>
      </c>
      <c r="L1858" s="2">
        <v>2</v>
      </c>
      <c r="M1858" t="str">
        <f>IF(Revv_bike_sales_data[[#This Row],[delivery_days]]&lt;=7, "Yes", "No")</f>
        <v>Yes</v>
      </c>
      <c r="N1858" t="s">
        <v>24</v>
      </c>
      <c r="O1858" s="2">
        <v>-83969</v>
      </c>
    </row>
    <row r="1859" spans="1:15" x14ac:dyDescent="0.3">
      <c r="A1859" s="2">
        <v>1849</v>
      </c>
      <c r="B1859" s="1">
        <v>45004</v>
      </c>
      <c r="C1859" s="1" t="str">
        <f t="shared" si="56"/>
        <v>03-2023</v>
      </c>
      <c r="D1859" s="2">
        <f t="shared" si="57"/>
        <v>12</v>
      </c>
      <c r="E1859" t="s">
        <v>13</v>
      </c>
      <c r="F1859" t="s">
        <v>23</v>
      </c>
      <c r="G1859" t="s">
        <v>15</v>
      </c>
      <c r="H1859" s="2">
        <v>62889</v>
      </c>
      <c r="I1859" s="2">
        <v>8</v>
      </c>
      <c r="J1859" s="2">
        <v>102937</v>
      </c>
      <c r="K1859" s="2">
        <v>125436</v>
      </c>
      <c r="L1859" s="2">
        <v>6</v>
      </c>
      <c r="M1859" t="str">
        <f>IF(Revv_bike_sales_data[[#This Row],[delivery_days]]&lt;=7, "Yes", "No")</f>
        <v>Yes</v>
      </c>
      <c r="N1859" t="s">
        <v>16</v>
      </c>
      <c r="O1859" s="2">
        <v>-22499</v>
      </c>
    </row>
    <row r="1860" spans="1:15" x14ac:dyDescent="0.3">
      <c r="A1860" s="2">
        <v>1850</v>
      </c>
      <c r="B1860" s="1">
        <v>45004.041666666664</v>
      </c>
      <c r="C1860" s="1" t="str">
        <f t="shared" si="56"/>
        <v>03-2023</v>
      </c>
      <c r="D1860" s="2">
        <f t="shared" si="57"/>
        <v>12</v>
      </c>
      <c r="E1860" t="s">
        <v>22</v>
      </c>
      <c r="F1860" t="s">
        <v>14</v>
      </c>
      <c r="G1860" t="s">
        <v>21</v>
      </c>
      <c r="H1860" s="2">
        <v>78750</v>
      </c>
      <c r="I1860" s="2">
        <v>9</v>
      </c>
      <c r="J1860" s="2">
        <v>66936</v>
      </c>
      <c r="K1860" s="2">
        <v>17966</v>
      </c>
      <c r="L1860" s="2">
        <v>8</v>
      </c>
      <c r="M1860" t="str">
        <f>IF(Revv_bike_sales_data[[#This Row],[delivery_days]]&lt;=7, "Yes", "No")</f>
        <v>No</v>
      </c>
      <c r="N1860" t="s">
        <v>16</v>
      </c>
      <c r="O1860" s="2">
        <v>48970</v>
      </c>
    </row>
    <row r="1861" spans="1:15" x14ac:dyDescent="0.3">
      <c r="A1861" s="2">
        <v>1851</v>
      </c>
      <c r="B1861" s="1">
        <v>45004.083333333336</v>
      </c>
      <c r="C1861" s="1" t="str">
        <f t="shared" si="56"/>
        <v>03-2023</v>
      </c>
      <c r="D1861" s="2">
        <f t="shared" si="57"/>
        <v>12</v>
      </c>
      <c r="E1861" t="s">
        <v>22</v>
      </c>
      <c r="F1861" t="s">
        <v>14</v>
      </c>
      <c r="G1861" t="s">
        <v>21</v>
      </c>
      <c r="H1861" s="2">
        <v>9156</v>
      </c>
      <c r="I1861" s="2">
        <v>3</v>
      </c>
      <c r="J1861" s="2">
        <v>132812</v>
      </c>
      <c r="K1861" s="2">
        <v>128838</v>
      </c>
      <c r="L1861" s="2">
        <v>1</v>
      </c>
      <c r="M1861" t="str">
        <f>IF(Revv_bike_sales_data[[#This Row],[delivery_days]]&lt;=7, "Yes", "No")</f>
        <v>Yes</v>
      </c>
      <c r="N1861" t="s">
        <v>16</v>
      </c>
      <c r="O1861" s="2">
        <v>3974</v>
      </c>
    </row>
    <row r="1862" spans="1:15" x14ac:dyDescent="0.3">
      <c r="A1862" s="2">
        <v>1852</v>
      </c>
      <c r="B1862" s="1">
        <v>45004.125</v>
      </c>
      <c r="C1862" s="1" t="str">
        <f t="shared" si="56"/>
        <v>03-2023</v>
      </c>
      <c r="D1862" s="2">
        <f t="shared" si="57"/>
        <v>12</v>
      </c>
      <c r="E1862" t="s">
        <v>25</v>
      </c>
      <c r="F1862" t="s">
        <v>14</v>
      </c>
      <c r="G1862" t="s">
        <v>21</v>
      </c>
      <c r="H1862" s="2">
        <v>6241</v>
      </c>
      <c r="I1862" s="2">
        <v>0</v>
      </c>
      <c r="J1862" s="2">
        <v>92875</v>
      </c>
      <c r="K1862" s="2">
        <v>18728</v>
      </c>
      <c r="L1862" s="2">
        <v>6</v>
      </c>
      <c r="M1862" t="str">
        <f>IF(Revv_bike_sales_data[[#This Row],[delivery_days]]&lt;=7, "Yes", "No")</f>
        <v>Yes</v>
      </c>
      <c r="N1862" t="s">
        <v>16</v>
      </c>
      <c r="O1862" s="2">
        <v>74147</v>
      </c>
    </row>
    <row r="1863" spans="1:15" x14ac:dyDescent="0.3">
      <c r="A1863" s="2">
        <v>1853</v>
      </c>
      <c r="B1863" s="1">
        <v>45004.166666666664</v>
      </c>
      <c r="C1863" s="1" t="str">
        <f t="shared" si="56"/>
        <v>03-2023</v>
      </c>
      <c r="D1863" s="2">
        <f t="shared" si="57"/>
        <v>12</v>
      </c>
      <c r="E1863" t="s">
        <v>25</v>
      </c>
      <c r="F1863" t="s">
        <v>14</v>
      </c>
      <c r="G1863" t="s">
        <v>20</v>
      </c>
      <c r="H1863" s="2">
        <v>17161</v>
      </c>
      <c r="I1863" s="2">
        <v>1</v>
      </c>
      <c r="J1863" s="2">
        <v>106782</v>
      </c>
      <c r="K1863" s="2">
        <v>52304</v>
      </c>
      <c r="L1863" s="2">
        <v>9</v>
      </c>
      <c r="M1863" t="str">
        <f>IF(Revv_bike_sales_data[[#This Row],[delivery_days]]&lt;=7, "Yes", "No")</f>
        <v>No</v>
      </c>
      <c r="N1863" t="s">
        <v>16</v>
      </c>
      <c r="O1863" s="2">
        <v>54478</v>
      </c>
    </row>
    <row r="1864" spans="1:15" x14ac:dyDescent="0.3">
      <c r="A1864" s="2">
        <v>1854</v>
      </c>
      <c r="B1864" s="1">
        <v>45004.208333333336</v>
      </c>
      <c r="C1864" s="1" t="str">
        <f t="shared" si="56"/>
        <v>03-2023</v>
      </c>
      <c r="D1864" s="2">
        <f t="shared" si="57"/>
        <v>12</v>
      </c>
      <c r="E1864" t="s">
        <v>25</v>
      </c>
      <c r="F1864" t="s">
        <v>14</v>
      </c>
      <c r="G1864" t="s">
        <v>15</v>
      </c>
      <c r="H1864" s="2">
        <v>97591</v>
      </c>
      <c r="I1864" s="2">
        <v>7</v>
      </c>
      <c r="J1864" s="2">
        <v>86700</v>
      </c>
      <c r="K1864" s="2">
        <v>64277</v>
      </c>
      <c r="L1864" s="2">
        <v>13</v>
      </c>
      <c r="M1864" t="str">
        <f>IF(Revv_bike_sales_data[[#This Row],[delivery_days]]&lt;=7, "Yes", "No")</f>
        <v>No</v>
      </c>
      <c r="N1864" t="s">
        <v>16</v>
      </c>
      <c r="O1864" s="2">
        <v>22423</v>
      </c>
    </row>
    <row r="1865" spans="1:15" x14ac:dyDescent="0.3">
      <c r="A1865" s="2">
        <v>1855</v>
      </c>
      <c r="B1865" s="1">
        <v>45004.25</v>
      </c>
      <c r="C1865" s="1" t="str">
        <f t="shared" si="56"/>
        <v>03-2023</v>
      </c>
      <c r="D1865" s="2">
        <f t="shared" si="57"/>
        <v>12</v>
      </c>
      <c r="E1865" t="s">
        <v>25</v>
      </c>
      <c r="F1865" t="s">
        <v>14</v>
      </c>
      <c r="G1865" t="s">
        <v>15</v>
      </c>
      <c r="H1865" s="2">
        <v>29190</v>
      </c>
      <c r="I1865" s="2">
        <v>9</v>
      </c>
      <c r="J1865" s="2">
        <v>33109</v>
      </c>
      <c r="K1865" s="2">
        <v>119117</v>
      </c>
      <c r="L1865" s="2">
        <v>10</v>
      </c>
      <c r="M1865" t="str">
        <f>IF(Revv_bike_sales_data[[#This Row],[delivery_days]]&lt;=7, "Yes", "No")</f>
        <v>No</v>
      </c>
      <c r="N1865" t="s">
        <v>16</v>
      </c>
      <c r="O1865" s="2">
        <v>-86008</v>
      </c>
    </row>
    <row r="1866" spans="1:15" x14ac:dyDescent="0.3">
      <c r="A1866" s="2">
        <v>1856</v>
      </c>
      <c r="B1866" s="1">
        <v>45004.291666666664</v>
      </c>
      <c r="C1866" s="1" t="str">
        <f t="shared" si="56"/>
        <v>03-2023</v>
      </c>
      <c r="D1866" s="2">
        <f t="shared" si="57"/>
        <v>12</v>
      </c>
      <c r="E1866" t="s">
        <v>17</v>
      </c>
      <c r="F1866" t="s">
        <v>14</v>
      </c>
      <c r="G1866" t="s">
        <v>20</v>
      </c>
      <c r="H1866" s="2">
        <v>33333</v>
      </c>
      <c r="I1866" s="2">
        <v>7</v>
      </c>
      <c r="J1866" s="2">
        <v>48758</v>
      </c>
      <c r="K1866" s="2">
        <v>105330</v>
      </c>
      <c r="L1866" s="2">
        <v>10</v>
      </c>
      <c r="M1866" t="str">
        <f>IF(Revv_bike_sales_data[[#This Row],[delivery_days]]&lt;=7, "Yes", "No")</f>
        <v>No</v>
      </c>
      <c r="N1866" t="s">
        <v>16</v>
      </c>
      <c r="O1866" s="2">
        <v>-56572</v>
      </c>
    </row>
    <row r="1867" spans="1:15" x14ac:dyDescent="0.3">
      <c r="A1867" s="2">
        <v>1857</v>
      </c>
      <c r="B1867" s="1">
        <v>45004.333333333336</v>
      </c>
      <c r="C1867" s="1" t="str">
        <f t="shared" ref="C1867:C1930" si="58">TEXT(B1867,"mm-yyyy")</f>
        <v>03-2023</v>
      </c>
      <c r="D1867" s="2">
        <f t="shared" ref="D1867:D1930" si="59">WEEKNUM(B1867)</f>
        <v>12</v>
      </c>
      <c r="E1867" t="s">
        <v>25</v>
      </c>
      <c r="F1867" t="s">
        <v>14</v>
      </c>
      <c r="G1867" t="s">
        <v>20</v>
      </c>
      <c r="H1867" s="2">
        <v>71740</v>
      </c>
      <c r="I1867" s="2">
        <v>1</v>
      </c>
      <c r="J1867" s="2">
        <v>133592</v>
      </c>
      <c r="K1867" s="2">
        <v>15947</v>
      </c>
      <c r="L1867" s="2">
        <v>2</v>
      </c>
      <c r="M1867" t="str">
        <f>IF(Revv_bike_sales_data[[#This Row],[delivery_days]]&lt;=7, "Yes", "No")</f>
        <v>Yes</v>
      </c>
      <c r="N1867" t="s">
        <v>16</v>
      </c>
      <c r="O1867" s="2">
        <v>117645</v>
      </c>
    </row>
    <row r="1868" spans="1:15" x14ac:dyDescent="0.3">
      <c r="A1868" s="2">
        <v>1858</v>
      </c>
      <c r="B1868" s="1">
        <v>45004.375</v>
      </c>
      <c r="C1868" s="1" t="str">
        <f t="shared" si="58"/>
        <v>03-2023</v>
      </c>
      <c r="D1868" s="2">
        <f t="shared" si="59"/>
        <v>12</v>
      </c>
      <c r="E1868" t="s">
        <v>17</v>
      </c>
      <c r="F1868" t="s">
        <v>14</v>
      </c>
      <c r="G1868" t="s">
        <v>20</v>
      </c>
      <c r="H1868" s="2">
        <v>78211</v>
      </c>
      <c r="I1868" s="2">
        <v>3</v>
      </c>
      <c r="J1868" s="2">
        <v>38317</v>
      </c>
      <c r="K1868" s="2">
        <v>93101</v>
      </c>
      <c r="L1868" s="2">
        <v>11</v>
      </c>
      <c r="M1868" t="str">
        <f>IF(Revv_bike_sales_data[[#This Row],[delivery_days]]&lt;=7, "Yes", "No")</f>
        <v>No</v>
      </c>
      <c r="N1868" t="s">
        <v>16</v>
      </c>
      <c r="O1868" s="2">
        <v>-54784</v>
      </c>
    </row>
    <row r="1869" spans="1:15" x14ac:dyDescent="0.3">
      <c r="A1869" s="2">
        <v>1859</v>
      </c>
      <c r="B1869" s="1">
        <v>45004.416666666664</v>
      </c>
      <c r="C1869" s="1" t="str">
        <f t="shared" si="58"/>
        <v>03-2023</v>
      </c>
      <c r="D1869" s="2">
        <f t="shared" si="59"/>
        <v>12</v>
      </c>
      <c r="E1869" t="s">
        <v>17</v>
      </c>
      <c r="F1869" t="s">
        <v>14</v>
      </c>
      <c r="G1869" t="s">
        <v>19</v>
      </c>
      <c r="H1869" s="2">
        <v>57641</v>
      </c>
      <c r="I1869" s="2">
        <v>0</v>
      </c>
      <c r="J1869" s="2">
        <v>50622</v>
      </c>
      <c r="K1869" s="2">
        <v>96380</v>
      </c>
      <c r="L1869" s="2">
        <v>13</v>
      </c>
      <c r="M1869" t="str">
        <f>IF(Revv_bike_sales_data[[#This Row],[delivery_days]]&lt;=7, "Yes", "No")</f>
        <v>No</v>
      </c>
      <c r="N1869" t="s">
        <v>16</v>
      </c>
      <c r="O1869" s="2">
        <v>-45758</v>
      </c>
    </row>
    <row r="1870" spans="1:15" x14ac:dyDescent="0.3">
      <c r="A1870" s="2">
        <v>1860</v>
      </c>
      <c r="B1870" s="1">
        <v>45004.458333333336</v>
      </c>
      <c r="C1870" s="1" t="str">
        <f t="shared" si="58"/>
        <v>03-2023</v>
      </c>
      <c r="D1870" s="2">
        <f t="shared" si="59"/>
        <v>12</v>
      </c>
      <c r="E1870" t="s">
        <v>25</v>
      </c>
      <c r="F1870" t="s">
        <v>23</v>
      </c>
      <c r="G1870" t="s">
        <v>21</v>
      </c>
      <c r="H1870" s="2">
        <v>78732</v>
      </c>
      <c r="I1870" s="2">
        <v>6</v>
      </c>
      <c r="J1870" s="2">
        <v>31800</v>
      </c>
      <c r="K1870" s="2">
        <v>81130</v>
      </c>
      <c r="L1870" s="2">
        <v>1</v>
      </c>
      <c r="M1870" t="str">
        <f>IF(Revv_bike_sales_data[[#This Row],[delivery_days]]&lt;=7, "Yes", "No")</f>
        <v>Yes</v>
      </c>
      <c r="N1870" t="s">
        <v>16</v>
      </c>
      <c r="O1870" s="2">
        <v>-49330</v>
      </c>
    </row>
    <row r="1871" spans="1:15" x14ac:dyDescent="0.3">
      <c r="A1871" s="2">
        <v>1861</v>
      </c>
      <c r="B1871" s="1">
        <v>45004.5</v>
      </c>
      <c r="C1871" s="1" t="str">
        <f t="shared" si="58"/>
        <v>03-2023</v>
      </c>
      <c r="D1871" s="2">
        <f t="shared" si="59"/>
        <v>12</v>
      </c>
      <c r="E1871" t="s">
        <v>18</v>
      </c>
      <c r="F1871" t="s">
        <v>14</v>
      </c>
      <c r="G1871" t="s">
        <v>21</v>
      </c>
      <c r="H1871" s="2">
        <v>39523</v>
      </c>
      <c r="I1871" s="2">
        <v>3</v>
      </c>
      <c r="J1871" s="2">
        <v>60539</v>
      </c>
      <c r="K1871" s="2">
        <v>36414</v>
      </c>
      <c r="L1871" s="2">
        <v>2</v>
      </c>
      <c r="M1871" t="str">
        <f>IF(Revv_bike_sales_data[[#This Row],[delivery_days]]&lt;=7, "Yes", "No")</f>
        <v>Yes</v>
      </c>
      <c r="N1871" t="s">
        <v>16</v>
      </c>
      <c r="O1871" s="2">
        <v>24125</v>
      </c>
    </row>
    <row r="1872" spans="1:15" x14ac:dyDescent="0.3">
      <c r="A1872" s="2">
        <v>1862</v>
      </c>
      <c r="B1872" s="1">
        <v>45004.541666666664</v>
      </c>
      <c r="C1872" s="1" t="str">
        <f t="shared" si="58"/>
        <v>03-2023</v>
      </c>
      <c r="D1872" s="2">
        <f t="shared" si="59"/>
        <v>12</v>
      </c>
      <c r="E1872" t="s">
        <v>13</v>
      </c>
      <c r="F1872" t="s">
        <v>14</v>
      </c>
      <c r="G1872" t="s">
        <v>15</v>
      </c>
      <c r="H1872" s="2">
        <v>40709</v>
      </c>
      <c r="I1872" s="2">
        <v>7</v>
      </c>
      <c r="J1872" s="2">
        <v>158672</v>
      </c>
      <c r="K1872" s="2">
        <v>111226</v>
      </c>
      <c r="L1872" s="2">
        <v>5</v>
      </c>
      <c r="M1872" t="str">
        <f>IF(Revv_bike_sales_data[[#This Row],[delivery_days]]&lt;=7, "Yes", "No")</f>
        <v>Yes</v>
      </c>
      <c r="N1872" t="s">
        <v>16</v>
      </c>
      <c r="O1872" s="2">
        <v>47446</v>
      </c>
    </row>
    <row r="1873" spans="1:15" x14ac:dyDescent="0.3">
      <c r="A1873" s="2">
        <v>1863</v>
      </c>
      <c r="B1873" s="1">
        <v>45004.583333333336</v>
      </c>
      <c r="C1873" s="1" t="str">
        <f t="shared" si="58"/>
        <v>03-2023</v>
      </c>
      <c r="D1873" s="2">
        <f t="shared" si="59"/>
        <v>12</v>
      </c>
      <c r="E1873" t="s">
        <v>22</v>
      </c>
      <c r="F1873" t="s">
        <v>14</v>
      </c>
      <c r="G1873" t="s">
        <v>21</v>
      </c>
      <c r="H1873" s="2">
        <v>94090</v>
      </c>
      <c r="I1873" s="2">
        <v>8</v>
      </c>
      <c r="J1873" s="2">
        <v>110163</v>
      </c>
      <c r="K1873" s="2">
        <v>97060</v>
      </c>
      <c r="L1873" s="2">
        <v>6</v>
      </c>
      <c r="M1873" t="str">
        <f>IF(Revv_bike_sales_data[[#This Row],[delivery_days]]&lt;=7, "Yes", "No")</f>
        <v>Yes</v>
      </c>
      <c r="N1873" t="s">
        <v>16</v>
      </c>
      <c r="O1873" s="2">
        <v>13103</v>
      </c>
    </row>
    <row r="1874" spans="1:15" x14ac:dyDescent="0.3">
      <c r="A1874" s="2">
        <v>1864</v>
      </c>
      <c r="B1874" s="1">
        <v>45004.625</v>
      </c>
      <c r="C1874" s="1" t="str">
        <f t="shared" si="58"/>
        <v>03-2023</v>
      </c>
      <c r="D1874" s="2">
        <f t="shared" si="59"/>
        <v>12</v>
      </c>
      <c r="E1874" t="s">
        <v>17</v>
      </c>
      <c r="F1874" t="s">
        <v>14</v>
      </c>
      <c r="G1874" t="s">
        <v>19</v>
      </c>
      <c r="H1874" s="2">
        <v>87112</v>
      </c>
      <c r="I1874" s="2">
        <v>8</v>
      </c>
      <c r="J1874" s="2">
        <v>41689</v>
      </c>
      <c r="K1874" s="2">
        <v>108005</v>
      </c>
      <c r="L1874" s="2">
        <v>1</v>
      </c>
      <c r="M1874" t="str">
        <f>IF(Revv_bike_sales_data[[#This Row],[delivery_days]]&lt;=7, "Yes", "No")</f>
        <v>Yes</v>
      </c>
      <c r="N1874" t="s">
        <v>16</v>
      </c>
      <c r="O1874" s="2">
        <v>-66316</v>
      </c>
    </row>
    <row r="1875" spans="1:15" x14ac:dyDescent="0.3">
      <c r="A1875" s="2">
        <v>1865</v>
      </c>
      <c r="B1875" s="1">
        <v>45004.666666666664</v>
      </c>
      <c r="C1875" s="1" t="str">
        <f t="shared" si="58"/>
        <v>03-2023</v>
      </c>
      <c r="D1875" s="2">
        <f t="shared" si="59"/>
        <v>12</v>
      </c>
      <c r="E1875" t="s">
        <v>13</v>
      </c>
      <c r="F1875" t="s">
        <v>14</v>
      </c>
      <c r="G1875" t="s">
        <v>20</v>
      </c>
      <c r="H1875" s="2">
        <v>81022</v>
      </c>
      <c r="I1875" s="2">
        <v>2</v>
      </c>
      <c r="J1875" s="2">
        <v>106459</v>
      </c>
      <c r="K1875" s="2">
        <v>34439</v>
      </c>
      <c r="L1875" s="2">
        <v>7</v>
      </c>
      <c r="M1875" t="str">
        <f>IF(Revv_bike_sales_data[[#This Row],[delivery_days]]&lt;=7, "Yes", "No")</f>
        <v>Yes</v>
      </c>
      <c r="N1875" t="s">
        <v>16</v>
      </c>
      <c r="O1875" s="2">
        <v>72020</v>
      </c>
    </row>
    <row r="1876" spans="1:15" x14ac:dyDescent="0.3">
      <c r="A1876" s="2">
        <v>1866</v>
      </c>
      <c r="B1876" s="1">
        <v>45004.708333333336</v>
      </c>
      <c r="C1876" s="1" t="str">
        <f t="shared" si="58"/>
        <v>03-2023</v>
      </c>
      <c r="D1876" s="2">
        <f t="shared" si="59"/>
        <v>12</v>
      </c>
      <c r="E1876" t="s">
        <v>18</v>
      </c>
      <c r="F1876" t="s">
        <v>14</v>
      </c>
      <c r="G1876" t="s">
        <v>15</v>
      </c>
      <c r="H1876" s="2">
        <v>14940</v>
      </c>
      <c r="I1876" s="2">
        <v>4</v>
      </c>
      <c r="J1876" s="2">
        <v>63469</v>
      </c>
      <c r="K1876" s="2">
        <v>106742</v>
      </c>
      <c r="L1876" s="2">
        <v>11</v>
      </c>
      <c r="M1876" t="str">
        <f>IF(Revv_bike_sales_data[[#This Row],[delivery_days]]&lt;=7, "Yes", "No")</f>
        <v>No</v>
      </c>
      <c r="N1876" t="s">
        <v>24</v>
      </c>
      <c r="O1876" s="2">
        <v>-43273</v>
      </c>
    </row>
    <row r="1877" spans="1:15" x14ac:dyDescent="0.3">
      <c r="A1877" s="2">
        <v>1867</v>
      </c>
      <c r="B1877" s="1">
        <v>45004.75</v>
      </c>
      <c r="C1877" s="1" t="str">
        <f t="shared" si="58"/>
        <v>03-2023</v>
      </c>
      <c r="D1877" s="2">
        <f t="shared" si="59"/>
        <v>12</v>
      </c>
      <c r="E1877" t="s">
        <v>22</v>
      </c>
      <c r="F1877" t="s">
        <v>14</v>
      </c>
      <c r="G1877" t="s">
        <v>15</v>
      </c>
      <c r="H1877" s="2">
        <v>8460</v>
      </c>
      <c r="I1877" s="2">
        <v>5</v>
      </c>
      <c r="J1877" s="2">
        <v>157030</v>
      </c>
      <c r="K1877" s="2">
        <v>73220</v>
      </c>
      <c r="L1877" s="2">
        <v>4</v>
      </c>
      <c r="M1877" t="str">
        <f>IF(Revv_bike_sales_data[[#This Row],[delivery_days]]&lt;=7, "Yes", "No")</f>
        <v>Yes</v>
      </c>
      <c r="N1877" t="s">
        <v>24</v>
      </c>
      <c r="O1877" s="2">
        <v>83810</v>
      </c>
    </row>
    <row r="1878" spans="1:15" x14ac:dyDescent="0.3">
      <c r="A1878" s="2">
        <v>1868</v>
      </c>
      <c r="B1878" s="1">
        <v>45004.791666666664</v>
      </c>
      <c r="C1878" s="1" t="str">
        <f t="shared" si="58"/>
        <v>03-2023</v>
      </c>
      <c r="D1878" s="2">
        <f t="shared" si="59"/>
        <v>12</v>
      </c>
      <c r="E1878" t="s">
        <v>22</v>
      </c>
      <c r="F1878" t="s">
        <v>14</v>
      </c>
      <c r="G1878" t="s">
        <v>21</v>
      </c>
      <c r="H1878" s="2">
        <v>22962</v>
      </c>
      <c r="I1878" s="2">
        <v>5</v>
      </c>
      <c r="J1878" s="2">
        <v>85012</v>
      </c>
      <c r="K1878" s="2">
        <v>61785</v>
      </c>
      <c r="L1878" s="2">
        <v>9</v>
      </c>
      <c r="M1878" t="str">
        <f>IF(Revv_bike_sales_data[[#This Row],[delivery_days]]&lt;=7, "Yes", "No")</f>
        <v>No</v>
      </c>
      <c r="N1878" t="s">
        <v>16</v>
      </c>
      <c r="O1878" s="2">
        <v>23227</v>
      </c>
    </row>
    <row r="1879" spans="1:15" x14ac:dyDescent="0.3">
      <c r="A1879" s="2">
        <v>1869</v>
      </c>
      <c r="B1879" s="1">
        <v>45004.833333333336</v>
      </c>
      <c r="C1879" s="1" t="str">
        <f t="shared" si="58"/>
        <v>03-2023</v>
      </c>
      <c r="D1879" s="2">
        <f t="shared" si="59"/>
        <v>12</v>
      </c>
      <c r="E1879" t="s">
        <v>17</v>
      </c>
      <c r="F1879" t="s">
        <v>14</v>
      </c>
      <c r="G1879" t="s">
        <v>15</v>
      </c>
      <c r="H1879" s="2">
        <v>18321</v>
      </c>
      <c r="I1879" s="2">
        <v>9</v>
      </c>
      <c r="J1879" s="2">
        <v>85021</v>
      </c>
      <c r="K1879" s="2">
        <v>51973</v>
      </c>
      <c r="L1879" s="2">
        <v>6</v>
      </c>
      <c r="M1879" t="str">
        <f>IF(Revv_bike_sales_data[[#This Row],[delivery_days]]&lt;=7, "Yes", "No")</f>
        <v>Yes</v>
      </c>
      <c r="N1879" t="s">
        <v>16</v>
      </c>
      <c r="O1879" s="2">
        <v>33048</v>
      </c>
    </row>
    <row r="1880" spans="1:15" x14ac:dyDescent="0.3">
      <c r="A1880" s="2">
        <v>1870</v>
      </c>
      <c r="B1880" s="1">
        <v>45004.875</v>
      </c>
      <c r="C1880" s="1" t="str">
        <f t="shared" si="58"/>
        <v>03-2023</v>
      </c>
      <c r="D1880" s="2">
        <f t="shared" si="59"/>
        <v>12</v>
      </c>
      <c r="E1880" t="s">
        <v>25</v>
      </c>
      <c r="F1880" t="s">
        <v>14</v>
      </c>
      <c r="G1880" t="s">
        <v>20</v>
      </c>
      <c r="H1880" s="2">
        <v>58272</v>
      </c>
      <c r="I1880" s="2">
        <v>7</v>
      </c>
      <c r="J1880" s="2">
        <v>49642</v>
      </c>
      <c r="K1880" s="2">
        <v>102091</v>
      </c>
      <c r="L1880" s="2">
        <v>9</v>
      </c>
      <c r="M1880" t="str">
        <f>IF(Revv_bike_sales_data[[#This Row],[delivery_days]]&lt;=7, "Yes", "No")</f>
        <v>No</v>
      </c>
      <c r="N1880" t="s">
        <v>16</v>
      </c>
      <c r="O1880" s="2">
        <v>-52449</v>
      </c>
    </row>
    <row r="1881" spans="1:15" x14ac:dyDescent="0.3">
      <c r="A1881" s="2">
        <v>1871</v>
      </c>
      <c r="B1881" s="1">
        <v>45004.916666666664</v>
      </c>
      <c r="C1881" s="1" t="str">
        <f t="shared" si="58"/>
        <v>03-2023</v>
      </c>
      <c r="D1881" s="2">
        <f t="shared" si="59"/>
        <v>12</v>
      </c>
      <c r="E1881" t="s">
        <v>18</v>
      </c>
      <c r="F1881" t="s">
        <v>14</v>
      </c>
      <c r="G1881" t="s">
        <v>15</v>
      </c>
      <c r="H1881" s="2">
        <v>27758</v>
      </c>
      <c r="I1881" s="2">
        <v>5</v>
      </c>
      <c r="J1881" s="2">
        <v>104003</v>
      </c>
      <c r="K1881" s="2">
        <v>88318</v>
      </c>
      <c r="L1881" s="2">
        <v>1</v>
      </c>
      <c r="M1881" t="str">
        <f>IF(Revv_bike_sales_data[[#This Row],[delivery_days]]&lt;=7, "Yes", "No")</f>
        <v>Yes</v>
      </c>
      <c r="N1881" t="s">
        <v>16</v>
      </c>
      <c r="O1881" s="2">
        <v>15685</v>
      </c>
    </row>
    <row r="1882" spans="1:15" x14ac:dyDescent="0.3">
      <c r="A1882" s="2">
        <v>1872</v>
      </c>
      <c r="B1882" s="1">
        <v>45004.958333333336</v>
      </c>
      <c r="C1882" s="1" t="str">
        <f t="shared" si="58"/>
        <v>03-2023</v>
      </c>
      <c r="D1882" s="2">
        <f t="shared" si="59"/>
        <v>12</v>
      </c>
      <c r="E1882" t="s">
        <v>17</v>
      </c>
      <c r="F1882" t="s">
        <v>23</v>
      </c>
      <c r="G1882" t="s">
        <v>20</v>
      </c>
      <c r="H1882" s="2">
        <v>93389</v>
      </c>
      <c r="I1882" s="2">
        <v>5</v>
      </c>
      <c r="J1882" s="2">
        <v>148714</v>
      </c>
      <c r="K1882" s="2">
        <v>83196</v>
      </c>
      <c r="L1882" s="2">
        <v>4</v>
      </c>
      <c r="M1882" t="str">
        <f>IF(Revv_bike_sales_data[[#This Row],[delivery_days]]&lt;=7, "Yes", "No")</f>
        <v>Yes</v>
      </c>
      <c r="N1882" t="s">
        <v>24</v>
      </c>
      <c r="O1882" s="2">
        <v>65518</v>
      </c>
    </row>
    <row r="1883" spans="1:15" x14ac:dyDescent="0.3">
      <c r="A1883" s="2">
        <v>1873</v>
      </c>
      <c r="B1883" s="1">
        <v>45005</v>
      </c>
      <c r="C1883" s="1" t="str">
        <f t="shared" si="58"/>
        <v>03-2023</v>
      </c>
      <c r="D1883" s="2">
        <f t="shared" si="59"/>
        <v>12</v>
      </c>
      <c r="E1883" t="s">
        <v>18</v>
      </c>
      <c r="F1883" t="s">
        <v>14</v>
      </c>
      <c r="G1883" t="s">
        <v>19</v>
      </c>
      <c r="H1883" s="2">
        <v>89452</v>
      </c>
      <c r="I1883" s="2">
        <v>3</v>
      </c>
      <c r="J1883" s="2">
        <v>25205</v>
      </c>
      <c r="K1883" s="2">
        <v>129317</v>
      </c>
      <c r="L1883" s="2">
        <v>2</v>
      </c>
      <c r="M1883" t="str">
        <f>IF(Revv_bike_sales_data[[#This Row],[delivery_days]]&lt;=7, "Yes", "No")</f>
        <v>Yes</v>
      </c>
      <c r="N1883" t="s">
        <v>16</v>
      </c>
      <c r="O1883" s="2">
        <v>-104112</v>
      </c>
    </row>
    <row r="1884" spans="1:15" x14ac:dyDescent="0.3">
      <c r="A1884" s="2">
        <v>1874</v>
      </c>
      <c r="B1884" s="1">
        <v>45005.041666666664</v>
      </c>
      <c r="C1884" s="1" t="str">
        <f t="shared" si="58"/>
        <v>03-2023</v>
      </c>
      <c r="D1884" s="2">
        <f t="shared" si="59"/>
        <v>12</v>
      </c>
      <c r="E1884" t="s">
        <v>25</v>
      </c>
      <c r="F1884" t="s">
        <v>14</v>
      </c>
      <c r="G1884" t="s">
        <v>19</v>
      </c>
      <c r="H1884" s="2">
        <v>63024</v>
      </c>
      <c r="I1884" s="2">
        <v>6</v>
      </c>
      <c r="J1884" s="2">
        <v>117945</v>
      </c>
      <c r="K1884" s="2">
        <v>120160</v>
      </c>
      <c r="L1884" s="2">
        <v>6</v>
      </c>
      <c r="M1884" t="str">
        <f>IF(Revv_bike_sales_data[[#This Row],[delivery_days]]&lt;=7, "Yes", "No")</f>
        <v>Yes</v>
      </c>
      <c r="N1884" t="s">
        <v>16</v>
      </c>
      <c r="O1884" s="2">
        <v>-2215</v>
      </c>
    </row>
    <row r="1885" spans="1:15" x14ac:dyDescent="0.3">
      <c r="A1885" s="2">
        <v>1875</v>
      </c>
      <c r="B1885" s="1">
        <v>45005.083333333336</v>
      </c>
      <c r="C1885" s="1" t="str">
        <f t="shared" si="58"/>
        <v>03-2023</v>
      </c>
      <c r="D1885" s="2">
        <f t="shared" si="59"/>
        <v>12</v>
      </c>
      <c r="E1885" t="s">
        <v>25</v>
      </c>
      <c r="F1885" t="s">
        <v>14</v>
      </c>
      <c r="G1885" t="s">
        <v>20</v>
      </c>
      <c r="H1885" s="2">
        <v>22615</v>
      </c>
      <c r="I1885" s="2">
        <v>7</v>
      </c>
      <c r="J1885" s="2">
        <v>37442</v>
      </c>
      <c r="K1885" s="2">
        <v>21089</v>
      </c>
      <c r="L1885" s="2">
        <v>4</v>
      </c>
      <c r="M1885" t="str">
        <f>IF(Revv_bike_sales_data[[#This Row],[delivery_days]]&lt;=7, "Yes", "No")</f>
        <v>Yes</v>
      </c>
      <c r="N1885" t="s">
        <v>16</v>
      </c>
      <c r="O1885" s="2">
        <v>16353</v>
      </c>
    </row>
    <row r="1886" spans="1:15" x14ac:dyDescent="0.3">
      <c r="A1886" s="2">
        <v>1876</v>
      </c>
      <c r="B1886" s="1">
        <v>45005.125</v>
      </c>
      <c r="C1886" s="1" t="str">
        <f t="shared" si="58"/>
        <v>03-2023</v>
      </c>
      <c r="D1886" s="2">
        <f t="shared" si="59"/>
        <v>12</v>
      </c>
      <c r="E1886" t="s">
        <v>17</v>
      </c>
      <c r="F1886" t="s">
        <v>23</v>
      </c>
      <c r="G1886" t="s">
        <v>21</v>
      </c>
      <c r="H1886" s="2">
        <v>46933</v>
      </c>
      <c r="I1886" s="2">
        <v>2</v>
      </c>
      <c r="J1886" s="2">
        <v>116826</v>
      </c>
      <c r="K1886" s="2">
        <v>85854</v>
      </c>
      <c r="L1886" s="2">
        <v>9</v>
      </c>
      <c r="M1886" t="str">
        <f>IF(Revv_bike_sales_data[[#This Row],[delivery_days]]&lt;=7, "Yes", "No")</f>
        <v>No</v>
      </c>
      <c r="N1886" t="s">
        <v>16</v>
      </c>
      <c r="O1886" s="2">
        <v>30972</v>
      </c>
    </row>
    <row r="1887" spans="1:15" x14ac:dyDescent="0.3">
      <c r="A1887" s="2">
        <v>1877</v>
      </c>
      <c r="B1887" s="1">
        <v>45005.166666666664</v>
      </c>
      <c r="C1887" s="1" t="str">
        <f t="shared" si="58"/>
        <v>03-2023</v>
      </c>
      <c r="D1887" s="2">
        <f t="shared" si="59"/>
        <v>12</v>
      </c>
      <c r="E1887" t="s">
        <v>25</v>
      </c>
      <c r="F1887" t="s">
        <v>14</v>
      </c>
      <c r="G1887" t="s">
        <v>15</v>
      </c>
      <c r="H1887" s="2">
        <v>91004</v>
      </c>
      <c r="I1887" s="2">
        <v>6</v>
      </c>
      <c r="J1887" s="2">
        <v>161763</v>
      </c>
      <c r="K1887" s="2">
        <v>77235</v>
      </c>
      <c r="L1887" s="2">
        <v>14</v>
      </c>
      <c r="M1887" t="str">
        <f>IF(Revv_bike_sales_data[[#This Row],[delivery_days]]&lt;=7, "Yes", "No")</f>
        <v>No</v>
      </c>
      <c r="N1887" t="s">
        <v>16</v>
      </c>
      <c r="O1887" s="2">
        <v>84528</v>
      </c>
    </row>
    <row r="1888" spans="1:15" x14ac:dyDescent="0.3">
      <c r="A1888" s="2">
        <v>1878</v>
      </c>
      <c r="B1888" s="1">
        <v>45005.208333333336</v>
      </c>
      <c r="C1888" s="1" t="str">
        <f t="shared" si="58"/>
        <v>03-2023</v>
      </c>
      <c r="D1888" s="2">
        <f t="shared" si="59"/>
        <v>12</v>
      </c>
      <c r="E1888" t="s">
        <v>13</v>
      </c>
      <c r="F1888" t="s">
        <v>14</v>
      </c>
      <c r="G1888" t="s">
        <v>21</v>
      </c>
      <c r="H1888" s="2">
        <v>88767</v>
      </c>
      <c r="I1888" s="2">
        <v>2</v>
      </c>
      <c r="J1888" s="2">
        <v>63909</v>
      </c>
      <c r="K1888" s="2">
        <v>107141</v>
      </c>
      <c r="L1888" s="2">
        <v>3</v>
      </c>
      <c r="M1888" t="str">
        <f>IF(Revv_bike_sales_data[[#This Row],[delivery_days]]&lt;=7, "Yes", "No")</f>
        <v>Yes</v>
      </c>
      <c r="N1888" t="s">
        <v>16</v>
      </c>
      <c r="O1888" s="2">
        <v>-43232</v>
      </c>
    </row>
    <row r="1889" spans="1:15" x14ac:dyDescent="0.3">
      <c r="A1889" s="2">
        <v>1879</v>
      </c>
      <c r="B1889" s="1">
        <v>45005.25</v>
      </c>
      <c r="C1889" s="1" t="str">
        <f t="shared" si="58"/>
        <v>03-2023</v>
      </c>
      <c r="D1889" s="2">
        <f t="shared" si="59"/>
        <v>12</v>
      </c>
      <c r="E1889" t="s">
        <v>22</v>
      </c>
      <c r="F1889" t="s">
        <v>14</v>
      </c>
      <c r="G1889" t="s">
        <v>15</v>
      </c>
      <c r="H1889" s="2">
        <v>88821</v>
      </c>
      <c r="I1889" s="2">
        <v>7</v>
      </c>
      <c r="J1889" s="2">
        <v>44504</v>
      </c>
      <c r="K1889" s="2">
        <v>44400</v>
      </c>
      <c r="L1889" s="2">
        <v>1</v>
      </c>
      <c r="M1889" t="str">
        <f>IF(Revv_bike_sales_data[[#This Row],[delivery_days]]&lt;=7, "Yes", "No")</f>
        <v>Yes</v>
      </c>
      <c r="N1889" t="s">
        <v>16</v>
      </c>
      <c r="O1889" s="2">
        <v>104</v>
      </c>
    </row>
    <row r="1890" spans="1:15" x14ac:dyDescent="0.3">
      <c r="A1890" s="2">
        <v>1880</v>
      </c>
      <c r="B1890" s="1">
        <v>45005.291666666664</v>
      </c>
      <c r="C1890" s="1" t="str">
        <f t="shared" si="58"/>
        <v>03-2023</v>
      </c>
      <c r="D1890" s="2">
        <f t="shared" si="59"/>
        <v>12</v>
      </c>
      <c r="E1890" t="s">
        <v>17</v>
      </c>
      <c r="F1890" t="s">
        <v>14</v>
      </c>
      <c r="G1890" t="s">
        <v>19</v>
      </c>
      <c r="H1890" s="2">
        <v>79864</v>
      </c>
      <c r="I1890" s="2">
        <v>0</v>
      </c>
      <c r="J1890" s="2">
        <v>120698</v>
      </c>
      <c r="K1890" s="2">
        <v>30405</v>
      </c>
      <c r="L1890" s="2">
        <v>11</v>
      </c>
      <c r="M1890" t="str">
        <f>IF(Revv_bike_sales_data[[#This Row],[delivery_days]]&lt;=7, "Yes", "No")</f>
        <v>No</v>
      </c>
      <c r="N1890" t="s">
        <v>16</v>
      </c>
      <c r="O1890" s="2">
        <v>90293</v>
      </c>
    </row>
    <row r="1891" spans="1:15" x14ac:dyDescent="0.3">
      <c r="A1891" s="2">
        <v>1881</v>
      </c>
      <c r="B1891" s="1">
        <v>45005.333333333336</v>
      </c>
      <c r="C1891" s="1" t="str">
        <f t="shared" si="58"/>
        <v>03-2023</v>
      </c>
      <c r="D1891" s="2">
        <f t="shared" si="59"/>
        <v>12</v>
      </c>
      <c r="E1891" t="s">
        <v>18</v>
      </c>
      <c r="F1891" t="s">
        <v>14</v>
      </c>
      <c r="G1891" t="s">
        <v>19</v>
      </c>
      <c r="H1891" s="2">
        <v>70577</v>
      </c>
      <c r="I1891" s="2">
        <v>0</v>
      </c>
      <c r="J1891" s="2">
        <v>112087</v>
      </c>
      <c r="K1891" s="2">
        <v>132240</v>
      </c>
      <c r="L1891" s="2">
        <v>13</v>
      </c>
      <c r="M1891" t="str">
        <f>IF(Revv_bike_sales_data[[#This Row],[delivery_days]]&lt;=7, "Yes", "No")</f>
        <v>No</v>
      </c>
      <c r="N1891" t="s">
        <v>16</v>
      </c>
      <c r="O1891" s="2">
        <v>-20153</v>
      </c>
    </row>
    <row r="1892" spans="1:15" x14ac:dyDescent="0.3">
      <c r="A1892" s="2">
        <v>1882</v>
      </c>
      <c r="B1892" s="1">
        <v>45005.375</v>
      </c>
      <c r="C1892" s="1" t="str">
        <f t="shared" si="58"/>
        <v>03-2023</v>
      </c>
      <c r="D1892" s="2">
        <f t="shared" si="59"/>
        <v>12</v>
      </c>
      <c r="E1892" t="s">
        <v>13</v>
      </c>
      <c r="F1892" t="s">
        <v>14</v>
      </c>
      <c r="G1892" t="s">
        <v>19</v>
      </c>
      <c r="H1892" s="2">
        <v>41144</v>
      </c>
      <c r="I1892" s="2">
        <v>5</v>
      </c>
      <c r="J1892" s="2">
        <v>66716</v>
      </c>
      <c r="K1892" s="2">
        <v>67763</v>
      </c>
      <c r="L1892" s="2">
        <v>11</v>
      </c>
      <c r="M1892" t="str">
        <f>IF(Revv_bike_sales_data[[#This Row],[delivery_days]]&lt;=7, "Yes", "No")</f>
        <v>No</v>
      </c>
      <c r="N1892" t="s">
        <v>16</v>
      </c>
      <c r="O1892" s="2">
        <v>-1047</v>
      </c>
    </row>
    <row r="1893" spans="1:15" x14ac:dyDescent="0.3">
      <c r="A1893" s="2">
        <v>1883</v>
      </c>
      <c r="B1893" s="1">
        <v>45005.416666666664</v>
      </c>
      <c r="C1893" s="1" t="str">
        <f t="shared" si="58"/>
        <v>03-2023</v>
      </c>
      <c r="D1893" s="2">
        <f t="shared" si="59"/>
        <v>12</v>
      </c>
      <c r="E1893" t="s">
        <v>17</v>
      </c>
      <c r="F1893" t="s">
        <v>23</v>
      </c>
      <c r="G1893" t="s">
        <v>15</v>
      </c>
      <c r="H1893" s="2">
        <v>63143</v>
      </c>
      <c r="I1893" s="2">
        <v>9</v>
      </c>
      <c r="J1893" s="2">
        <v>59571</v>
      </c>
      <c r="K1893" s="2">
        <v>45209</v>
      </c>
      <c r="L1893" s="2">
        <v>1</v>
      </c>
      <c r="M1893" t="str">
        <f>IF(Revv_bike_sales_data[[#This Row],[delivery_days]]&lt;=7, "Yes", "No")</f>
        <v>Yes</v>
      </c>
      <c r="N1893" t="s">
        <v>16</v>
      </c>
      <c r="O1893" s="2">
        <v>14362</v>
      </c>
    </row>
    <row r="1894" spans="1:15" x14ac:dyDescent="0.3">
      <c r="A1894" s="2">
        <v>1884</v>
      </c>
      <c r="B1894" s="1">
        <v>45005.458333333336</v>
      </c>
      <c r="C1894" s="1" t="str">
        <f t="shared" si="58"/>
        <v>03-2023</v>
      </c>
      <c r="D1894" s="2">
        <f t="shared" si="59"/>
        <v>12</v>
      </c>
      <c r="E1894" t="s">
        <v>25</v>
      </c>
      <c r="F1894" t="s">
        <v>14</v>
      </c>
      <c r="G1894" t="s">
        <v>19</v>
      </c>
      <c r="H1894" s="2">
        <v>13811</v>
      </c>
      <c r="I1894" s="2">
        <v>8</v>
      </c>
      <c r="J1894" s="2">
        <v>171461</v>
      </c>
      <c r="K1894" s="2">
        <v>88598</v>
      </c>
      <c r="L1894" s="2">
        <v>12</v>
      </c>
      <c r="M1894" t="str">
        <f>IF(Revv_bike_sales_data[[#This Row],[delivery_days]]&lt;=7, "Yes", "No")</f>
        <v>No</v>
      </c>
      <c r="N1894" t="s">
        <v>16</v>
      </c>
      <c r="O1894" s="2">
        <v>82863</v>
      </c>
    </row>
    <row r="1895" spans="1:15" x14ac:dyDescent="0.3">
      <c r="A1895" s="2">
        <v>1885</v>
      </c>
      <c r="B1895" s="1">
        <v>45005.5</v>
      </c>
      <c r="C1895" s="1" t="str">
        <f t="shared" si="58"/>
        <v>03-2023</v>
      </c>
      <c r="D1895" s="2">
        <f t="shared" si="59"/>
        <v>12</v>
      </c>
      <c r="E1895" t="s">
        <v>25</v>
      </c>
      <c r="F1895" t="s">
        <v>14</v>
      </c>
      <c r="G1895" t="s">
        <v>19</v>
      </c>
      <c r="H1895" s="2">
        <v>31031</v>
      </c>
      <c r="I1895" s="2">
        <v>3</v>
      </c>
      <c r="J1895" s="2">
        <v>118280</v>
      </c>
      <c r="K1895" s="2">
        <v>32424</v>
      </c>
      <c r="L1895" s="2">
        <v>9</v>
      </c>
      <c r="M1895" t="str">
        <f>IF(Revv_bike_sales_data[[#This Row],[delivery_days]]&lt;=7, "Yes", "No")</f>
        <v>No</v>
      </c>
      <c r="N1895" t="s">
        <v>16</v>
      </c>
      <c r="O1895" s="2">
        <v>85856</v>
      </c>
    </row>
    <row r="1896" spans="1:15" x14ac:dyDescent="0.3">
      <c r="A1896" s="2">
        <v>1886</v>
      </c>
      <c r="B1896" s="1">
        <v>45005.541666666664</v>
      </c>
      <c r="C1896" s="1" t="str">
        <f t="shared" si="58"/>
        <v>03-2023</v>
      </c>
      <c r="D1896" s="2">
        <f t="shared" si="59"/>
        <v>12</v>
      </c>
      <c r="E1896" t="s">
        <v>25</v>
      </c>
      <c r="F1896" t="s">
        <v>14</v>
      </c>
      <c r="G1896" t="s">
        <v>19</v>
      </c>
      <c r="H1896" s="2">
        <v>15088</v>
      </c>
      <c r="I1896" s="2">
        <v>5</v>
      </c>
      <c r="J1896" s="2">
        <v>70038</v>
      </c>
      <c r="K1896" s="2">
        <v>121810</v>
      </c>
      <c r="L1896" s="2">
        <v>9</v>
      </c>
      <c r="M1896" t="str">
        <f>IF(Revv_bike_sales_data[[#This Row],[delivery_days]]&lt;=7, "Yes", "No")</f>
        <v>No</v>
      </c>
      <c r="N1896" t="s">
        <v>16</v>
      </c>
      <c r="O1896" s="2">
        <v>-51772</v>
      </c>
    </row>
    <row r="1897" spans="1:15" x14ac:dyDescent="0.3">
      <c r="A1897" s="2">
        <v>1887</v>
      </c>
      <c r="B1897" s="1">
        <v>45005.583333333336</v>
      </c>
      <c r="C1897" s="1" t="str">
        <f t="shared" si="58"/>
        <v>03-2023</v>
      </c>
      <c r="D1897" s="2">
        <f t="shared" si="59"/>
        <v>12</v>
      </c>
      <c r="E1897" t="s">
        <v>25</v>
      </c>
      <c r="F1897" t="s">
        <v>14</v>
      </c>
      <c r="G1897" t="s">
        <v>19</v>
      </c>
      <c r="H1897" s="2">
        <v>49916</v>
      </c>
      <c r="I1897" s="2">
        <v>4</v>
      </c>
      <c r="J1897" s="2">
        <v>97795</v>
      </c>
      <c r="K1897" s="2">
        <v>104523</v>
      </c>
      <c r="L1897" s="2">
        <v>5</v>
      </c>
      <c r="M1897" t="str">
        <f>IF(Revv_bike_sales_data[[#This Row],[delivery_days]]&lt;=7, "Yes", "No")</f>
        <v>Yes</v>
      </c>
      <c r="N1897" t="s">
        <v>16</v>
      </c>
      <c r="O1897" s="2">
        <v>-6728</v>
      </c>
    </row>
    <row r="1898" spans="1:15" x14ac:dyDescent="0.3">
      <c r="A1898" s="2">
        <v>1888</v>
      </c>
      <c r="B1898" s="1">
        <v>45005.625</v>
      </c>
      <c r="C1898" s="1" t="str">
        <f t="shared" si="58"/>
        <v>03-2023</v>
      </c>
      <c r="D1898" s="2">
        <f t="shared" si="59"/>
        <v>12</v>
      </c>
      <c r="E1898" t="s">
        <v>18</v>
      </c>
      <c r="F1898" t="s">
        <v>23</v>
      </c>
      <c r="G1898" t="s">
        <v>21</v>
      </c>
      <c r="H1898" s="2">
        <v>12880</v>
      </c>
      <c r="I1898" s="2">
        <v>0</v>
      </c>
      <c r="J1898" s="2">
        <v>70168</v>
      </c>
      <c r="K1898" s="2">
        <v>124955</v>
      </c>
      <c r="L1898" s="2">
        <v>2</v>
      </c>
      <c r="M1898" t="str">
        <f>IF(Revv_bike_sales_data[[#This Row],[delivery_days]]&lt;=7, "Yes", "No")</f>
        <v>Yes</v>
      </c>
      <c r="N1898" t="s">
        <v>16</v>
      </c>
      <c r="O1898" s="2">
        <v>-54787</v>
      </c>
    </row>
    <row r="1899" spans="1:15" x14ac:dyDescent="0.3">
      <c r="A1899" s="2">
        <v>1889</v>
      </c>
      <c r="B1899" s="1">
        <v>45005.666666666664</v>
      </c>
      <c r="C1899" s="1" t="str">
        <f t="shared" si="58"/>
        <v>03-2023</v>
      </c>
      <c r="D1899" s="2">
        <f t="shared" si="59"/>
        <v>12</v>
      </c>
      <c r="E1899" t="s">
        <v>13</v>
      </c>
      <c r="F1899" t="s">
        <v>14</v>
      </c>
      <c r="G1899" t="s">
        <v>19</v>
      </c>
      <c r="H1899" s="2">
        <v>43145</v>
      </c>
      <c r="I1899" s="2">
        <v>5</v>
      </c>
      <c r="J1899" s="2">
        <v>92690</v>
      </c>
      <c r="K1899" s="2">
        <v>35556</v>
      </c>
      <c r="L1899" s="2">
        <v>9</v>
      </c>
      <c r="M1899" t="str">
        <f>IF(Revv_bike_sales_data[[#This Row],[delivery_days]]&lt;=7, "Yes", "No")</f>
        <v>No</v>
      </c>
      <c r="N1899" t="s">
        <v>16</v>
      </c>
      <c r="O1899" s="2">
        <v>57134</v>
      </c>
    </row>
    <row r="1900" spans="1:15" x14ac:dyDescent="0.3">
      <c r="A1900" s="2">
        <v>1890</v>
      </c>
      <c r="B1900" s="1">
        <v>45005.708333333336</v>
      </c>
      <c r="C1900" s="1" t="str">
        <f t="shared" si="58"/>
        <v>03-2023</v>
      </c>
      <c r="D1900" s="2">
        <f t="shared" si="59"/>
        <v>12</v>
      </c>
      <c r="E1900" t="s">
        <v>22</v>
      </c>
      <c r="F1900" t="s">
        <v>14</v>
      </c>
      <c r="G1900" t="s">
        <v>19</v>
      </c>
      <c r="H1900" s="2">
        <v>18318</v>
      </c>
      <c r="I1900" s="2">
        <v>8</v>
      </c>
      <c r="J1900" s="2">
        <v>139053</v>
      </c>
      <c r="K1900" s="2">
        <v>108137</v>
      </c>
      <c r="L1900" s="2">
        <v>13</v>
      </c>
      <c r="M1900" t="str">
        <f>IF(Revv_bike_sales_data[[#This Row],[delivery_days]]&lt;=7, "Yes", "No")</f>
        <v>No</v>
      </c>
      <c r="N1900" t="s">
        <v>16</v>
      </c>
      <c r="O1900" s="2">
        <v>30916</v>
      </c>
    </row>
    <row r="1901" spans="1:15" x14ac:dyDescent="0.3">
      <c r="A1901" s="2">
        <v>1891</v>
      </c>
      <c r="B1901" s="1">
        <v>45005.75</v>
      </c>
      <c r="C1901" s="1" t="str">
        <f t="shared" si="58"/>
        <v>03-2023</v>
      </c>
      <c r="D1901" s="2">
        <f t="shared" si="59"/>
        <v>12</v>
      </c>
      <c r="E1901" t="s">
        <v>18</v>
      </c>
      <c r="F1901" t="s">
        <v>14</v>
      </c>
      <c r="G1901" t="s">
        <v>21</v>
      </c>
      <c r="H1901" s="2">
        <v>31357</v>
      </c>
      <c r="I1901" s="2">
        <v>2</v>
      </c>
      <c r="J1901" s="2">
        <v>36230</v>
      </c>
      <c r="K1901" s="2">
        <v>34330</v>
      </c>
      <c r="L1901" s="2">
        <v>12</v>
      </c>
      <c r="M1901" t="str">
        <f>IF(Revv_bike_sales_data[[#This Row],[delivery_days]]&lt;=7, "Yes", "No")</f>
        <v>No</v>
      </c>
      <c r="N1901" t="s">
        <v>16</v>
      </c>
      <c r="O1901" s="2">
        <v>1900</v>
      </c>
    </row>
    <row r="1902" spans="1:15" x14ac:dyDescent="0.3">
      <c r="A1902" s="2">
        <v>1892</v>
      </c>
      <c r="B1902" s="1">
        <v>45005.791666666664</v>
      </c>
      <c r="C1902" s="1" t="str">
        <f t="shared" si="58"/>
        <v>03-2023</v>
      </c>
      <c r="D1902" s="2">
        <f t="shared" si="59"/>
        <v>12</v>
      </c>
      <c r="E1902" t="s">
        <v>18</v>
      </c>
      <c r="F1902" t="s">
        <v>14</v>
      </c>
      <c r="G1902" t="s">
        <v>21</v>
      </c>
      <c r="H1902" s="2">
        <v>22211</v>
      </c>
      <c r="I1902" s="2">
        <v>2</v>
      </c>
      <c r="J1902" s="2">
        <v>108301</v>
      </c>
      <c r="K1902" s="2">
        <v>96266</v>
      </c>
      <c r="L1902" s="2">
        <v>13</v>
      </c>
      <c r="M1902" t="str">
        <f>IF(Revv_bike_sales_data[[#This Row],[delivery_days]]&lt;=7, "Yes", "No")</f>
        <v>No</v>
      </c>
      <c r="N1902" t="s">
        <v>16</v>
      </c>
      <c r="O1902" s="2">
        <v>12035</v>
      </c>
    </row>
    <row r="1903" spans="1:15" x14ac:dyDescent="0.3">
      <c r="A1903" s="2">
        <v>1893</v>
      </c>
      <c r="B1903" s="1">
        <v>45005.833333333336</v>
      </c>
      <c r="C1903" s="1" t="str">
        <f t="shared" si="58"/>
        <v>03-2023</v>
      </c>
      <c r="D1903" s="2">
        <f t="shared" si="59"/>
        <v>12</v>
      </c>
      <c r="E1903" t="s">
        <v>22</v>
      </c>
      <c r="F1903" t="s">
        <v>14</v>
      </c>
      <c r="G1903" t="s">
        <v>15</v>
      </c>
      <c r="H1903" s="2">
        <v>5597</v>
      </c>
      <c r="I1903" s="2">
        <v>1</v>
      </c>
      <c r="J1903" s="2">
        <v>161974</v>
      </c>
      <c r="K1903" s="2">
        <v>18236</v>
      </c>
      <c r="L1903" s="2">
        <v>8</v>
      </c>
      <c r="M1903" t="str">
        <f>IF(Revv_bike_sales_data[[#This Row],[delivery_days]]&lt;=7, "Yes", "No")</f>
        <v>No</v>
      </c>
      <c r="N1903" t="s">
        <v>16</v>
      </c>
      <c r="O1903" s="2">
        <v>143738</v>
      </c>
    </row>
    <row r="1904" spans="1:15" x14ac:dyDescent="0.3">
      <c r="A1904" s="2">
        <v>1894</v>
      </c>
      <c r="B1904" s="1">
        <v>45005.875</v>
      </c>
      <c r="C1904" s="1" t="str">
        <f t="shared" si="58"/>
        <v>03-2023</v>
      </c>
      <c r="D1904" s="2">
        <f t="shared" si="59"/>
        <v>12</v>
      </c>
      <c r="E1904" t="s">
        <v>22</v>
      </c>
      <c r="F1904" t="s">
        <v>14</v>
      </c>
      <c r="G1904" t="s">
        <v>20</v>
      </c>
      <c r="H1904" s="2">
        <v>28893</v>
      </c>
      <c r="I1904" s="2">
        <v>3</v>
      </c>
      <c r="J1904" s="2">
        <v>91758</v>
      </c>
      <c r="K1904" s="2">
        <v>84216</v>
      </c>
      <c r="L1904" s="2">
        <v>13</v>
      </c>
      <c r="M1904" t="str">
        <f>IF(Revv_bike_sales_data[[#This Row],[delivery_days]]&lt;=7, "Yes", "No")</f>
        <v>No</v>
      </c>
      <c r="N1904" t="s">
        <v>16</v>
      </c>
      <c r="O1904" s="2">
        <v>7542</v>
      </c>
    </row>
    <row r="1905" spans="1:15" x14ac:dyDescent="0.3">
      <c r="A1905" s="2">
        <v>1895</v>
      </c>
      <c r="B1905" s="1">
        <v>45005.916666666664</v>
      </c>
      <c r="C1905" s="1" t="str">
        <f t="shared" si="58"/>
        <v>03-2023</v>
      </c>
      <c r="D1905" s="2">
        <f t="shared" si="59"/>
        <v>12</v>
      </c>
      <c r="E1905" t="s">
        <v>25</v>
      </c>
      <c r="F1905" t="s">
        <v>14</v>
      </c>
      <c r="G1905" t="s">
        <v>19</v>
      </c>
      <c r="H1905" s="2">
        <v>22576</v>
      </c>
      <c r="I1905" s="2">
        <v>9</v>
      </c>
      <c r="J1905" s="2">
        <v>52050</v>
      </c>
      <c r="K1905" s="2">
        <v>45312</v>
      </c>
      <c r="L1905" s="2">
        <v>11</v>
      </c>
      <c r="M1905" t="str">
        <f>IF(Revv_bike_sales_data[[#This Row],[delivery_days]]&lt;=7, "Yes", "No")</f>
        <v>No</v>
      </c>
      <c r="N1905" t="s">
        <v>24</v>
      </c>
      <c r="O1905" s="2">
        <v>6738</v>
      </c>
    </row>
    <row r="1906" spans="1:15" x14ac:dyDescent="0.3">
      <c r="A1906" s="2">
        <v>1896</v>
      </c>
      <c r="B1906" s="1">
        <v>45005.958333333336</v>
      </c>
      <c r="C1906" s="1" t="str">
        <f t="shared" si="58"/>
        <v>03-2023</v>
      </c>
      <c r="D1906" s="2">
        <f t="shared" si="59"/>
        <v>12</v>
      </c>
      <c r="E1906" t="s">
        <v>18</v>
      </c>
      <c r="F1906" t="s">
        <v>23</v>
      </c>
      <c r="G1906" t="s">
        <v>19</v>
      </c>
      <c r="H1906" s="2">
        <v>84774</v>
      </c>
      <c r="I1906" s="2">
        <v>2</v>
      </c>
      <c r="J1906" s="2">
        <v>124805</v>
      </c>
      <c r="K1906" s="2">
        <v>128687</v>
      </c>
      <c r="L1906" s="2">
        <v>10</v>
      </c>
      <c r="M1906" t="str">
        <f>IF(Revv_bike_sales_data[[#This Row],[delivery_days]]&lt;=7, "Yes", "No")</f>
        <v>No</v>
      </c>
      <c r="N1906" t="s">
        <v>16</v>
      </c>
      <c r="O1906" s="2">
        <v>-3882</v>
      </c>
    </row>
    <row r="1907" spans="1:15" x14ac:dyDescent="0.3">
      <c r="A1907" s="2">
        <v>1897</v>
      </c>
      <c r="B1907" s="1">
        <v>45006</v>
      </c>
      <c r="C1907" s="1" t="str">
        <f t="shared" si="58"/>
        <v>03-2023</v>
      </c>
      <c r="D1907" s="2">
        <f t="shared" si="59"/>
        <v>12</v>
      </c>
      <c r="E1907" t="s">
        <v>17</v>
      </c>
      <c r="F1907" t="s">
        <v>14</v>
      </c>
      <c r="G1907" t="s">
        <v>19</v>
      </c>
      <c r="H1907" s="2">
        <v>58109</v>
      </c>
      <c r="I1907" s="2">
        <v>1</v>
      </c>
      <c r="J1907" s="2">
        <v>94110</v>
      </c>
      <c r="K1907" s="2">
        <v>36191</v>
      </c>
      <c r="L1907" s="2">
        <v>10</v>
      </c>
      <c r="M1907" t="str">
        <f>IF(Revv_bike_sales_data[[#This Row],[delivery_days]]&lt;=7, "Yes", "No")</f>
        <v>No</v>
      </c>
      <c r="N1907" t="s">
        <v>24</v>
      </c>
      <c r="O1907" s="2">
        <v>57919</v>
      </c>
    </row>
    <row r="1908" spans="1:15" x14ac:dyDescent="0.3">
      <c r="A1908" s="2">
        <v>1898</v>
      </c>
      <c r="B1908" s="1">
        <v>45006.041666666664</v>
      </c>
      <c r="C1908" s="1" t="str">
        <f t="shared" si="58"/>
        <v>03-2023</v>
      </c>
      <c r="D1908" s="2">
        <f t="shared" si="59"/>
        <v>12</v>
      </c>
      <c r="E1908" t="s">
        <v>22</v>
      </c>
      <c r="F1908" t="s">
        <v>23</v>
      </c>
      <c r="G1908" t="s">
        <v>15</v>
      </c>
      <c r="H1908" s="2">
        <v>29817</v>
      </c>
      <c r="I1908" s="2">
        <v>0</v>
      </c>
      <c r="J1908" s="2">
        <v>127033</v>
      </c>
      <c r="K1908" s="2">
        <v>124602</v>
      </c>
      <c r="L1908" s="2">
        <v>6</v>
      </c>
      <c r="M1908" t="str">
        <f>IF(Revv_bike_sales_data[[#This Row],[delivery_days]]&lt;=7, "Yes", "No")</f>
        <v>Yes</v>
      </c>
      <c r="N1908" t="s">
        <v>16</v>
      </c>
      <c r="O1908" s="2">
        <v>2431</v>
      </c>
    </row>
    <row r="1909" spans="1:15" x14ac:dyDescent="0.3">
      <c r="A1909" s="2">
        <v>1899</v>
      </c>
      <c r="B1909" s="1">
        <v>45006.083333333336</v>
      </c>
      <c r="C1909" s="1" t="str">
        <f t="shared" si="58"/>
        <v>03-2023</v>
      </c>
      <c r="D1909" s="2">
        <f t="shared" si="59"/>
        <v>12</v>
      </c>
      <c r="E1909" t="s">
        <v>22</v>
      </c>
      <c r="F1909" t="s">
        <v>14</v>
      </c>
      <c r="G1909" t="s">
        <v>19</v>
      </c>
      <c r="H1909" s="2">
        <v>58980</v>
      </c>
      <c r="I1909" s="2">
        <v>2</v>
      </c>
      <c r="J1909" s="2">
        <v>101693</v>
      </c>
      <c r="K1909" s="2">
        <v>98457</v>
      </c>
      <c r="L1909" s="2">
        <v>7</v>
      </c>
      <c r="M1909" t="str">
        <f>IF(Revv_bike_sales_data[[#This Row],[delivery_days]]&lt;=7, "Yes", "No")</f>
        <v>Yes</v>
      </c>
      <c r="N1909" t="s">
        <v>16</v>
      </c>
      <c r="O1909" s="2">
        <v>3236</v>
      </c>
    </row>
    <row r="1910" spans="1:15" x14ac:dyDescent="0.3">
      <c r="A1910" s="2">
        <v>1900</v>
      </c>
      <c r="B1910" s="1">
        <v>45006.125</v>
      </c>
      <c r="C1910" s="1" t="str">
        <f t="shared" si="58"/>
        <v>03-2023</v>
      </c>
      <c r="D1910" s="2">
        <f t="shared" si="59"/>
        <v>12</v>
      </c>
      <c r="E1910" t="s">
        <v>13</v>
      </c>
      <c r="F1910" t="s">
        <v>14</v>
      </c>
      <c r="G1910" t="s">
        <v>20</v>
      </c>
      <c r="H1910" s="2">
        <v>7544</v>
      </c>
      <c r="I1910" s="2">
        <v>9</v>
      </c>
      <c r="J1910" s="2">
        <v>147428</v>
      </c>
      <c r="K1910" s="2">
        <v>51640</v>
      </c>
      <c r="L1910" s="2">
        <v>12</v>
      </c>
      <c r="M1910" t="str">
        <f>IF(Revv_bike_sales_data[[#This Row],[delivery_days]]&lt;=7, "Yes", "No")</f>
        <v>No</v>
      </c>
      <c r="N1910" t="s">
        <v>16</v>
      </c>
      <c r="O1910" s="2">
        <v>95788</v>
      </c>
    </row>
    <row r="1911" spans="1:15" x14ac:dyDescent="0.3">
      <c r="A1911" s="2">
        <v>1901</v>
      </c>
      <c r="B1911" s="1">
        <v>45006.166666666664</v>
      </c>
      <c r="C1911" s="1" t="str">
        <f t="shared" si="58"/>
        <v>03-2023</v>
      </c>
      <c r="D1911" s="2">
        <f t="shared" si="59"/>
        <v>12</v>
      </c>
      <c r="E1911" t="s">
        <v>17</v>
      </c>
      <c r="F1911" t="s">
        <v>14</v>
      </c>
      <c r="G1911" t="s">
        <v>21</v>
      </c>
      <c r="H1911" s="2">
        <v>71533</v>
      </c>
      <c r="I1911" s="2">
        <v>5</v>
      </c>
      <c r="J1911" s="2">
        <v>44575</v>
      </c>
      <c r="K1911" s="2">
        <v>115171</v>
      </c>
      <c r="L1911" s="2">
        <v>6</v>
      </c>
      <c r="M1911" t="str">
        <f>IF(Revv_bike_sales_data[[#This Row],[delivery_days]]&lt;=7, "Yes", "No")</f>
        <v>Yes</v>
      </c>
      <c r="N1911" t="s">
        <v>16</v>
      </c>
      <c r="O1911" s="2">
        <v>-70596</v>
      </c>
    </row>
    <row r="1912" spans="1:15" x14ac:dyDescent="0.3">
      <c r="A1912" s="2">
        <v>1902</v>
      </c>
      <c r="B1912" s="1">
        <v>45006.208333333336</v>
      </c>
      <c r="C1912" s="1" t="str">
        <f t="shared" si="58"/>
        <v>03-2023</v>
      </c>
      <c r="D1912" s="2">
        <f t="shared" si="59"/>
        <v>12</v>
      </c>
      <c r="E1912" t="s">
        <v>17</v>
      </c>
      <c r="F1912" t="s">
        <v>14</v>
      </c>
      <c r="G1912" t="s">
        <v>15</v>
      </c>
      <c r="H1912" s="2">
        <v>55986</v>
      </c>
      <c r="I1912" s="2">
        <v>8</v>
      </c>
      <c r="J1912" s="2">
        <v>65244</v>
      </c>
      <c r="K1912" s="2">
        <v>77293</v>
      </c>
      <c r="L1912" s="2">
        <v>5</v>
      </c>
      <c r="M1912" t="str">
        <f>IF(Revv_bike_sales_data[[#This Row],[delivery_days]]&lt;=7, "Yes", "No")</f>
        <v>Yes</v>
      </c>
      <c r="N1912" t="s">
        <v>16</v>
      </c>
      <c r="O1912" s="2">
        <v>-12049</v>
      </c>
    </row>
    <row r="1913" spans="1:15" x14ac:dyDescent="0.3">
      <c r="A1913" s="2">
        <v>1903</v>
      </c>
      <c r="B1913" s="1">
        <v>45006.25</v>
      </c>
      <c r="C1913" s="1" t="str">
        <f t="shared" si="58"/>
        <v>03-2023</v>
      </c>
      <c r="D1913" s="2">
        <f t="shared" si="59"/>
        <v>12</v>
      </c>
      <c r="E1913" t="s">
        <v>22</v>
      </c>
      <c r="F1913" t="s">
        <v>14</v>
      </c>
      <c r="G1913" t="s">
        <v>21</v>
      </c>
      <c r="H1913" s="2">
        <v>55662</v>
      </c>
      <c r="I1913" s="2">
        <v>4</v>
      </c>
      <c r="J1913" s="2">
        <v>39962</v>
      </c>
      <c r="K1913" s="2">
        <v>129124</v>
      </c>
      <c r="L1913" s="2">
        <v>4</v>
      </c>
      <c r="M1913" t="str">
        <f>IF(Revv_bike_sales_data[[#This Row],[delivery_days]]&lt;=7, "Yes", "No")</f>
        <v>Yes</v>
      </c>
      <c r="N1913" t="s">
        <v>16</v>
      </c>
      <c r="O1913" s="2">
        <v>-89162</v>
      </c>
    </row>
    <row r="1914" spans="1:15" x14ac:dyDescent="0.3">
      <c r="A1914" s="2">
        <v>1904</v>
      </c>
      <c r="B1914" s="1">
        <v>45006.291666666664</v>
      </c>
      <c r="C1914" s="1" t="str">
        <f t="shared" si="58"/>
        <v>03-2023</v>
      </c>
      <c r="D1914" s="2">
        <f t="shared" si="59"/>
        <v>12</v>
      </c>
      <c r="E1914" t="s">
        <v>25</v>
      </c>
      <c r="F1914" t="s">
        <v>14</v>
      </c>
      <c r="G1914" t="s">
        <v>19</v>
      </c>
      <c r="H1914" s="2">
        <v>79787</v>
      </c>
      <c r="I1914" s="2">
        <v>2</v>
      </c>
      <c r="J1914" s="2">
        <v>125695</v>
      </c>
      <c r="K1914" s="2">
        <v>130849</v>
      </c>
      <c r="L1914" s="2">
        <v>7</v>
      </c>
      <c r="M1914" t="str">
        <f>IF(Revv_bike_sales_data[[#This Row],[delivery_days]]&lt;=7, "Yes", "No")</f>
        <v>Yes</v>
      </c>
      <c r="N1914" t="s">
        <v>24</v>
      </c>
      <c r="O1914" s="2">
        <v>-5154</v>
      </c>
    </row>
    <row r="1915" spans="1:15" x14ac:dyDescent="0.3">
      <c r="A1915" s="2">
        <v>1905</v>
      </c>
      <c r="B1915" s="1">
        <v>45006.333333333336</v>
      </c>
      <c r="C1915" s="1" t="str">
        <f t="shared" si="58"/>
        <v>03-2023</v>
      </c>
      <c r="D1915" s="2">
        <f t="shared" si="59"/>
        <v>12</v>
      </c>
      <c r="E1915" t="s">
        <v>13</v>
      </c>
      <c r="F1915" t="s">
        <v>14</v>
      </c>
      <c r="G1915" t="s">
        <v>19</v>
      </c>
      <c r="H1915" s="2">
        <v>30382</v>
      </c>
      <c r="I1915" s="2">
        <v>4</v>
      </c>
      <c r="J1915" s="2">
        <v>115388</v>
      </c>
      <c r="K1915" s="2">
        <v>51688</v>
      </c>
      <c r="L1915" s="2">
        <v>4</v>
      </c>
      <c r="M1915" t="str">
        <f>IF(Revv_bike_sales_data[[#This Row],[delivery_days]]&lt;=7, "Yes", "No")</f>
        <v>Yes</v>
      </c>
      <c r="N1915" t="s">
        <v>16</v>
      </c>
      <c r="O1915" s="2">
        <v>63700</v>
      </c>
    </row>
    <row r="1916" spans="1:15" x14ac:dyDescent="0.3">
      <c r="A1916" s="2">
        <v>1906</v>
      </c>
      <c r="B1916" s="1">
        <v>45006.375</v>
      </c>
      <c r="C1916" s="1" t="str">
        <f t="shared" si="58"/>
        <v>03-2023</v>
      </c>
      <c r="D1916" s="2">
        <f t="shared" si="59"/>
        <v>12</v>
      </c>
      <c r="E1916" t="s">
        <v>17</v>
      </c>
      <c r="F1916" t="s">
        <v>14</v>
      </c>
      <c r="G1916" t="s">
        <v>19</v>
      </c>
      <c r="H1916" s="2">
        <v>54578</v>
      </c>
      <c r="I1916" s="2">
        <v>4</v>
      </c>
      <c r="J1916" s="2">
        <v>102332</v>
      </c>
      <c r="K1916" s="2">
        <v>86229</v>
      </c>
      <c r="L1916" s="2">
        <v>10</v>
      </c>
      <c r="M1916" t="str">
        <f>IF(Revv_bike_sales_data[[#This Row],[delivery_days]]&lt;=7, "Yes", "No")</f>
        <v>No</v>
      </c>
      <c r="N1916" t="s">
        <v>16</v>
      </c>
      <c r="O1916" s="2">
        <v>16103</v>
      </c>
    </row>
    <row r="1917" spans="1:15" x14ac:dyDescent="0.3">
      <c r="A1917" s="2">
        <v>1907</v>
      </c>
      <c r="B1917" s="1">
        <v>45006.416666666664</v>
      </c>
      <c r="C1917" s="1" t="str">
        <f t="shared" si="58"/>
        <v>03-2023</v>
      </c>
      <c r="D1917" s="2">
        <f t="shared" si="59"/>
        <v>12</v>
      </c>
      <c r="E1917" t="s">
        <v>22</v>
      </c>
      <c r="F1917" t="s">
        <v>14</v>
      </c>
      <c r="G1917" t="s">
        <v>20</v>
      </c>
      <c r="H1917" s="2">
        <v>59234</v>
      </c>
      <c r="I1917" s="2">
        <v>4</v>
      </c>
      <c r="J1917" s="2">
        <v>152386</v>
      </c>
      <c r="K1917" s="2">
        <v>100802</v>
      </c>
      <c r="L1917" s="2">
        <v>10</v>
      </c>
      <c r="M1917" t="str">
        <f>IF(Revv_bike_sales_data[[#This Row],[delivery_days]]&lt;=7, "Yes", "No")</f>
        <v>No</v>
      </c>
      <c r="N1917" t="s">
        <v>16</v>
      </c>
      <c r="O1917" s="2">
        <v>51584</v>
      </c>
    </row>
    <row r="1918" spans="1:15" x14ac:dyDescent="0.3">
      <c r="A1918" s="2">
        <v>1908</v>
      </c>
      <c r="B1918" s="1">
        <v>45006.458333333336</v>
      </c>
      <c r="C1918" s="1" t="str">
        <f t="shared" si="58"/>
        <v>03-2023</v>
      </c>
      <c r="D1918" s="2">
        <f t="shared" si="59"/>
        <v>12</v>
      </c>
      <c r="E1918" t="s">
        <v>17</v>
      </c>
      <c r="F1918" t="s">
        <v>14</v>
      </c>
      <c r="G1918" t="s">
        <v>20</v>
      </c>
      <c r="H1918" s="2">
        <v>44326</v>
      </c>
      <c r="I1918" s="2">
        <v>6</v>
      </c>
      <c r="J1918" s="2">
        <v>70037</v>
      </c>
      <c r="K1918" s="2">
        <v>124252</v>
      </c>
      <c r="L1918" s="2">
        <v>10</v>
      </c>
      <c r="M1918" t="str">
        <f>IF(Revv_bike_sales_data[[#This Row],[delivery_days]]&lt;=7, "Yes", "No")</f>
        <v>No</v>
      </c>
      <c r="N1918" t="s">
        <v>16</v>
      </c>
      <c r="O1918" s="2">
        <v>-54215</v>
      </c>
    </row>
    <row r="1919" spans="1:15" x14ac:dyDescent="0.3">
      <c r="A1919" s="2">
        <v>1909</v>
      </c>
      <c r="B1919" s="1">
        <v>45006.5</v>
      </c>
      <c r="C1919" s="1" t="str">
        <f t="shared" si="58"/>
        <v>03-2023</v>
      </c>
      <c r="D1919" s="2">
        <f t="shared" si="59"/>
        <v>12</v>
      </c>
      <c r="E1919" t="s">
        <v>13</v>
      </c>
      <c r="F1919" t="s">
        <v>14</v>
      </c>
      <c r="G1919" t="s">
        <v>15</v>
      </c>
      <c r="H1919" s="2">
        <v>88485</v>
      </c>
      <c r="I1919" s="2">
        <v>4</v>
      </c>
      <c r="J1919" s="2">
        <v>137666</v>
      </c>
      <c r="K1919" s="2">
        <v>107024</v>
      </c>
      <c r="L1919" s="2">
        <v>9</v>
      </c>
      <c r="M1919" t="str">
        <f>IF(Revv_bike_sales_data[[#This Row],[delivery_days]]&lt;=7, "Yes", "No")</f>
        <v>No</v>
      </c>
      <c r="N1919" t="s">
        <v>16</v>
      </c>
      <c r="O1919" s="2">
        <v>30642</v>
      </c>
    </row>
    <row r="1920" spans="1:15" x14ac:dyDescent="0.3">
      <c r="A1920" s="2">
        <v>1910</v>
      </c>
      <c r="B1920" s="1">
        <v>45006.541666666664</v>
      </c>
      <c r="C1920" s="1" t="str">
        <f t="shared" si="58"/>
        <v>03-2023</v>
      </c>
      <c r="D1920" s="2">
        <f t="shared" si="59"/>
        <v>12</v>
      </c>
      <c r="E1920" t="s">
        <v>13</v>
      </c>
      <c r="F1920" t="s">
        <v>14</v>
      </c>
      <c r="G1920" t="s">
        <v>21</v>
      </c>
      <c r="H1920" s="2">
        <v>44528</v>
      </c>
      <c r="I1920" s="2">
        <v>6</v>
      </c>
      <c r="J1920" s="2">
        <v>152048</v>
      </c>
      <c r="K1920" s="2">
        <v>39122</v>
      </c>
      <c r="L1920" s="2">
        <v>5</v>
      </c>
      <c r="M1920" t="str">
        <f>IF(Revv_bike_sales_data[[#This Row],[delivery_days]]&lt;=7, "Yes", "No")</f>
        <v>Yes</v>
      </c>
      <c r="N1920" t="s">
        <v>16</v>
      </c>
      <c r="O1920" s="2">
        <v>112926</v>
      </c>
    </row>
    <row r="1921" spans="1:15" x14ac:dyDescent="0.3">
      <c r="A1921" s="2">
        <v>1911</v>
      </c>
      <c r="B1921" s="1">
        <v>45006.583333333336</v>
      </c>
      <c r="C1921" s="1" t="str">
        <f t="shared" si="58"/>
        <v>03-2023</v>
      </c>
      <c r="D1921" s="2">
        <f t="shared" si="59"/>
        <v>12</v>
      </c>
      <c r="E1921" t="s">
        <v>18</v>
      </c>
      <c r="F1921" t="s">
        <v>14</v>
      </c>
      <c r="G1921" t="s">
        <v>19</v>
      </c>
      <c r="H1921" s="2">
        <v>51831</v>
      </c>
      <c r="I1921" s="2">
        <v>8</v>
      </c>
      <c r="J1921" s="2">
        <v>108040</v>
      </c>
      <c r="K1921" s="2">
        <v>56224</v>
      </c>
      <c r="L1921" s="2">
        <v>8</v>
      </c>
      <c r="M1921" t="str">
        <f>IF(Revv_bike_sales_data[[#This Row],[delivery_days]]&lt;=7, "Yes", "No")</f>
        <v>No</v>
      </c>
      <c r="N1921" t="s">
        <v>16</v>
      </c>
      <c r="O1921" s="2">
        <v>51816</v>
      </c>
    </row>
    <row r="1922" spans="1:15" x14ac:dyDescent="0.3">
      <c r="A1922" s="2">
        <v>1912</v>
      </c>
      <c r="B1922" s="1">
        <v>45006.625</v>
      </c>
      <c r="C1922" s="1" t="str">
        <f t="shared" si="58"/>
        <v>03-2023</v>
      </c>
      <c r="D1922" s="2">
        <f t="shared" si="59"/>
        <v>12</v>
      </c>
      <c r="E1922" t="s">
        <v>22</v>
      </c>
      <c r="F1922" t="s">
        <v>14</v>
      </c>
      <c r="G1922" t="s">
        <v>19</v>
      </c>
      <c r="H1922" s="2">
        <v>99438</v>
      </c>
      <c r="I1922" s="2">
        <v>4</v>
      </c>
      <c r="J1922" s="2">
        <v>136264</v>
      </c>
      <c r="K1922" s="2">
        <v>109540</v>
      </c>
      <c r="L1922" s="2">
        <v>12</v>
      </c>
      <c r="M1922" t="str">
        <f>IF(Revv_bike_sales_data[[#This Row],[delivery_days]]&lt;=7, "Yes", "No")</f>
        <v>No</v>
      </c>
      <c r="N1922" t="s">
        <v>16</v>
      </c>
      <c r="O1922" s="2">
        <v>26724</v>
      </c>
    </row>
    <row r="1923" spans="1:15" x14ac:dyDescent="0.3">
      <c r="A1923" s="2">
        <v>1913</v>
      </c>
      <c r="B1923" s="1">
        <v>45006.666666666664</v>
      </c>
      <c r="C1923" s="1" t="str">
        <f t="shared" si="58"/>
        <v>03-2023</v>
      </c>
      <c r="D1923" s="2">
        <f t="shared" si="59"/>
        <v>12</v>
      </c>
      <c r="E1923" t="s">
        <v>13</v>
      </c>
      <c r="F1923" t="s">
        <v>23</v>
      </c>
      <c r="G1923" t="s">
        <v>19</v>
      </c>
      <c r="H1923" s="2">
        <v>33043</v>
      </c>
      <c r="I1923" s="2">
        <v>1</v>
      </c>
      <c r="J1923" s="2">
        <v>35715</v>
      </c>
      <c r="K1923" s="2">
        <v>21331</v>
      </c>
      <c r="L1923" s="2">
        <v>13</v>
      </c>
      <c r="M1923" t="str">
        <f>IF(Revv_bike_sales_data[[#This Row],[delivery_days]]&lt;=7, "Yes", "No")</f>
        <v>No</v>
      </c>
      <c r="N1923" t="s">
        <v>16</v>
      </c>
      <c r="O1923" s="2">
        <v>14384</v>
      </c>
    </row>
    <row r="1924" spans="1:15" x14ac:dyDescent="0.3">
      <c r="A1924" s="2">
        <v>1914</v>
      </c>
      <c r="B1924" s="1">
        <v>45006.708333333336</v>
      </c>
      <c r="C1924" s="1" t="str">
        <f t="shared" si="58"/>
        <v>03-2023</v>
      </c>
      <c r="D1924" s="2">
        <f t="shared" si="59"/>
        <v>12</v>
      </c>
      <c r="E1924" t="s">
        <v>18</v>
      </c>
      <c r="F1924" t="s">
        <v>14</v>
      </c>
      <c r="G1924" t="s">
        <v>19</v>
      </c>
      <c r="H1924" s="2">
        <v>29862</v>
      </c>
      <c r="I1924" s="2">
        <v>4</v>
      </c>
      <c r="J1924" s="2">
        <v>177875</v>
      </c>
      <c r="K1924" s="2">
        <v>102102</v>
      </c>
      <c r="L1924" s="2">
        <v>12</v>
      </c>
      <c r="M1924" t="str">
        <f>IF(Revv_bike_sales_data[[#This Row],[delivery_days]]&lt;=7, "Yes", "No")</f>
        <v>No</v>
      </c>
      <c r="N1924" t="s">
        <v>16</v>
      </c>
      <c r="O1924" s="2">
        <v>75773</v>
      </c>
    </row>
    <row r="1925" spans="1:15" x14ac:dyDescent="0.3">
      <c r="A1925" s="2">
        <v>1915</v>
      </c>
      <c r="B1925" s="1">
        <v>45006.75</v>
      </c>
      <c r="C1925" s="1" t="str">
        <f t="shared" si="58"/>
        <v>03-2023</v>
      </c>
      <c r="D1925" s="2">
        <f t="shared" si="59"/>
        <v>12</v>
      </c>
      <c r="E1925" t="s">
        <v>18</v>
      </c>
      <c r="F1925" t="s">
        <v>14</v>
      </c>
      <c r="G1925" t="s">
        <v>20</v>
      </c>
      <c r="H1925" s="2">
        <v>27815</v>
      </c>
      <c r="I1925" s="2">
        <v>7</v>
      </c>
      <c r="J1925" s="2">
        <v>86726</v>
      </c>
      <c r="K1925" s="2">
        <v>126411</v>
      </c>
      <c r="L1925" s="2">
        <v>12</v>
      </c>
      <c r="M1925" t="str">
        <f>IF(Revv_bike_sales_data[[#This Row],[delivery_days]]&lt;=7, "Yes", "No")</f>
        <v>No</v>
      </c>
      <c r="N1925" t="s">
        <v>24</v>
      </c>
      <c r="O1925" s="2">
        <v>-39685</v>
      </c>
    </row>
    <row r="1926" spans="1:15" x14ac:dyDescent="0.3">
      <c r="A1926" s="2">
        <v>1916</v>
      </c>
      <c r="B1926" s="1">
        <v>45006.791666666664</v>
      </c>
      <c r="C1926" s="1" t="str">
        <f t="shared" si="58"/>
        <v>03-2023</v>
      </c>
      <c r="D1926" s="2">
        <f t="shared" si="59"/>
        <v>12</v>
      </c>
      <c r="E1926" t="s">
        <v>17</v>
      </c>
      <c r="F1926" t="s">
        <v>14</v>
      </c>
      <c r="G1926" t="s">
        <v>21</v>
      </c>
      <c r="H1926" s="2">
        <v>28246</v>
      </c>
      <c r="I1926" s="2">
        <v>3</v>
      </c>
      <c r="J1926" s="2">
        <v>157980</v>
      </c>
      <c r="K1926" s="2">
        <v>57262</v>
      </c>
      <c r="L1926" s="2">
        <v>6</v>
      </c>
      <c r="M1926" t="str">
        <f>IF(Revv_bike_sales_data[[#This Row],[delivery_days]]&lt;=7, "Yes", "No")</f>
        <v>Yes</v>
      </c>
      <c r="N1926" t="s">
        <v>16</v>
      </c>
      <c r="O1926" s="2">
        <v>100718</v>
      </c>
    </row>
    <row r="1927" spans="1:15" x14ac:dyDescent="0.3">
      <c r="A1927" s="2">
        <v>1917</v>
      </c>
      <c r="B1927" s="1">
        <v>45006.833333333336</v>
      </c>
      <c r="C1927" s="1" t="str">
        <f t="shared" si="58"/>
        <v>03-2023</v>
      </c>
      <c r="D1927" s="2">
        <f t="shared" si="59"/>
        <v>12</v>
      </c>
      <c r="E1927" t="s">
        <v>17</v>
      </c>
      <c r="F1927" t="s">
        <v>14</v>
      </c>
      <c r="G1927" t="s">
        <v>21</v>
      </c>
      <c r="H1927" s="2">
        <v>10557</v>
      </c>
      <c r="I1927" s="2">
        <v>1</v>
      </c>
      <c r="J1927" s="2">
        <v>143208</v>
      </c>
      <c r="K1927" s="2">
        <v>127157</v>
      </c>
      <c r="L1927" s="2">
        <v>4</v>
      </c>
      <c r="M1927" t="str">
        <f>IF(Revv_bike_sales_data[[#This Row],[delivery_days]]&lt;=7, "Yes", "No")</f>
        <v>Yes</v>
      </c>
      <c r="N1927" t="s">
        <v>16</v>
      </c>
      <c r="O1927" s="2">
        <v>16051</v>
      </c>
    </row>
    <row r="1928" spans="1:15" x14ac:dyDescent="0.3">
      <c r="A1928" s="2">
        <v>1918</v>
      </c>
      <c r="B1928" s="1">
        <v>45006.875</v>
      </c>
      <c r="C1928" s="1" t="str">
        <f t="shared" si="58"/>
        <v>03-2023</v>
      </c>
      <c r="D1928" s="2">
        <f t="shared" si="59"/>
        <v>12</v>
      </c>
      <c r="E1928" t="s">
        <v>18</v>
      </c>
      <c r="F1928" t="s">
        <v>14</v>
      </c>
      <c r="G1928" t="s">
        <v>15</v>
      </c>
      <c r="H1928" s="2">
        <v>43415</v>
      </c>
      <c r="I1928" s="2">
        <v>9</v>
      </c>
      <c r="J1928" s="2">
        <v>78648</v>
      </c>
      <c r="K1928" s="2">
        <v>122690</v>
      </c>
      <c r="L1928" s="2">
        <v>12</v>
      </c>
      <c r="M1928" t="str">
        <f>IF(Revv_bike_sales_data[[#This Row],[delivery_days]]&lt;=7, "Yes", "No")</f>
        <v>No</v>
      </c>
      <c r="N1928" t="s">
        <v>16</v>
      </c>
      <c r="O1928" s="2">
        <v>-44042</v>
      </c>
    </row>
    <row r="1929" spans="1:15" x14ac:dyDescent="0.3">
      <c r="A1929" s="2">
        <v>1919</v>
      </c>
      <c r="B1929" s="1">
        <v>45006.916666666664</v>
      </c>
      <c r="C1929" s="1" t="str">
        <f t="shared" si="58"/>
        <v>03-2023</v>
      </c>
      <c r="D1929" s="2">
        <f t="shared" si="59"/>
        <v>12</v>
      </c>
      <c r="E1929" t="s">
        <v>17</v>
      </c>
      <c r="F1929" t="s">
        <v>14</v>
      </c>
      <c r="G1929" t="s">
        <v>20</v>
      </c>
      <c r="H1929" s="2">
        <v>21561</v>
      </c>
      <c r="I1929" s="2">
        <v>2</v>
      </c>
      <c r="J1929" s="2">
        <v>46134</v>
      </c>
      <c r="K1929" s="2">
        <v>131214</v>
      </c>
      <c r="L1929" s="2">
        <v>3</v>
      </c>
      <c r="M1929" t="str">
        <f>IF(Revv_bike_sales_data[[#This Row],[delivery_days]]&lt;=7, "Yes", "No")</f>
        <v>Yes</v>
      </c>
      <c r="N1929" t="s">
        <v>16</v>
      </c>
      <c r="O1929" s="2">
        <v>-85080</v>
      </c>
    </row>
    <row r="1930" spans="1:15" x14ac:dyDescent="0.3">
      <c r="A1930" s="2">
        <v>1920</v>
      </c>
      <c r="B1930" s="1">
        <v>45006.958333333336</v>
      </c>
      <c r="C1930" s="1" t="str">
        <f t="shared" si="58"/>
        <v>03-2023</v>
      </c>
      <c r="D1930" s="2">
        <f t="shared" si="59"/>
        <v>12</v>
      </c>
      <c r="E1930" t="s">
        <v>13</v>
      </c>
      <c r="F1930" t="s">
        <v>23</v>
      </c>
      <c r="G1930" t="s">
        <v>19</v>
      </c>
      <c r="H1930" s="2">
        <v>51870</v>
      </c>
      <c r="I1930" s="2">
        <v>8</v>
      </c>
      <c r="J1930" s="2">
        <v>81143</v>
      </c>
      <c r="K1930" s="2">
        <v>121435</v>
      </c>
      <c r="L1930" s="2">
        <v>11</v>
      </c>
      <c r="M1930" t="str">
        <f>IF(Revv_bike_sales_data[[#This Row],[delivery_days]]&lt;=7, "Yes", "No")</f>
        <v>No</v>
      </c>
      <c r="N1930" t="s">
        <v>24</v>
      </c>
      <c r="O1930" s="2">
        <v>-40292</v>
      </c>
    </row>
    <row r="1931" spans="1:15" x14ac:dyDescent="0.3">
      <c r="A1931" s="2">
        <v>1921</v>
      </c>
      <c r="B1931" s="1">
        <v>45007</v>
      </c>
      <c r="C1931" s="1" t="str">
        <f t="shared" ref="C1931:C1994" si="60">TEXT(B1931,"mm-yyyy")</f>
        <v>03-2023</v>
      </c>
      <c r="D1931" s="2">
        <f t="shared" ref="D1931:D1994" si="61">WEEKNUM(B1931)</f>
        <v>12</v>
      </c>
      <c r="E1931" t="s">
        <v>25</v>
      </c>
      <c r="F1931" t="s">
        <v>14</v>
      </c>
      <c r="G1931" t="s">
        <v>21</v>
      </c>
      <c r="H1931" s="2">
        <v>34657</v>
      </c>
      <c r="I1931" s="2">
        <v>8</v>
      </c>
      <c r="J1931" s="2">
        <v>94123</v>
      </c>
      <c r="K1931" s="2">
        <v>125100</v>
      </c>
      <c r="L1931" s="2">
        <v>6</v>
      </c>
      <c r="M1931" t="str">
        <f>IF(Revv_bike_sales_data[[#This Row],[delivery_days]]&lt;=7, "Yes", "No")</f>
        <v>Yes</v>
      </c>
      <c r="N1931" t="s">
        <v>16</v>
      </c>
      <c r="O1931" s="2">
        <v>-30977</v>
      </c>
    </row>
    <row r="1932" spans="1:15" x14ac:dyDescent="0.3">
      <c r="A1932" s="2">
        <v>1922</v>
      </c>
      <c r="B1932" s="1">
        <v>45007.041666666664</v>
      </c>
      <c r="C1932" s="1" t="str">
        <f t="shared" si="60"/>
        <v>03-2023</v>
      </c>
      <c r="D1932" s="2">
        <f t="shared" si="61"/>
        <v>12</v>
      </c>
      <c r="E1932" t="s">
        <v>13</v>
      </c>
      <c r="F1932" t="s">
        <v>14</v>
      </c>
      <c r="G1932" t="s">
        <v>21</v>
      </c>
      <c r="H1932" s="2">
        <v>11822</v>
      </c>
      <c r="I1932" s="2">
        <v>7</v>
      </c>
      <c r="J1932" s="2">
        <v>158485</v>
      </c>
      <c r="K1932" s="2">
        <v>101314</v>
      </c>
      <c r="L1932" s="2">
        <v>1</v>
      </c>
      <c r="M1932" t="str">
        <f>IF(Revv_bike_sales_data[[#This Row],[delivery_days]]&lt;=7, "Yes", "No")</f>
        <v>Yes</v>
      </c>
      <c r="N1932" t="s">
        <v>16</v>
      </c>
      <c r="O1932" s="2">
        <v>57171</v>
      </c>
    </row>
    <row r="1933" spans="1:15" x14ac:dyDescent="0.3">
      <c r="A1933" s="2">
        <v>1923</v>
      </c>
      <c r="B1933" s="1">
        <v>45007.083333333336</v>
      </c>
      <c r="C1933" s="1" t="str">
        <f t="shared" si="60"/>
        <v>03-2023</v>
      </c>
      <c r="D1933" s="2">
        <f t="shared" si="61"/>
        <v>12</v>
      </c>
      <c r="E1933" t="s">
        <v>18</v>
      </c>
      <c r="F1933" t="s">
        <v>14</v>
      </c>
      <c r="G1933" t="s">
        <v>20</v>
      </c>
      <c r="H1933" s="2">
        <v>70312</v>
      </c>
      <c r="I1933" s="2">
        <v>7</v>
      </c>
      <c r="J1933" s="2">
        <v>178627</v>
      </c>
      <c r="K1933" s="2">
        <v>74592</v>
      </c>
      <c r="L1933" s="2">
        <v>2</v>
      </c>
      <c r="M1933" t="str">
        <f>IF(Revv_bike_sales_data[[#This Row],[delivery_days]]&lt;=7, "Yes", "No")</f>
        <v>Yes</v>
      </c>
      <c r="N1933" t="s">
        <v>16</v>
      </c>
      <c r="O1933" s="2">
        <v>104035</v>
      </c>
    </row>
    <row r="1934" spans="1:15" x14ac:dyDescent="0.3">
      <c r="A1934" s="2">
        <v>1924</v>
      </c>
      <c r="B1934" s="1">
        <v>45007.125</v>
      </c>
      <c r="C1934" s="1" t="str">
        <f t="shared" si="60"/>
        <v>03-2023</v>
      </c>
      <c r="D1934" s="2">
        <f t="shared" si="61"/>
        <v>12</v>
      </c>
      <c r="E1934" t="s">
        <v>18</v>
      </c>
      <c r="F1934" t="s">
        <v>14</v>
      </c>
      <c r="G1934" t="s">
        <v>15</v>
      </c>
      <c r="H1934" s="2">
        <v>78342</v>
      </c>
      <c r="I1934" s="2">
        <v>7</v>
      </c>
      <c r="J1934" s="2">
        <v>167024</v>
      </c>
      <c r="K1934" s="2">
        <v>48926</v>
      </c>
      <c r="L1934" s="2">
        <v>7</v>
      </c>
      <c r="M1934" t="str">
        <f>IF(Revv_bike_sales_data[[#This Row],[delivery_days]]&lt;=7, "Yes", "No")</f>
        <v>Yes</v>
      </c>
      <c r="N1934" t="s">
        <v>16</v>
      </c>
      <c r="O1934" s="2">
        <v>118098</v>
      </c>
    </row>
    <row r="1935" spans="1:15" x14ac:dyDescent="0.3">
      <c r="A1935" s="2">
        <v>1925</v>
      </c>
      <c r="B1935" s="1">
        <v>45007.166666666664</v>
      </c>
      <c r="C1935" s="1" t="str">
        <f t="shared" si="60"/>
        <v>03-2023</v>
      </c>
      <c r="D1935" s="2">
        <f t="shared" si="61"/>
        <v>12</v>
      </c>
      <c r="E1935" t="s">
        <v>13</v>
      </c>
      <c r="F1935" t="s">
        <v>14</v>
      </c>
      <c r="G1935" t="s">
        <v>15</v>
      </c>
      <c r="H1935" s="2">
        <v>34517</v>
      </c>
      <c r="I1935" s="2">
        <v>7</v>
      </c>
      <c r="J1935" s="2">
        <v>146657</v>
      </c>
      <c r="K1935" s="2">
        <v>101287</v>
      </c>
      <c r="L1935" s="2">
        <v>4</v>
      </c>
      <c r="M1935" t="str">
        <f>IF(Revv_bike_sales_data[[#This Row],[delivery_days]]&lt;=7, "Yes", "No")</f>
        <v>Yes</v>
      </c>
      <c r="N1935" t="s">
        <v>16</v>
      </c>
      <c r="O1935" s="2">
        <v>45370</v>
      </c>
    </row>
    <row r="1936" spans="1:15" x14ac:dyDescent="0.3">
      <c r="A1936" s="2">
        <v>1926</v>
      </c>
      <c r="B1936" s="1">
        <v>45007.208333333336</v>
      </c>
      <c r="C1936" s="1" t="str">
        <f t="shared" si="60"/>
        <v>03-2023</v>
      </c>
      <c r="D1936" s="2">
        <f t="shared" si="61"/>
        <v>12</v>
      </c>
      <c r="E1936" t="s">
        <v>17</v>
      </c>
      <c r="F1936" t="s">
        <v>14</v>
      </c>
      <c r="G1936" t="s">
        <v>19</v>
      </c>
      <c r="H1936" s="2">
        <v>57292</v>
      </c>
      <c r="I1936" s="2">
        <v>7</v>
      </c>
      <c r="J1936" s="2">
        <v>91686</v>
      </c>
      <c r="K1936" s="2">
        <v>134318</v>
      </c>
      <c r="L1936" s="2">
        <v>5</v>
      </c>
      <c r="M1936" t="str">
        <f>IF(Revv_bike_sales_data[[#This Row],[delivery_days]]&lt;=7, "Yes", "No")</f>
        <v>Yes</v>
      </c>
      <c r="N1936" t="s">
        <v>16</v>
      </c>
      <c r="O1936" s="2">
        <v>-42632</v>
      </c>
    </row>
    <row r="1937" spans="1:15" x14ac:dyDescent="0.3">
      <c r="A1937" s="2">
        <v>1927</v>
      </c>
      <c r="B1937" s="1">
        <v>45007.25</v>
      </c>
      <c r="C1937" s="1" t="str">
        <f t="shared" si="60"/>
        <v>03-2023</v>
      </c>
      <c r="D1937" s="2">
        <f t="shared" si="61"/>
        <v>12</v>
      </c>
      <c r="E1937" t="s">
        <v>17</v>
      </c>
      <c r="F1937" t="s">
        <v>14</v>
      </c>
      <c r="G1937" t="s">
        <v>15</v>
      </c>
      <c r="H1937" s="2">
        <v>28242</v>
      </c>
      <c r="I1937" s="2">
        <v>0</v>
      </c>
      <c r="J1937" s="2">
        <v>137841</v>
      </c>
      <c r="K1937" s="2">
        <v>133201</v>
      </c>
      <c r="L1937" s="2">
        <v>11</v>
      </c>
      <c r="M1937" t="str">
        <f>IF(Revv_bike_sales_data[[#This Row],[delivery_days]]&lt;=7, "Yes", "No")</f>
        <v>No</v>
      </c>
      <c r="N1937" t="s">
        <v>16</v>
      </c>
      <c r="O1937" s="2">
        <v>4640</v>
      </c>
    </row>
    <row r="1938" spans="1:15" x14ac:dyDescent="0.3">
      <c r="A1938" s="2">
        <v>1928</v>
      </c>
      <c r="B1938" s="1">
        <v>45007.291666666664</v>
      </c>
      <c r="C1938" s="1" t="str">
        <f t="shared" si="60"/>
        <v>03-2023</v>
      </c>
      <c r="D1938" s="2">
        <f t="shared" si="61"/>
        <v>12</v>
      </c>
      <c r="E1938" t="s">
        <v>18</v>
      </c>
      <c r="F1938" t="s">
        <v>23</v>
      </c>
      <c r="G1938" t="s">
        <v>21</v>
      </c>
      <c r="H1938" s="2">
        <v>97636</v>
      </c>
      <c r="I1938" s="2">
        <v>5</v>
      </c>
      <c r="J1938" s="2">
        <v>57264</v>
      </c>
      <c r="K1938" s="2">
        <v>139958</v>
      </c>
      <c r="L1938" s="2">
        <v>10</v>
      </c>
      <c r="M1938" t="str">
        <f>IF(Revv_bike_sales_data[[#This Row],[delivery_days]]&lt;=7, "Yes", "No")</f>
        <v>No</v>
      </c>
      <c r="N1938" t="s">
        <v>16</v>
      </c>
      <c r="O1938" s="2">
        <v>-82694</v>
      </c>
    </row>
    <row r="1939" spans="1:15" x14ac:dyDescent="0.3">
      <c r="A1939" s="2">
        <v>1929</v>
      </c>
      <c r="B1939" s="1">
        <v>45007.333333333336</v>
      </c>
      <c r="C1939" s="1" t="str">
        <f t="shared" si="60"/>
        <v>03-2023</v>
      </c>
      <c r="D1939" s="2">
        <f t="shared" si="61"/>
        <v>12</v>
      </c>
      <c r="E1939" t="s">
        <v>22</v>
      </c>
      <c r="F1939" t="s">
        <v>14</v>
      </c>
      <c r="G1939" t="s">
        <v>15</v>
      </c>
      <c r="H1939" s="2">
        <v>65308</v>
      </c>
      <c r="I1939" s="2">
        <v>8</v>
      </c>
      <c r="J1939" s="2">
        <v>134885</v>
      </c>
      <c r="K1939" s="2">
        <v>32528</v>
      </c>
      <c r="L1939" s="2">
        <v>1</v>
      </c>
      <c r="M1939" t="str">
        <f>IF(Revv_bike_sales_data[[#This Row],[delivery_days]]&lt;=7, "Yes", "No")</f>
        <v>Yes</v>
      </c>
      <c r="N1939" t="s">
        <v>16</v>
      </c>
      <c r="O1939" s="2">
        <v>102357</v>
      </c>
    </row>
    <row r="1940" spans="1:15" x14ac:dyDescent="0.3">
      <c r="A1940" s="2">
        <v>1930</v>
      </c>
      <c r="B1940" s="1">
        <v>45007.375</v>
      </c>
      <c r="C1940" s="1" t="str">
        <f t="shared" si="60"/>
        <v>03-2023</v>
      </c>
      <c r="D1940" s="2">
        <f t="shared" si="61"/>
        <v>12</v>
      </c>
      <c r="E1940" t="s">
        <v>17</v>
      </c>
      <c r="F1940" t="s">
        <v>14</v>
      </c>
      <c r="G1940" t="s">
        <v>19</v>
      </c>
      <c r="H1940" s="2">
        <v>18129</v>
      </c>
      <c r="I1940" s="2">
        <v>7</v>
      </c>
      <c r="J1940" s="2">
        <v>165880</v>
      </c>
      <c r="K1940" s="2">
        <v>15068</v>
      </c>
      <c r="L1940" s="2">
        <v>2</v>
      </c>
      <c r="M1940" t="str">
        <f>IF(Revv_bike_sales_data[[#This Row],[delivery_days]]&lt;=7, "Yes", "No")</f>
        <v>Yes</v>
      </c>
      <c r="N1940" t="s">
        <v>16</v>
      </c>
      <c r="O1940" s="2">
        <v>150812</v>
      </c>
    </row>
    <row r="1941" spans="1:15" x14ac:dyDescent="0.3">
      <c r="A1941" s="2">
        <v>1931</v>
      </c>
      <c r="B1941" s="1">
        <v>45007.416666666664</v>
      </c>
      <c r="C1941" s="1" t="str">
        <f t="shared" si="60"/>
        <v>03-2023</v>
      </c>
      <c r="D1941" s="2">
        <f t="shared" si="61"/>
        <v>12</v>
      </c>
      <c r="E1941" t="s">
        <v>13</v>
      </c>
      <c r="F1941" t="s">
        <v>14</v>
      </c>
      <c r="G1941" t="s">
        <v>21</v>
      </c>
      <c r="H1941" s="2">
        <v>8745</v>
      </c>
      <c r="I1941" s="2">
        <v>2</v>
      </c>
      <c r="J1941" s="2">
        <v>77330</v>
      </c>
      <c r="K1941" s="2">
        <v>84253</v>
      </c>
      <c r="L1941" s="2">
        <v>4</v>
      </c>
      <c r="M1941" t="str">
        <f>IF(Revv_bike_sales_data[[#This Row],[delivery_days]]&lt;=7, "Yes", "No")</f>
        <v>Yes</v>
      </c>
      <c r="N1941" t="s">
        <v>16</v>
      </c>
      <c r="O1941" s="2">
        <v>-6923</v>
      </c>
    </row>
    <row r="1942" spans="1:15" x14ac:dyDescent="0.3">
      <c r="A1942" s="2">
        <v>1932</v>
      </c>
      <c r="B1942" s="1">
        <v>45007.458333333336</v>
      </c>
      <c r="C1942" s="1" t="str">
        <f t="shared" si="60"/>
        <v>03-2023</v>
      </c>
      <c r="D1942" s="2">
        <f t="shared" si="61"/>
        <v>12</v>
      </c>
      <c r="E1942" t="s">
        <v>17</v>
      </c>
      <c r="F1942" t="s">
        <v>14</v>
      </c>
      <c r="G1942" t="s">
        <v>15</v>
      </c>
      <c r="H1942" s="2">
        <v>97450</v>
      </c>
      <c r="I1942" s="2">
        <v>0</v>
      </c>
      <c r="J1942" s="2">
        <v>139672</v>
      </c>
      <c r="K1942" s="2">
        <v>95754</v>
      </c>
      <c r="L1942" s="2">
        <v>8</v>
      </c>
      <c r="M1942" t="str">
        <f>IF(Revv_bike_sales_data[[#This Row],[delivery_days]]&lt;=7, "Yes", "No")</f>
        <v>No</v>
      </c>
      <c r="N1942" t="s">
        <v>16</v>
      </c>
      <c r="O1942" s="2">
        <v>43918</v>
      </c>
    </row>
    <row r="1943" spans="1:15" x14ac:dyDescent="0.3">
      <c r="A1943" s="2">
        <v>1933</v>
      </c>
      <c r="B1943" s="1">
        <v>45007.5</v>
      </c>
      <c r="C1943" s="1" t="str">
        <f t="shared" si="60"/>
        <v>03-2023</v>
      </c>
      <c r="D1943" s="2">
        <f t="shared" si="61"/>
        <v>12</v>
      </c>
      <c r="E1943" t="s">
        <v>13</v>
      </c>
      <c r="F1943" t="s">
        <v>14</v>
      </c>
      <c r="G1943" t="s">
        <v>15</v>
      </c>
      <c r="H1943" s="2">
        <v>44370</v>
      </c>
      <c r="I1943" s="2">
        <v>1</v>
      </c>
      <c r="J1943" s="2">
        <v>63345</v>
      </c>
      <c r="K1943" s="2">
        <v>58968</v>
      </c>
      <c r="L1943" s="2">
        <v>10</v>
      </c>
      <c r="M1943" t="str">
        <f>IF(Revv_bike_sales_data[[#This Row],[delivery_days]]&lt;=7, "Yes", "No")</f>
        <v>No</v>
      </c>
      <c r="N1943" t="s">
        <v>16</v>
      </c>
      <c r="O1943" s="2">
        <v>4377</v>
      </c>
    </row>
    <row r="1944" spans="1:15" x14ac:dyDescent="0.3">
      <c r="A1944" s="2">
        <v>1934</v>
      </c>
      <c r="B1944" s="1">
        <v>45007.541666666664</v>
      </c>
      <c r="C1944" s="1" t="str">
        <f t="shared" si="60"/>
        <v>03-2023</v>
      </c>
      <c r="D1944" s="2">
        <f t="shared" si="61"/>
        <v>12</v>
      </c>
      <c r="E1944" t="s">
        <v>18</v>
      </c>
      <c r="F1944" t="s">
        <v>14</v>
      </c>
      <c r="G1944" t="s">
        <v>20</v>
      </c>
      <c r="H1944" s="2">
        <v>96134</v>
      </c>
      <c r="I1944" s="2">
        <v>1</v>
      </c>
      <c r="J1944" s="2">
        <v>64222</v>
      </c>
      <c r="K1944" s="2">
        <v>105938</v>
      </c>
      <c r="L1944" s="2">
        <v>4</v>
      </c>
      <c r="M1944" t="str">
        <f>IF(Revv_bike_sales_data[[#This Row],[delivery_days]]&lt;=7, "Yes", "No")</f>
        <v>Yes</v>
      </c>
      <c r="N1944" t="s">
        <v>16</v>
      </c>
      <c r="O1944" s="2">
        <v>-41716</v>
      </c>
    </row>
    <row r="1945" spans="1:15" x14ac:dyDescent="0.3">
      <c r="A1945" s="2">
        <v>1935</v>
      </c>
      <c r="B1945" s="1">
        <v>45007.583333333336</v>
      </c>
      <c r="C1945" s="1" t="str">
        <f t="shared" si="60"/>
        <v>03-2023</v>
      </c>
      <c r="D1945" s="2">
        <f t="shared" si="61"/>
        <v>12</v>
      </c>
      <c r="E1945" t="s">
        <v>17</v>
      </c>
      <c r="F1945" t="s">
        <v>14</v>
      </c>
      <c r="G1945" t="s">
        <v>19</v>
      </c>
      <c r="H1945" s="2">
        <v>65329</v>
      </c>
      <c r="I1945" s="2">
        <v>6</v>
      </c>
      <c r="J1945" s="2">
        <v>82755</v>
      </c>
      <c r="K1945" s="2">
        <v>63623</v>
      </c>
      <c r="L1945" s="2">
        <v>14</v>
      </c>
      <c r="M1945" t="str">
        <f>IF(Revv_bike_sales_data[[#This Row],[delivery_days]]&lt;=7, "Yes", "No")</f>
        <v>No</v>
      </c>
      <c r="N1945" t="s">
        <v>16</v>
      </c>
      <c r="O1945" s="2">
        <v>19132</v>
      </c>
    </row>
    <row r="1946" spans="1:15" x14ac:dyDescent="0.3">
      <c r="A1946" s="2">
        <v>1936</v>
      </c>
      <c r="B1946" s="1">
        <v>45007.625</v>
      </c>
      <c r="C1946" s="1" t="str">
        <f t="shared" si="60"/>
        <v>03-2023</v>
      </c>
      <c r="D1946" s="2">
        <f t="shared" si="61"/>
        <v>12</v>
      </c>
      <c r="E1946" t="s">
        <v>13</v>
      </c>
      <c r="F1946" t="s">
        <v>14</v>
      </c>
      <c r="G1946" t="s">
        <v>15</v>
      </c>
      <c r="H1946" s="2">
        <v>11088</v>
      </c>
      <c r="I1946" s="2">
        <v>5</v>
      </c>
      <c r="J1946" s="2">
        <v>33933</v>
      </c>
      <c r="K1946" s="2">
        <v>112179</v>
      </c>
      <c r="L1946" s="2">
        <v>3</v>
      </c>
      <c r="M1946" t="str">
        <f>IF(Revv_bike_sales_data[[#This Row],[delivery_days]]&lt;=7, "Yes", "No")</f>
        <v>Yes</v>
      </c>
      <c r="N1946" t="s">
        <v>16</v>
      </c>
      <c r="O1946" s="2">
        <v>-78246</v>
      </c>
    </row>
    <row r="1947" spans="1:15" x14ac:dyDescent="0.3">
      <c r="A1947" s="2">
        <v>1937</v>
      </c>
      <c r="B1947" s="1">
        <v>45007.666666666664</v>
      </c>
      <c r="C1947" s="1" t="str">
        <f t="shared" si="60"/>
        <v>03-2023</v>
      </c>
      <c r="D1947" s="2">
        <f t="shared" si="61"/>
        <v>12</v>
      </c>
      <c r="E1947" t="s">
        <v>18</v>
      </c>
      <c r="F1947" t="s">
        <v>14</v>
      </c>
      <c r="G1947" t="s">
        <v>20</v>
      </c>
      <c r="H1947" s="2">
        <v>942</v>
      </c>
      <c r="I1947" s="2">
        <v>1</v>
      </c>
      <c r="J1947" s="2">
        <v>93207</v>
      </c>
      <c r="K1947" s="2">
        <v>57129</v>
      </c>
      <c r="L1947" s="2">
        <v>3</v>
      </c>
      <c r="M1947" t="str">
        <f>IF(Revv_bike_sales_data[[#This Row],[delivery_days]]&lt;=7, "Yes", "No")</f>
        <v>Yes</v>
      </c>
      <c r="N1947" t="s">
        <v>16</v>
      </c>
      <c r="O1947" s="2">
        <v>36078</v>
      </c>
    </row>
    <row r="1948" spans="1:15" x14ac:dyDescent="0.3">
      <c r="A1948" s="2">
        <v>1938</v>
      </c>
      <c r="B1948" s="1">
        <v>45007.708333333336</v>
      </c>
      <c r="C1948" s="1" t="str">
        <f t="shared" si="60"/>
        <v>03-2023</v>
      </c>
      <c r="D1948" s="2">
        <f t="shared" si="61"/>
        <v>12</v>
      </c>
      <c r="E1948" t="s">
        <v>22</v>
      </c>
      <c r="F1948" t="s">
        <v>23</v>
      </c>
      <c r="G1948" t="s">
        <v>21</v>
      </c>
      <c r="H1948" s="2">
        <v>77839</v>
      </c>
      <c r="I1948" s="2">
        <v>7</v>
      </c>
      <c r="J1948" s="2">
        <v>129691</v>
      </c>
      <c r="K1948" s="2">
        <v>138863</v>
      </c>
      <c r="L1948" s="2">
        <v>12</v>
      </c>
      <c r="M1948" t="str">
        <f>IF(Revv_bike_sales_data[[#This Row],[delivery_days]]&lt;=7, "Yes", "No")</f>
        <v>No</v>
      </c>
      <c r="N1948" t="s">
        <v>16</v>
      </c>
      <c r="O1948" s="2">
        <v>-9172</v>
      </c>
    </row>
    <row r="1949" spans="1:15" x14ac:dyDescent="0.3">
      <c r="A1949" s="2">
        <v>1939</v>
      </c>
      <c r="B1949" s="1">
        <v>45007.75</v>
      </c>
      <c r="C1949" s="1" t="str">
        <f t="shared" si="60"/>
        <v>03-2023</v>
      </c>
      <c r="D1949" s="2">
        <f t="shared" si="61"/>
        <v>12</v>
      </c>
      <c r="E1949" t="s">
        <v>13</v>
      </c>
      <c r="F1949" t="s">
        <v>14</v>
      </c>
      <c r="G1949" t="s">
        <v>20</v>
      </c>
      <c r="H1949" s="2">
        <v>41221</v>
      </c>
      <c r="I1949" s="2">
        <v>8</v>
      </c>
      <c r="J1949" s="2">
        <v>130137</v>
      </c>
      <c r="K1949" s="2">
        <v>128996</v>
      </c>
      <c r="L1949" s="2">
        <v>5</v>
      </c>
      <c r="M1949" t="str">
        <f>IF(Revv_bike_sales_data[[#This Row],[delivery_days]]&lt;=7, "Yes", "No")</f>
        <v>Yes</v>
      </c>
      <c r="N1949" t="s">
        <v>16</v>
      </c>
      <c r="O1949" s="2">
        <v>1141</v>
      </c>
    </row>
    <row r="1950" spans="1:15" x14ac:dyDescent="0.3">
      <c r="A1950" s="2">
        <v>1940</v>
      </c>
      <c r="B1950" s="1">
        <v>45007.791666666664</v>
      </c>
      <c r="C1950" s="1" t="str">
        <f t="shared" si="60"/>
        <v>03-2023</v>
      </c>
      <c r="D1950" s="2">
        <f t="shared" si="61"/>
        <v>12</v>
      </c>
      <c r="E1950" t="s">
        <v>22</v>
      </c>
      <c r="F1950" t="s">
        <v>23</v>
      </c>
      <c r="G1950" t="s">
        <v>20</v>
      </c>
      <c r="H1950" s="2">
        <v>37645</v>
      </c>
      <c r="I1950" s="2">
        <v>6</v>
      </c>
      <c r="J1950" s="2">
        <v>177955</v>
      </c>
      <c r="K1950" s="2">
        <v>109688</v>
      </c>
      <c r="L1950" s="2">
        <v>3</v>
      </c>
      <c r="M1950" t="str">
        <f>IF(Revv_bike_sales_data[[#This Row],[delivery_days]]&lt;=7, "Yes", "No")</f>
        <v>Yes</v>
      </c>
      <c r="N1950" t="s">
        <v>16</v>
      </c>
      <c r="O1950" s="2">
        <v>68267</v>
      </c>
    </row>
    <row r="1951" spans="1:15" x14ac:dyDescent="0.3">
      <c r="A1951" s="2">
        <v>1941</v>
      </c>
      <c r="B1951" s="1">
        <v>45007.833333333336</v>
      </c>
      <c r="C1951" s="1" t="str">
        <f t="shared" si="60"/>
        <v>03-2023</v>
      </c>
      <c r="D1951" s="2">
        <f t="shared" si="61"/>
        <v>12</v>
      </c>
      <c r="E1951" t="s">
        <v>22</v>
      </c>
      <c r="F1951" t="s">
        <v>23</v>
      </c>
      <c r="G1951" t="s">
        <v>15</v>
      </c>
      <c r="H1951" s="2">
        <v>11099</v>
      </c>
      <c r="I1951" s="2">
        <v>3</v>
      </c>
      <c r="J1951" s="2">
        <v>123818</v>
      </c>
      <c r="K1951" s="2">
        <v>76321</v>
      </c>
      <c r="L1951" s="2">
        <v>8</v>
      </c>
      <c r="M1951" t="str">
        <f>IF(Revv_bike_sales_data[[#This Row],[delivery_days]]&lt;=7, "Yes", "No")</f>
        <v>No</v>
      </c>
      <c r="N1951" t="s">
        <v>16</v>
      </c>
      <c r="O1951" s="2">
        <v>47497</v>
      </c>
    </row>
    <row r="1952" spans="1:15" x14ac:dyDescent="0.3">
      <c r="A1952" s="2">
        <v>1942</v>
      </c>
      <c r="B1952" s="1">
        <v>45007.875</v>
      </c>
      <c r="C1952" s="1" t="str">
        <f t="shared" si="60"/>
        <v>03-2023</v>
      </c>
      <c r="D1952" s="2">
        <f t="shared" si="61"/>
        <v>12</v>
      </c>
      <c r="E1952" t="s">
        <v>25</v>
      </c>
      <c r="F1952" t="s">
        <v>14</v>
      </c>
      <c r="G1952" t="s">
        <v>15</v>
      </c>
      <c r="H1952" s="2">
        <v>73094</v>
      </c>
      <c r="I1952" s="2">
        <v>0</v>
      </c>
      <c r="J1952" s="2">
        <v>123510</v>
      </c>
      <c r="K1952" s="2">
        <v>26526</v>
      </c>
      <c r="L1952" s="2">
        <v>5</v>
      </c>
      <c r="M1952" t="str">
        <f>IF(Revv_bike_sales_data[[#This Row],[delivery_days]]&lt;=7, "Yes", "No")</f>
        <v>Yes</v>
      </c>
      <c r="N1952" t="s">
        <v>24</v>
      </c>
      <c r="O1952" s="2">
        <v>96984</v>
      </c>
    </row>
    <row r="1953" spans="1:15" x14ac:dyDescent="0.3">
      <c r="A1953" s="2">
        <v>1943</v>
      </c>
      <c r="B1953" s="1">
        <v>45007.916666666664</v>
      </c>
      <c r="C1953" s="1" t="str">
        <f t="shared" si="60"/>
        <v>03-2023</v>
      </c>
      <c r="D1953" s="2">
        <f t="shared" si="61"/>
        <v>12</v>
      </c>
      <c r="E1953" t="s">
        <v>17</v>
      </c>
      <c r="F1953" t="s">
        <v>14</v>
      </c>
      <c r="G1953" t="s">
        <v>15</v>
      </c>
      <c r="H1953" s="2">
        <v>83242</v>
      </c>
      <c r="I1953" s="2">
        <v>3</v>
      </c>
      <c r="J1953" s="2">
        <v>124251</v>
      </c>
      <c r="K1953" s="2">
        <v>107452</v>
      </c>
      <c r="L1953" s="2">
        <v>12</v>
      </c>
      <c r="M1953" t="str">
        <f>IF(Revv_bike_sales_data[[#This Row],[delivery_days]]&lt;=7, "Yes", "No")</f>
        <v>No</v>
      </c>
      <c r="N1953" t="s">
        <v>16</v>
      </c>
      <c r="O1953" s="2">
        <v>16799</v>
      </c>
    </row>
    <row r="1954" spans="1:15" x14ac:dyDescent="0.3">
      <c r="A1954" s="2">
        <v>1944</v>
      </c>
      <c r="B1954" s="1">
        <v>45007.958333333336</v>
      </c>
      <c r="C1954" s="1" t="str">
        <f t="shared" si="60"/>
        <v>03-2023</v>
      </c>
      <c r="D1954" s="2">
        <f t="shared" si="61"/>
        <v>12</v>
      </c>
      <c r="E1954" t="s">
        <v>13</v>
      </c>
      <c r="F1954" t="s">
        <v>14</v>
      </c>
      <c r="G1954" t="s">
        <v>20</v>
      </c>
      <c r="H1954" s="2">
        <v>77930</v>
      </c>
      <c r="I1954" s="2">
        <v>3</v>
      </c>
      <c r="J1954" s="2">
        <v>171452</v>
      </c>
      <c r="K1954" s="2">
        <v>123511</v>
      </c>
      <c r="L1954" s="2">
        <v>14</v>
      </c>
      <c r="M1954" t="str">
        <f>IF(Revv_bike_sales_data[[#This Row],[delivery_days]]&lt;=7, "Yes", "No")</f>
        <v>No</v>
      </c>
      <c r="N1954" t="s">
        <v>16</v>
      </c>
      <c r="O1954" s="2">
        <v>47941</v>
      </c>
    </row>
    <row r="1955" spans="1:15" x14ac:dyDescent="0.3">
      <c r="A1955" s="2">
        <v>1945</v>
      </c>
      <c r="B1955" s="1">
        <v>45008</v>
      </c>
      <c r="C1955" s="1" t="str">
        <f t="shared" si="60"/>
        <v>03-2023</v>
      </c>
      <c r="D1955" s="2">
        <f t="shared" si="61"/>
        <v>12</v>
      </c>
      <c r="E1955" t="s">
        <v>22</v>
      </c>
      <c r="F1955" t="s">
        <v>14</v>
      </c>
      <c r="G1955" t="s">
        <v>21</v>
      </c>
      <c r="H1955" s="2">
        <v>3439</v>
      </c>
      <c r="I1955" s="2">
        <v>7</v>
      </c>
      <c r="J1955" s="2">
        <v>43212</v>
      </c>
      <c r="K1955" s="2">
        <v>106564</v>
      </c>
      <c r="L1955" s="2">
        <v>12</v>
      </c>
      <c r="M1955" t="str">
        <f>IF(Revv_bike_sales_data[[#This Row],[delivery_days]]&lt;=7, "Yes", "No")</f>
        <v>No</v>
      </c>
      <c r="N1955" t="s">
        <v>16</v>
      </c>
      <c r="O1955" s="2">
        <v>-63352</v>
      </c>
    </row>
    <row r="1956" spans="1:15" x14ac:dyDescent="0.3">
      <c r="A1956" s="2">
        <v>1946</v>
      </c>
      <c r="B1956" s="1">
        <v>45008.041666666664</v>
      </c>
      <c r="C1956" s="1" t="str">
        <f t="shared" si="60"/>
        <v>03-2023</v>
      </c>
      <c r="D1956" s="2">
        <f t="shared" si="61"/>
        <v>12</v>
      </c>
      <c r="E1956" t="s">
        <v>25</v>
      </c>
      <c r="F1956" t="s">
        <v>14</v>
      </c>
      <c r="G1956" t="s">
        <v>19</v>
      </c>
      <c r="H1956" s="2">
        <v>22649</v>
      </c>
      <c r="I1956" s="2">
        <v>3</v>
      </c>
      <c r="J1956" s="2">
        <v>53174</v>
      </c>
      <c r="K1956" s="2">
        <v>41709</v>
      </c>
      <c r="L1956" s="2">
        <v>14</v>
      </c>
      <c r="M1956" t="str">
        <f>IF(Revv_bike_sales_data[[#This Row],[delivery_days]]&lt;=7, "Yes", "No")</f>
        <v>No</v>
      </c>
      <c r="N1956" t="s">
        <v>16</v>
      </c>
      <c r="O1956" s="2">
        <v>11465</v>
      </c>
    </row>
    <row r="1957" spans="1:15" x14ac:dyDescent="0.3">
      <c r="A1957" s="2">
        <v>1947</v>
      </c>
      <c r="B1957" s="1">
        <v>45008.083333333336</v>
      </c>
      <c r="C1957" s="1" t="str">
        <f t="shared" si="60"/>
        <v>03-2023</v>
      </c>
      <c r="D1957" s="2">
        <f t="shared" si="61"/>
        <v>12</v>
      </c>
      <c r="E1957" t="s">
        <v>18</v>
      </c>
      <c r="F1957" t="s">
        <v>14</v>
      </c>
      <c r="G1957" t="s">
        <v>20</v>
      </c>
      <c r="H1957" s="2">
        <v>67067</v>
      </c>
      <c r="I1957" s="2">
        <v>3</v>
      </c>
      <c r="J1957" s="2">
        <v>162933</v>
      </c>
      <c r="K1957" s="2">
        <v>122535</v>
      </c>
      <c r="L1957" s="2">
        <v>7</v>
      </c>
      <c r="M1957" t="str">
        <f>IF(Revv_bike_sales_data[[#This Row],[delivery_days]]&lt;=7, "Yes", "No")</f>
        <v>Yes</v>
      </c>
      <c r="N1957" t="s">
        <v>16</v>
      </c>
      <c r="O1957" s="2">
        <v>40398</v>
      </c>
    </row>
    <row r="1958" spans="1:15" x14ac:dyDescent="0.3">
      <c r="A1958" s="2">
        <v>1948</v>
      </c>
      <c r="B1958" s="1">
        <v>45008.125</v>
      </c>
      <c r="C1958" s="1" t="str">
        <f t="shared" si="60"/>
        <v>03-2023</v>
      </c>
      <c r="D1958" s="2">
        <f t="shared" si="61"/>
        <v>12</v>
      </c>
      <c r="E1958" t="s">
        <v>13</v>
      </c>
      <c r="F1958" t="s">
        <v>23</v>
      </c>
      <c r="G1958" t="s">
        <v>15</v>
      </c>
      <c r="H1958" s="2">
        <v>10708</v>
      </c>
      <c r="I1958" s="2">
        <v>1</v>
      </c>
      <c r="J1958" s="2">
        <v>162166</v>
      </c>
      <c r="K1958" s="2">
        <v>30063</v>
      </c>
      <c r="L1958" s="2">
        <v>11</v>
      </c>
      <c r="M1958" t="str">
        <f>IF(Revv_bike_sales_data[[#This Row],[delivery_days]]&lt;=7, "Yes", "No")</f>
        <v>No</v>
      </c>
      <c r="N1958" t="s">
        <v>16</v>
      </c>
      <c r="O1958" s="2">
        <v>132103</v>
      </c>
    </row>
    <row r="1959" spans="1:15" x14ac:dyDescent="0.3">
      <c r="A1959" s="2">
        <v>1949</v>
      </c>
      <c r="B1959" s="1">
        <v>45008.166666666664</v>
      </c>
      <c r="C1959" s="1" t="str">
        <f t="shared" si="60"/>
        <v>03-2023</v>
      </c>
      <c r="D1959" s="2">
        <f t="shared" si="61"/>
        <v>12</v>
      </c>
      <c r="E1959" t="s">
        <v>22</v>
      </c>
      <c r="F1959" t="s">
        <v>14</v>
      </c>
      <c r="G1959" t="s">
        <v>19</v>
      </c>
      <c r="H1959" s="2">
        <v>66598</v>
      </c>
      <c r="I1959" s="2">
        <v>9</v>
      </c>
      <c r="J1959" s="2">
        <v>129649</v>
      </c>
      <c r="K1959" s="2">
        <v>19723</v>
      </c>
      <c r="L1959" s="2">
        <v>8</v>
      </c>
      <c r="M1959" t="str">
        <f>IF(Revv_bike_sales_data[[#This Row],[delivery_days]]&lt;=7, "Yes", "No")</f>
        <v>No</v>
      </c>
      <c r="N1959" t="s">
        <v>24</v>
      </c>
      <c r="O1959" s="2">
        <v>109926</v>
      </c>
    </row>
    <row r="1960" spans="1:15" x14ac:dyDescent="0.3">
      <c r="A1960" s="2">
        <v>1950</v>
      </c>
      <c r="B1960" s="1">
        <v>45008.208333333336</v>
      </c>
      <c r="C1960" s="1" t="str">
        <f t="shared" si="60"/>
        <v>03-2023</v>
      </c>
      <c r="D1960" s="2">
        <f t="shared" si="61"/>
        <v>12</v>
      </c>
      <c r="E1960" t="s">
        <v>17</v>
      </c>
      <c r="F1960" t="s">
        <v>14</v>
      </c>
      <c r="G1960" t="s">
        <v>21</v>
      </c>
      <c r="H1960" s="2">
        <v>49992</v>
      </c>
      <c r="I1960" s="2">
        <v>6</v>
      </c>
      <c r="J1960" s="2">
        <v>76319</v>
      </c>
      <c r="K1960" s="2">
        <v>19213</v>
      </c>
      <c r="L1960" s="2">
        <v>5</v>
      </c>
      <c r="M1960" t="str">
        <f>IF(Revv_bike_sales_data[[#This Row],[delivery_days]]&lt;=7, "Yes", "No")</f>
        <v>Yes</v>
      </c>
      <c r="N1960" t="s">
        <v>16</v>
      </c>
      <c r="O1960" s="2">
        <v>57106</v>
      </c>
    </row>
    <row r="1961" spans="1:15" x14ac:dyDescent="0.3">
      <c r="A1961" s="2">
        <v>1951</v>
      </c>
      <c r="B1961" s="1">
        <v>45008.25</v>
      </c>
      <c r="C1961" s="1" t="str">
        <f t="shared" si="60"/>
        <v>03-2023</v>
      </c>
      <c r="D1961" s="2">
        <f t="shared" si="61"/>
        <v>12</v>
      </c>
      <c r="E1961" t="s">
        <v>25</v>
      </c>
      <c r="F1961" t="s">
        <v>14</v>
      </c>
      <c r="G1961" t="s">
        <v>19</v>
      </c>
      <c r="H1961" s="2">
        <v>21451</v>
      </c>
      <c r="I1961" s="2">
        <v>3</v>
      </c>
      <c r="J1961" s="2">
        <v>112846</v>
      </c>
      <c r="K1961" s="2">
        <v>37797</v>
      </c>
      <c r="L1961" s="2">
        <v>8</v>
      </c>
      <c r="M1961" t="str">
        <f>IF(Revv_bike_sales_data[[#This Row],[delivery_days]]&lt;=7, "Yes", "No")</f>
        <v>No</v>
      </c>
      <c r="N1961" t="s">
        <v>16</v>
      </c>
      <c r="O1961" s="2">
        <v>75049</v>
      </c>
    </row>
    <row r="1962" spans="1:15" x14ac:dyDescent="0.3">
      <c r="A1962" s="2">
        <v>1952</v>
      </c>
      <c r="B1962" s="1">
        <v>45008.291666666664</v>
      </c>
      <c r="C1962" s="1" t="str">
        <f t="shared" si="60"/>
        <v>03-2023</v>
      </c>
      <c r="D1962" s="2">
        <f t="shared" si="61"/>
        <v>12</v>
      </c>
      <c r="E1962" t="s">
        <v>22</v>
      </c>
      <c r="F1962" t="s">
        <v>23</v>
      </c>
      <c r="G1962" t="s">
        <v>15</v>
      </c>
      <c r="H1962" s="2">
        <v>49420</v>
      </c>
      <c r="I1962" s="2">
        <v>5</v>
      </c>
      <c r="J1962" s="2">
        <v>79808</v>
      </c>
      <c r="K1962" s="2">
        <v>116770</v>
      </c>
      <c r="L1962" s="2">
        <v>12</v>
      </c>
      <c r="M1962" t="str">
        <f>IF(Revv_bike_sales_data[[#This Row],[delivery_days]]&lt;=7, "Yes", "No")</f>
        <v>No</v>
      </c>
      <c r="N1962" t="s">
        <v>24</v>
      </c>
      <c r="O1962" s="2">
        <v>-36962</v>
      </c>
    </row>
    <row r="1963" spans="1:15" x14ac:dyDescent="0.3">
      <c r="A1963" s="2">
        <v>1953</v>
      </c>
      <c r="B1963" s="1">
        <v>45008.333333333336</v>
      </c>
      <c r="C1963" s="1" t="str">
        <f t="shared" si="60"/>
        <v>03-2023</v>
      </c>
      <c r="D1963" s="2">
        <f t="shared" si="61"/>
        <v>12</v>
      </c>
      <c r="E1963" t="s">
        <v>17</v>
      </c>
      <c r="F1963" t="s">
        <v>14</v>
      </c>
      <c r="G1963" t="s">
        <v>20</v>
      </c>
      <c r="H1963" s="2">
        <v>47266</v>
      </c>
      <c r="I1963" s="2">
        <v>2</v>
      </c>
      <c r="J1963" s="2">
        <v>162015</v>
      </c>
      <c r="K1963" s="2">
        <v>99946</v>
      </c>
      <c r="L1963" s="2">
        <v>3</v>
      </c>
      <c r="M1963" t="str">
        <f>IF(Revv_bike_sales_data[[#This Row],[delivery_days]]&lt;=7, "Yes", "No")</f>
        <v>Yes</v>
      </c>
      <c r="N1963" t="s">
        <v>16</v>
      </c>
      <c r="O1963" s="2">
        <v>62069</v>
      </c>
    </row>
    <row r="1964" spans="1:15" x14ac:dyDescent="0.3">
      <c r="A1964" s="2">
        <v>1954</v>
      </c>
      <c r="B1964" s="1">
        <v>45008.375</v>
      </c>
      <c r="C1964" s="1" t="str">
        <f t="shared" si="60"/>
        <v>03-2023</v>
      </c>
      <c r="D1964" s="2">
        <f t="shared" si="61"/>
        <v>12</v>
      </c>
      <c r="E1964" t="s">
        <v>22</v>
      </c>
      <c r="F1964" t="s">
        <v>23</v>
      </c>
      <c r="G1964" t="s">
        <v>20</v>
      </c>
      <c r="H1964" s="2">
        <v>57514</v>
      </c>
      <c r="I1964" s="2">
        <v>6</v>
      </c>
      <c r="J1964" s="2">
        <v>67616</v>
      </c>
      <c r="K1964" s="2">
        <v>103918</v>
      </c>
      <c r="L1964" s="2">
        <v>14</v>
      </c>
      <c r="M1964" t="str">
        <f>IF(Revv_bike_sales_data[[#This Row],[delivery_days]]&lt;=7, "Yes", "No")</f>
        <v>No</v>
      </c>
      <c r="N1964" t="s">
        <v>16</v>
      </c>
      <c r="O1964" s="2">
        <v>-36302</v>
      </c>
    </row>
    <row r="1965" spans="1:15" x14ac:dyDescent="0.3">
      <c r="A1965" s="2">
        <v>1955</v>
      </c>
      <c r="B1965" s="1">
        <v>45008.416666666664</v>
      </c>
      <c r="C1965" s="1" t="str">
        <f t="shared" si="60"/>
        <v>03-2023</v>
      </c>
      <c r="D1965" s="2">
        <f t="shared" si="61"/>
        <v>12</v>
      </c>
      <c r="E1965" t="s">
        <v>13</v>
      </c>
      <c r="F1965" t="s">
        <v>14</v>
      </c>
      <c r="G1965" t="s">
        <v>15</v>
      </c>
      <c r="H1965" s="2">
        <v>28851</v>
      </c>
      <c r="I1965" s="2">
        <v>5</v>
      </c>
      <c r="J1965" s="2">
        <v>99329</v>
      </c>
      <c r="K1965" s="2">
        <v>60217</v>
      </c>
      <c r="L1965" s="2">
        <v>12</v>
      </c>
      <c r="M1965" t="str">
        <f>IF(Revv_bike_sales_data[[#This Row],[delivery_days]]&lt;=7, "Yes", "No")</f>
        <v>No</v>
      </c>
      <c r="N1965" t="s">
        <v>16</v>
      </c>
      <c r="O1965" s="2">
        <v>39112</v>
      </c>
    </row>
    <row r="1966" spans="1:15" x14ac:dyDescent="0.3">
      <c r="A1966" s="2">
        <v>1956</v>
      </c>
      <c r="B1966" s="1">
        <v>45008.458333333336</v>
      </c>
      <c r="C1966" s="1" t="str">
        <f t="shared" si="60"/>
        <v>03-2023</v>
      </c>
      <c r="D1966" s="2">
        <f t="shared" si="61"/>
        <v>12</v>
      </c>
      <c r="E1966" t="s">
        <v>13</v>
      </c>
      <c r="F1966" t="s">
        <v>14</v>
      </c>
      <c r="G1966" t="s">
        <v>20</v>
      </c>
      <c r="H1966" s="2">
        <v>84716</v>
      </c>
      <c r="I1966" s="2">
        <v>2</v>
      </c>
      <c r="J1966" s="2">
        <v>152957</v>
      </c>
      <c r="K1966" s="2">
        <v>83283</v>
      </c>
      <c r="L1966" s="2">
        <v>7</v>
      </c>
      <c r="M1966" t="str">
        <f>IF(Revv_bike_sales_data[[#This Row],[delivery_days]]&lt;=7, "Yes", "No")</f>
        <v>Yes</v>
      </c>
      <c r="N1966" t="s">
        <v>16</v>
      </c>
      <c r="O1966" s="2">
        <v>69674</v>
      </c>
    </row>
    <row r="1967" spans="1:15" x14ac:dyDescent="0.3">
      <c r="A1967" s="2">
        <v>1957</v>
      </c>
      <c r="B1967" s="1">
        <v>45008.5</v>
      </c>
      <c r="C1967" s="1" t="str">
        <f t="shared" si="60"/>
        <v>03-2023</v>
      </c>
      <c r="D1967" s="2">
        <f t="shared" si="61"/>
        <v>12</v>
      </c>
      <c r="E1967" t="s">
        <v>13</v>
      </c>
      <c r="F1967" t="s">
        <v>14</v>
      </c>
      <c r="G1967" t="s">
        <v>15</v>
      </c>
      <c r="H1967" s="2">
        <v>49886</v>
      </c>
      <c r="I1967" s="2">
        <v>3</v>
      </c>
      <c r="J1967" s="2">
        <v>81152</v>
      </c>
      <c r="K1967" s="2">
        <v>38655</v>
      </c>
      <c r="L1967" s="2">
        <v>8</v>
      </c>
      <c r="M1967" t="str">
        <f>IF(Revv_bike_sales_data[[#This Row],[delivery_days]]&lt;=7, "Yes", "No")</f>
        <v>No</v>
      </c>
      <c r="N1967" t="s">
        <v>16</v>
      </c>
      <c r="O1967" s="2">
        <v>42497</v>
      </c>
    </row>
    <row r="1968" spans="1:15" x14ac:dyDescent="0.3">
      <c r="A1968" s="2">
        <v>1958</v>
      </c>
      <c r="B1968" s="1">
        <v>45008.541666666664</v>
      </c>
      <c r="C1968" s="1" t="str">
        <f t="shared" si="60"/>
        <v>03-2023</v>
      </c>
      <c r="D1968" s="2">
        <f t="shared" si="61"/>
        <v>12</v>
      </c>
      <c r="E1968" t="s">
        <v>25</v>
      </c>
      <c r="F1968" t="s">
        <v>14</v>
      </c>
      <c r="G1968" t="s">
        <v>20</v>
      </c>
      <c r="H1968" s="2">
        <v>87622</v>
      </c>
      <c r="I1968" s="2">
        <v>9</v>
      </c>
      <c r="J1968" s="2">
        <v>67351</v>
      </c>
      <c r="K1968" s="2">
        <v>110884</v>
      </c>
      <c r="L1968" s="2">
        <v>7</v>
      </c>
      <c r="M1968" t="str">
        <f>IF(Revv_bike_sales_data[[#This Row],[delivery_days]]&lt;=7, "Yes", "No")</f>
        <v>Yes</v>
      </c>
      <c r="N1968" t="s">
        <v>24</v>
      </c>
      <c r="O1968" s="2">
        <v>-43533</v>
      </c>
    </row>
    <row r="1969" spans="1:15" x14ac:dyDescent="0.3">
      <c r="A1969" s="2">
        <v>1959</v>
      </c>
      <c r="B1969" s="1">
        <v>45008.583333333336</v>
      </c>
      <c r="C1969" s="1" t="str">
        <f t="shared" si="60"/>
        <v>03-2023</v>
      </c>
      <c r="D1969" s="2">
        <f t="shared" si="61"/>
        <v>12</v>
      </c>
      <c r="E1969" t="s">
        <v>13</v>
      </c>
      <c r="F1969" t="s">
        <v>14</v>
      </c>
      <c r="G1969" t="s">
        <v>20</v>
      </c>
      <c r="H1969" s="2">
        <v>9808</v>
      </c>
      <c r="I1969" s="2">
        <v>4</v>
      </c>
      <c r="J1969" s="2">
        <v>147377</v>
      </c>
      <c r="K1969" s="2">
        <v>92990</v>
      </c>
      <c r="L1969" s="2">
        <v>14</v>
      </c>
      <c r="M1969" t="str">
        <f>IF(Revv_bike_sales_data[[#This Row],[delivery_days]]&lt;=7, "Yes", "No")</f>
        <v>No</v>
      </c>
      <c r="N1969" t="s">
        <v>16</v>
      </c>
      <c r="O1969" s="2">
        <v>54387</v>
      </c>
    </row>
    <row r="1970" spans="1:15" x14ac:dyDescent="0.3">
      <c r="A1970" s="2">
        <v>1960</v>
      </c>
      <c r="B1970" s="1">
        <v>45008.625</v>
      </c>
      <c r="C1970" s="1" t="str">
        <f t="shared" si="60"/>
        <v>03-2023</v>
      </c>
      <c r="D1970" s="2">
        <f t="shared" si="61"/>
        <v>12</v>
      </c>
      <c r="E1970" t="s">
        <v>17</v>
      </c>
      <c r="F1970" t="s">
        <v>14</v>
      </c>
      <c r="G1970" t="s">
        <v>20</v>
      </c>
      <c r="H1970" s="2">
        <v>59752</v>
      </c>
      <c r="I1970" s="2">
        <v>8</v>
      </c>
      <c r="J1970" s="2">
        <v>85616</v>
      </c>
      <c r="K1970" s="2">
        <v>27587</v>
      </c>
      <c r="L1970" s="2">
        <v>2</v>
      </c>
      <c r="M1970" t="str">
        <f>IF(Revv_bike_sales_data[[#This Row],[delivery_days]]&lt;=7, "Yes", "No")</f>
        <v>Yes</v>
      </c>
      <c r="N1970" t="s">
        <v>16</v>
      </c>
      <c r="O1970" s="2">
        <v>58029</v>
      </c>
    </row>
    <row r="1971" spans="1:15" x14ac:dyDescent="0.3">
      <c r="A1971" s="2">
        <v>1961</v>
      </c>
      <c r="B1971" s="1">
        <v>45008.666666666664</v>
      </c>
      <c r="C1971" s="1" t="str">
        <f t="shared" si="60"/>
        <v>03-2023</v>
      </c>
      <c r="D1971" s="2">
        <f t="shared" si="61"/>
        <v>12</v>
      </c>
      <c r="E1971" t="s">
        <v>22</v>
      </c>
      <c r="F1971" t="s">
        <v>14</v>
      </c>
      <c r="G1971" t="s">
        <v>21</v>
      </c>
      <c r="H1971" s="2">
        <v>75645</v>
      </c>
      <c r="I1971" s="2">
        <v>5</v>
      </c>
      <c r="J1971" s="2">
        <v>179969</v>
      </c>
      <c r="K1971" s="2">
        <v>37555</v>
      </c>
      <c r="L1971" s="2">
        <v>8</v>
      </c>
      <c r="M1971" t="str">
        <f>IF(Revv_bike_sales_data[[#This Row],[delivery_days]]&lt;=7, "Yes", "No")</f>
        <v>No</v>
      </c>
      <c r="N1971" t="s">
        <v>16</v>
      </c>
      <c r="O1971" s="2">
        <v>142414</v>
      </c>
    </row>
    <row r="1972" spans="1:15" x14ac:dyDescent="0.3">
      <c r="A1972" s="2">
        <v>1962</v>
      </c>
      <c r="B1972" s="1">
        <v>45008.708333333336</v>
      </c>
      <c r="C1972" s="1" t="str">
        <f t="shared" si="60"/>
        <v>03-2023</v>
      </c>
      <c r="D1972" s="2">
        <f t="shared" si="61"/>
        <v>12</v>
      </c>
      <c r="E1972" t="s">
        <v>18</v>
      </c>
      <c r="F1972" t="s">
        <v>14</v>
      </c>
      <c r="G1972" t="s">
        <v>21</v>
      </c>
      <c r="H1972" s="2">
        <v>95531</v>
      </c>
      <c r="I1972" s="2">
        <v>3</v>
      </c>
      <c r="J1972" s="2">
        <v>48010</v>
      </c>
      <c r="K1972" s="2">
        <v>43071</v>
      </c>
      <c r="L1972" s="2">
        <v>6</v>
      </c>
      <c r="M1972" t="str">
        <f>IF(Revv_bike_sales_data[[#This Row],[delivery_days]]&lt;=7, "Yes", "No")</f>
        <v>Yes</v>
      </c>
      <c r="N1972" t="s">
        <v>16</v>
      </c>
      <c r="O1972" s="2">
        <v>4939</v>
      </c>
    </row>
    <row r="1973" spans="1:15" x14ac:dyDescent="0.3">
      <c r="A1973" s="2">
        <v>1963</v>
      </c>
      <c r="B1973" s="1">
        <v>45008.75</v>
      </c>
      <c r="C1973" s="1" t="str">
        <f t="shared" si="60"/>
        <v>03-2023</v>
      </c>
      <c r="D1973" s="2">
        <f t="shared" si="61"/>
        <v>12</v>
      </c>
      <c r="E1973" t="s">
        <v>17</v>
      </c>
      <c r="F1973" t="s">
        <v>14</v>
      </c>
      <c r="G1973" t="s">
        <v>15</v>
      </c>
      <c r="H1973" s="2">
        <v>83711</v>
      </c>
      <c r="I1973" s="2">
        <v>6</v>
      </c>
      <c r="J1973" s="2">
        <v>146822</v>
      </c>
      <c r="K1973" s="2">
        <v>35239</v>
      </c>
      <c r="L1973" s="2">
        <v>10</v>
      </c>
      <c r="M1973" t="str">
        <f>IF(Revv_bike_sales_data[[#This Row],[delivery_days]]&lt;=7, "Yes", "No")</f>
        <v>No</v>
      </c>
      <c r="N1973" t="s">
        <v>16</v>
      </c>
      <c r="O1973" s="2">
        <v>111583</v>
      </c>
    </row>
    <row r="1974" spans="1:15" x14ac:dyDescent="0.3">
      <c r="A1974" s="2">
        <v>1964</v>
      </c>
      <c r="B1974" s="1">
        <v>45008.791666666664</v>
      </c>
      <c r="C1974" s="1" t="str">
        <f t="shared" si="60"/>
        <v>03-2023</v>
      </c>
      <c r="D1974" s="2">
        <f t="shared" si="61"/>
        <v>12</v>
      </c>
      <c r="E1974" t="s">
        <v>17</v>
      </c>
      <c r="F1974" t="s">
        <v>23</v>
      </c>
      <c r="G1974" t="s">
        <v>21</v>
      </c>
      <c r="H1974" s="2">
        <v>28564</v>
      </c>
      <c r="I1974" s="2">
        <v>1</v>
      </c>
      <c r="J1974" s="2">
        <v>176186</v>
      </c>
      <c r="K1974" s="2">
        <v>138441</v>
      </c>
      <c r="L1974" s="2">
        <v>3</v>
      </c>
      <c r="M1974" t="str">
        <f>IF(Revv_bike_sales_data[[#This Row],[delivery_days]]&lt;=7, "Yes", "No")</f>
        <v>Yes</v>
      </c>
      <c r="N1974" t="s">
        <v>16</v>
      </c>
      <c r="O1974" s="2">
        <v>37745</v>
      </c>
    </row>
    <row r="1975" spans="1:15" x14ac:dyDescent="0.3">
      <c r="A1975" s="2">
        <v>1965</v>
      </c>
      <c r="B1975" s="1">
        <v>45008.833333333336</v>
      </c>
      <c r="C1975" s="1" t="str">
        <f t="shared" si="60"/>
        <v>03-2023</v>
      </c>
      <c r="D1975" s="2">
        <f t="shared" si="61"/>
        <v>12</v>
      </c>
      <c r="E1975" t="s">
        <v>13</v>
      </c>
      <c r="F1975" t="s">
        <v>14</v>
      </c>
      <c r="G1975" t="s">
        <v>15</v>
      </c>
      <c r="H1975" s="2">
        <v>54379</v>
      </c>
      <c r="I1975" s="2">
        <v>3</v>
      </c>
      <c r="J1975" s="2">
        <v>44050</v>
      </c>
      <c r="K1975" s="2">
        <v>112138</v>
      </c>
      <c r="L1975" s="2">
        <v>4</v>
      </c>
      <c r="M1975" t="str">
        <f>IF(Revv_bike_sales_data[[#This Row],[delivery_days]]&lt;=7, "Yes", "No")</f>
        <v>Yes</v>
      </c>
      <c r="N1975" t="s">
        <v>16</v>
      </c>
      <c r="O1975" s="2">
        <v>-68088</v>
      </c>
    </row>
    <row r="1976" spans="1:15" x14ac:dyDescent="0.3">
      <c r="A1976" s="2">
        <v>1966</v>
      </c>
      <c r="B1976" s="1">
        <v>45008.875</v>
      </c>
      <c r="C1976" s="1" t="str">
        <f t="shared" si="60"/>
        <v>03-2023</v>
      </c>
      <c r="D1976" s="2">
        <f t="shared" si="61"/>
        <v>12</v>
      </c>
      <c r="E1976" t="s">
        <v>25</v>
      </c>
      <c r="F1976" t="s">
        <v>14</v>
      </c>
      <c r="G1976" t="s">
        <v>19</v>
      </c>
      <c r="H1976" s="2">
        <v>9220</v>
      </c>
      <c r="I1976" s="2">
        <v>4</v>
      </c>
      <c r="J1976" s="2">
        <v>46125</v>
      </c>
      <c r="K1976" s="2">
        <v>64151</v>
      </c>
      <c r="L1976" s="2">
        <v>7</v>
      </c>
      <c r="M1976" t="str">
        <f>IF(Revv_bike_sales_data[[#This Row],[delivery_days]]&lt;=7, "Yes", "No")</f>
        <v>Yes</v>
      </c>
      <c r="N1976" t="s">
        <v>16</v>
      </c>
      <c r="O1976" s="2">
        <v>-18026</v>
      </c>
    </row>
    <row r="1977" spans="1:15" x14ac:dyDescent="0.3">
      <c r="A1977" s="2">
        <v>1967</v>
      </c>
      <c r="B1977" s="1">
        <v>45008.916666666664</v>
      </c>
      <c r="C1977" s="1" t="str">
        <f t="shared" si="60"/>
        <v>03-2023</v>
      </c>
      <c r="D1977" s="2">
        <f t="shared" si="61"/>
        <v>12</v>
      </c>
      <c r="E1977" t="s">
        <v>22</v>
      </c>
      <c r="F1977" t="s">
        <v>14</v>
      </c>
      <c r="G1977" t="s">
        <v>19</v>
      </c>
      <c r="H1977" s="2">
        <v>43440</v>
      </c>
      <c r="I1977" s="2">
        <v>3</v>
      </c>
      <c r="J1977" s="2">
        <v>176468</v>
      </c>
      <c r="K1977" s="2">
        <v>17203</v>
      </c>
      <c r="L1977" s="2">
        <v>3</v>
      </c>
      <c r="M1977" t="str">
        <f>IF(Revv_bike_sales_data[[#This Row],[delivery_days]]&lt;=7, "Yes", "No")</f>
        <v>Yes</v>
      </c>
      <c r="N1977" t="s">
        <v>24</v>
      </c>
      <c r="O1977" s="2">
        <v>159265</v>
      </c>
    </row>
    <row r="1978" spans="1:15" x14ac:dyDescent="0.3">
      <c r="A1978" s="2">
        <v>1968</v>
      </c>
      <c r="B1978" s="1">
        <v>45008.958333333336</v>
      </c>
      <c r="C1978" s="1" t="str">
        <f t="shared" si="60"/>
        <v>03-2023</v>
      </c>
      <c r="D1978" s="2">
        <f t="shared" si="61"/>
        <v>12</v>
      </c>
      <c r="E1978" t="s">
        <v>25</v>
      </c>
      <c r="F1978" t="s">
        <v>14</v>
      </c>
      <c r="G1978" t="s">
        <v>21</v>
      </c>
      <c r="H1978" s="2">
        <v>80493</v>
      </c>
      <c r="I1978" s="2">
        <v>3</v>
      </c>
      <c r="J1978" s="2">
        <v>117661</v>
      </c>
      <c r="K1978" s="2">
        <v>28635</v>
      </c>
      <c r="L1978" s="2">
        <v>1</v>
      </c>
      <c r="M1978" t="str">
        <f>IF(Revv_bike_sales_data[[#This Row],[delivery_days]]&lt;=7, "Yes", "No")</f>
        <v>Yes</v>
      </c>
      <c r="N1978" t="s">
        <v>16</v>
      </c>
      <c r="O1978" s="2">
        <v>89026</v>
      </c>
    </row>
    <row r="1979" spans="1:15" x14ac:dyDescent="0.3">
      <c r="A1979" s="2">
        <v>1969</v>
      </c>
      <c r="B1979" s="1">
        <v>45009</v>
      </c>
      <c r="C1979" s="1" t="str">
        <f t="shared" si="60"/>
        <v>03-2023</v>
      </c>
      <c r="D1979" s="2">
        <f t="shared" si="61"/>
        <v>12</v>
      </c>
      <c r="E1979" t="s">
        <v>22</v>
      </c>
      <c r="F1979" t="s">
        <v>14</v>
      </c>
      <c r="G1979" t="s">
        <v>19</v>
      </c>
      <c r="H1979" s="2">
        <v>68975</v>
      </c>
      <c r="I1979" s="2">
        <v>8</v>
      </c>
      <c r="J1979" s="2">
        <v>113116</v>
      </c>
      <c r="K1979" s="2">
        <v>67571</v>
      </c>
      <c r="L1979" s="2">
        <v>6</v>
      </c>
      <c r="M1979" t="str">
        <f>IF(Revv_bike_sales_data[[#This Row],[delivery_days]]&lt;=7, "Yes", "No")</f>
        <v>Yes</v>
      </c>
      <c r="N1979" t="s">
        <v>24</v>
      </c>
      <c r="O1979" s="2">
        <v>45545</v>
      </c>
    </row>
    <row r="1980" spans="1:15" x14ac:dyDescent="0.3">
      <c r="A1980" s="2">
        <v>1970</v>
      </c>
      <c r="B1980" s="1">
        <v>45009.041666666664</v>
      </c>
      <c r="C1980" s="1" t="str">
        <f t="shared" si="60"/>
        <v>03-2023</v>
      </c>
      <c r="D1980" s="2">
        <f t="shared" si="61"/>
        <v>12</v>
      </c>
      <c r="E1980" t="s">
        <v>22</v>
      </c>
      <c r="F1980" t="s">
        <v>14</v>
      </c>
      <c r="G1980" t="s">
        <v>19</v>
      </c>
      <c r="H1980" s="2">
        <v>47613</v>
      </c>
      <c r="I1980" s="2">
        <v>1</v>
      </c>
      <c r="J1980" s="2">
        <v>144233</v>
      </c>
      <c r="K1980" s="2">
        <v>16144</v>
      </c>
      <c r="L1980" s="2">
        <v>3</v>
      </c>
      <c r="M1980" t="str">
        <f>IF(Revv_bike_sales_data[[#This Row],[delivery_days]]&lt;=7, "Yes", "No")</f>
        <v>Yes</v>
      </c>
      <c r="N1980" t="s">
        <v>16</v>
      </c>
      <c r="O1980" s="2">
        <v>128089</v>
      </c>
    </row>
    <row r="1981" spans="1:15" x14ac:dyDescent="0.3">
      <c r="A1981" s="2">
        <v>1971</v>
      </c>
      <c r="B1981" s="1">
        <v>45009.083333333336</v>
      </c>
      <c r="C1981" s="1" t="str">
        <f t="shared" si="60"/>
        <v>03-2023</v>
      </c>
      <c r="D1981" s="2">
        <f t="shared" si="61"/>
        <v>12</v>
      </c>
      <c r="E1981" t="s">
        <v>25</v>
      </c>
      <c r="F1981" t="s">
        <v>14</v>
      </c>
      <c r="G1981" t="s">
        <v>20</v>
      </c>
      <c r="H1981" s="2">
        <v>49426</v>
      </c>
      <c r="I1981" s="2">
        <v>5</v>
      </c>
      <c r="J1981" s="2">
        <v>179646</v>
      </c>
      <c r="K1981" s="2">
        <v>47699</v>
      </c>
      <c r="L1981" s="2">
        <v>11</v>
      </c>
      <c r="M1981" t="str">
        <f>IF(Revv_bike_sales_data[[#This Row],[delivery_days]]&lt;=7, "Yes", "No")</f>
        <v>No</v>
      </c>
      <c r="N1981" t="s">
        <v>16</v>
      </c>
      <c r="O1981" s="2">
        <v>131947</v>
      </c>
    </row>
    <row r="1982" spans="1:15" x14ac:dyDescent="0.3">
      <c r="A1982" s="2">
        <v>1972</v>
      </c>
      <c r="B1982" s="1">
        <v>45009.125</v>
      </c>
      <c r="C1982" s="1" t="str">
        <f t="shared" si="60"/>
        <v>03-2023</v>
      </c>
      <c r="D1982" s="2">
        <f t="shared" si="61"/>
        <v>12</v>
      </c>
      <c r="E1982" t="s">
        <v>17</v>
      </c>
      <c r="F1982" t="s">
        <v>14</v>
      </c>
      <c r="G1982" t="s">
        <v>20</v>
      </c>
      <c r="H1982" s="2">
        <v>38703</v>
      </c>
      <c r="I1982" s="2">
        <v>7</v>
      </c>
      <c r="J1982" s="2">
        <v>115155</v>
      </c>
      <c r="K1982" s="2">
        <v>99619</v>
      </c>
      <c r="L1982" s="2">
        <v>10</v>
      </c>
      <c r="M1982" t="str">
        <f>IF(Revv_bike_sales_data[[#This Row],[delivery_days]]&lt;=7, "Yes", "No")</f>
        <v>No</v>
      </c>
      <c r="N1982" t="s">
        <v>16</v>
      </c>
      <c r="O1982" s="2">
        <v>15536</v>
      </c>
    </row>
    <row r="1983" spans="1:15" x14ac:dyDescent="0.3">
      <c r="A1983" s="2">
        <v>1973</v>
      </c>
      <c r="B1983" s="1">
        <v>45009.166666666664</v>
      </c>
      <c r="C1983" s="1" t="str">
        <f t="shared" si="60"/>
        <v>03-2023</v>
      </c>
      <c r="D1983" s="2">
        <f t="shared" si="61"/>
        <v>12</v>
      </c>
      <c r="E1983" t="s">
        <v>22</v>
      </c>
      <c r="F1983" t="s">
        <v>14</v>
      </c>
      <c r="G1983" t="s">
        <v>15</v>
      </c>
      <c r="H1983" s="2">
        <v>89401</v>
      </c>
      <c r="I1983" s="2">
        <v>7</v>
      </c>
      <c r="J1983" s="2">
        <v>154843</v>
      </c>
      <c r="K1983" s="2">
        <v>106663</v>
      </c>
      <c r="L1983" s="2">
        <v>6</v>
      </c>
      <c r="M1983" t="str">
        <f>IF(Revv_bike_sales_data[[#This Row],[delivery_days]]&lt;=7, "Yes", "No")</f>
        <v>Yes</v>
      </c>
      <c r="N1983" t="s">
        <v>24</v>
      </c>
      <c r="O1983" s="2">
        <v>48180</v>
      </c>
    </row>
    <row r="1984" spans="1:15" x14ac:dyDescent="0.3">
      <c r="A1984" s="2">
        <v>1974</v>
      </c>
      <c r="B1984" s="1">
        <v>45009.208333333336</v>
      </c>
      <c r="C1984" s="1" t="str">
        <f t="shared" si="60"/>
        <v>03-2023</v>
      </c>
      <c r="D1984" s="2">
        <f t="shared" si="61"/>
        <v>12</v>
      </c>
      <c r="E1984" t="s">
        <v>25</v>
      </c>
      <c r="F1984" t="s">
        <v>14</v>
      </c>
      <c r="G1984" t="s">
        <v>19</v>
      </c>
      <c r="H1984" s="2">
        <v>5892</v>
      </c>
      <c r="I1984" s="2">
        <v>6</v>
      </c>
      <c r="J1984" s="2">
        <v>38869</v>
      </c>
      <c r="K1984" s="2">
        <v>27213</v>
      </c>
      <c r="L1984" s="2">
        <v>10</v>
      </c>
      <c r="M1984" t="str">
        <f>IF(Revv_bike_sales_data[[#This Row],[delivery_days]]&lt;=7, "Yes", "No")</f>
        <v>No</v>
      </c>
      <c r="N1984" t="s">
        <v>24</v>
      </c>
      <c r="O1984" s="2">
        <v>11656</v>
      </c>
    </row>
    <row r="1985" spans="1:15" x14ac:dyDescent="0.3">
      <c r="A1985" s="2">
        <v>1975</v>
      </c>
      <c r="B1985" s="1">
        <v>45009.25</v>
      </c>
      <c r="C1985" s="1" t="str">
        <f t="shared" si="60"/>
        <v>03-2023</v>
      </c>
      <c r="D1985" s="2">
        <f t="shared" si="61"/>
        <v>12</v>
      </c>
      <c r="E1985" t="s">
        <v>22</v>
      </c>
      <c r="F1985" t="s">
        <v>14</v>
      </c>
      <c r="G1985" t="s">
        <v>15</v>
      </c>
      <c r="H1985" s="2">
        <v>26405</v>
      </c>
      <c r="I1985" s="2">
        <v>9</v>
      </c>
      <c r="J1985" s="2">
        <v>87167</v>
      </c>
      <c r="K1985" s="2">
        <v>31944</v>
      </c>
      <c r="L1985" s="2">
        <v>12</v>
      </c>
      <c r="M1985" t="str">
        <f>IF(Revv_bike_sales_data[[#This Row],[delivery_days]]&lt;=7, "Yes", "No")</f>
        <v>No</v>
      </c>
      <c r="N1985" t="s">
        <v>24</v>
      </c>
      <c r="O1985" s="2">
        <v>55223</v>
      </c>
    </row>
    <row r="1986" spans="1:15" x14ac:dyDescent="0.3">
      <c r="A1986" s="2">
        <v>1976</v>
      </c>
      <c r="B1986" s="1">
        <v>45009.291666666664</v>
      </c>
      <c r="C1986" s="1" t="str">
        <f t="shared" si="60"/>
        <v>03-2023</v>
      </c>
      <c r="D1986" s="2">
        <f t="shared" si="61"/>
        <v>12</v>
      </c>
      <c r="E1986" t="s">
        <v>18</v>
      </c>
      <c r="F1986" t="s">
        <v>14</v>
      </c>
      <c r="G1986" t="s">
        <v>15</v>
      </c>
      <c r="H1986" s="2">
        <v>74008</v>
      </c>
      <c r="I1986" s="2">
        <v>3</v>
      </c>
      <c r="J1986" s="2">
        <v>168194</v>
      </c>
      <c r="K1986" s="2">
        <v>81723</v>
      </c>
      <c r="L1986" s="2">
        <v>3</v>
      </c>
      <c r="M1986" t="str">
        <f>IF(Revv_bike_sales_data[[#This Row],[delivery_days]]&lt;=7, "Yes", "No")</f>
        <v>Yes</v>
      </c>
      <c r="N1986" t="s">
        <v>24</v>
      </c>
      <c r="O1986" s="2">
        <v>86471</v>
      </c>
    </row>
    <row r="1987" spans="1:15" x14ac:dyDescent="0.3">
      <c r="A1987" s="2">
        <v>1977</v>
      </c>
      <c r="B1987" s="1">
        <v>45009.333333333336</v>
      </c>
      <c r="C1987" s="1" t="str">
        <f t="shared" si="60"/>
        <v>03-2023</v>
      </c>
      <c r="D1987" s="2">
        <f t="shared" si="61"/>
        <v>12</v>
      </c>
      <c r="E1987" t="s">
        <v>17</v>
      </c>
      <c r="F1987" t="s">
        <v>14</v>
      </c>
      <c r="G1987" t="s">
        <v>19</v>
      </c>
      <c r="H1987" s="2">
        <v>50885</v>
      </c>
      <c r="I1987" s="2">
        <v>6</v>
      </c>
      <c r="J1987" s="2">
        <v>169407</v>
      </c>
      <c r="K1987" s="2">
        <v>83669</v>
      </c>
      <c r="L1987" s="2">
        <v>6</v>
      </c>
      <c r="M1987" t="str">
        <f>IF(Revv_bike_sales_data[[#This Row],[delivery_days]]&lt;=7, "Yes", "No")</f>
        <v>Yes</v>
      </c>
      <c r="N1987" t="s">
        <v>16</v>
      </c>
      <c r="O1987" s="2">
        <v>85738</v>
      </c>
    </row>
    <row r="1988" spans="1:15" x14ac:dyDescent="0.3">
      <c r="A1988" s="2">
        <v>1978</v>
      </c>
      <c r="B1988" s="1">
        <v>45009.375</v>
      </c>
      <c r="C1988" s="1" t="str">
        <f t="shared" si="60"/>
        <v>03-2023</v>
      </c>
      <c r="D1988" s="2">
        <f t="shared" si="61"/>
        <v>12</v>
      </c>
      <c r="E1988" t="s">
        <v>13</v>
      </c>
      <c r="F1988" t="s">
        <v>14</v>
      </c>
      <c r="G1988" t="s">
        <v>21</v>
      </c>
      <c r="H1988" s="2">
        <v>31153</v>
      </c>
      <c r="I1988" s="2">
        <v>9</v>
      </c>
      <c r="J1988" s="2">
        <v>88576</v>
      </c>
      <c r="K1988" s="2">
        <v>83947</v>
      </c>
      <c r="L1988" s="2">
        <v>11</v>
      </c>
      <c r="M1988" t="str">
        <f>IF(Revv_bike_sales_data[[#This Row],[delivery_days]]&lt;=7, "Yes", "No")</f>
        <v>No</v>
      </c>
      <c r="N1988" t="s">
        <v>16</v>
      </c>
      <c r="O1988" s="2">
        <v>4629</v>
      </c>
    </row>
    <row r="1989" spans="1:15" x14ac:dyDescent="0.3">
      <c r="A1989" s="2">
        <v>1979</v>
      </c>
      <c r="B1989" s="1">
        <v>45009.416666666664</v>
      </c>
      <c r="C1989" s="1" t="str">
        <f t="shared" si="60"/>
        <v>03-2023</v>
      </c>
      <c r="D1989" s="2">
        <f t="shared" si="61"/>
        <v>12</v>
      </c>
      <c r="E1989" t="s">
        <v>22</v>
      </c>
      <c r="F1989" t="s">
        <v>14</v>
      </c>
      <c r="G1989" t="s">
        <v>19</v>
      </c>
      <c r="H1989" s="2">
        <v>92365</v>
      </c>
      <c r="I1989" s="2">
        <v>5</v>
      </c>
      <c r="J1989" s="2">
        <v>46677</v>
      </c>
      <c r="K1989" s="2">
        <v>49457</v>
      </c>
      <c r="L1989" s="2">
        <v>4</v>
      </c>
      <c r="M1989" t="str">
        <f>IF(Revv_bike_sales_data[[#This Row],[delivery_days]]&lt;=7, "Yes", "No")</f>
        <v>Yes</v>
      </c>
      <c r="N1989" t="s">
        <v>16</v>
      </c>
      <c r="O1989" s="2">
        <v>-2780</v>
      </c>
    </row>
    <row r="1990" spans="1:15" x14ac:dyDescent="0.3">
      <c r="A1990" s="2">
        <v>1980</v>
      </c>
      <c r="B1990" s="1">
        <v>45009.458333333336</v>
      </c>
      <c r="C1990" s="1" t="str">
        <f t="shared" si="60"/>
        <v>03-2023</v>
      </c>
      <c r="D1990" s="2">
        <f t="shared" si="61"/>
        <v>12</v>
      </c>
      <c r="E1990" t="s">
        <v>18</v>
      </c>
      <c r="F1990" t="s">
        <v>23</v>
      </c>
      <c r="G1990" t="s">
        <v>20</v>
      </c>
      <c r="H1990" s="2">
        <v>85220</v>
      </c>
      <c r="I1990" s="2">
        <v>5</v>
      </c>
      <c r="J1990" s="2">
        <v>150662</v>
      </c>
      <c r="K1990" s="2">
        <v>117711</v>
      </c>
      <c r="L1990" s="2">
        <v>13</v>
      </c>
      <c r="M1990" t="str">
        <f>IF(Revv_bike_sales_data[[#This Row],[delivery_days]]&lt;=7, "Yes", "No")</f>
        <v>No</v>
      </c>
      <c r="N1990" t="s">
        <v>16</v>
      </c>
      <c r="O1990" s="2">
        <v>32951</v>
      </c>
    </row>
    <row r="1991" spans="1:15" x14ac:dyDescent="0.3">
      <c r="A1991" s="2">
        <v>1981</v>
      </c>
      <c r="B1991" s="1">
        <v>45009.5</v>
      </c>
      <c r="C1991" s="1" t="str">
        <f t="shared" si="60"/>
        <v>03-2023</v>
      </c>
      <c r="D1991" s="2">
        <f t="shared" si="61"/>
        <v>12</v>
      </c>
      <c r="E1991" t="s">
        <v>13</v>
      </c>
      <c r="F1991" t="s">
        <v>14</v>
      </c>
      <c r="G1991" t="s">
        <v>19</v>
      </c>
      <c r="H1991" s="2">
        <v>15299</v>
      </c>
      <c r="I1991" s="2">
        <v>1</v>
      </c>
      <c r="J1991" s="2">
        <v>101794</v>
      </c>
      <c r="K1991" s="2">
        <v>50191</v>
      </c>
      <c r="L1991" s="2">
        <v>4</v>
      </c>
      <c r="M1991" t="str">
        <f>IF(Revv_bike_sales_data[[#This Row],[delivery_days]]&lt;=7, "Yes", "No")</f>
        <v>Yes</v>
      </c>
      <c r="N1991" t="s">
        <v>24</v>
      </c>
      <c r="O1991" s="2">
        <v>51603</v>
      </c>
    </row>
    <row r="1992" spans="1:15" x14ac:dyDescent="0.3">
      <c r="A1992" s="2">
        <v>1982</v>
      </c>
      <c r="B1992" s="1">
        <v>45009.541666666664</v>
      </c>
      <c r="C1992" s="1" t="str">
        <f t="shared" si="60"/>
        <v>03-2023</v>
      </c>
      <c r="D1992" s="2">
        <f t="shared" si="61"/>
        <v>12</v>
      </c>
      <c r="E1992" t="s">
        <v>13</v>
      </c>
      <c r="F1992" t="s">
        <v>14</v>
      </c>
      <c r="G1992" t="s">
        <v>21</v>
      </c>
      <c r="H1992" s="2">
        <v>60603</v>
      </c>
      <c r="I1992" s="2">
        <v>7</v>
      </c>
      <c r="J1992" s="2">
        <v>100675</v>
      </c>
      <c r="K1992" s="2">
        <v>131057</v>
      </c>
      <c r="L1992" s="2">
        <v>10</v>
      </c>
      <c r="M1992" t="str">
        <f>IF(Revv_bike_sales_data[[#This Row],[delivery_days]]&lt;=7, "Yes", "No")</f>
        <v>No</v>
      </c>
      <c r="N1992" t="s">
        <v>16</v>
      </c>
      <c r="O1992" s="2">
        <v>-30382</v>
      </c>
    </row>
    <row r="1993" spans="1:15" x14ac:dyDescent="0.3">
      <c r="A1993" s="2">
        <v>1983</v>
      </c>
      <c r="B1993" s="1">
        <v>45009.583333333336</v>
      </c>
      <c r="C1993" s="1" t="str">
        <f t="shared" si="60"/>
        <v>03-2023</v>
      </c>
      <c r="D1993" s="2">
        <f t="shared" si="61"/>
        <v>12</v>
      </c>
      <c r="E1993" t="s">
        <v>22</v>
      </c>
      <c r="F1993" t="s">
        <v>14</v>
      </c>
      <c r="G1993" t="s">
        <v>15</v>
      </c>
      <c r="H1993" s="2">
        <v>15552</v>
      </c>
      <c r="I1993" s="2">
        <v>7</v>
      </c>
      <c r="J1993" s="2">
        <v>67325</v>
      </c>
      <c r="K1993" s="2">
        <v>135695</v>
      </c>
      <c r="L1993" s="2">
        <v>10</v>
      </c>
      <c r="M1993" t="str">
        <f>IF(Revv_bike_sales_data[[#This Row],[delivery_days]]&lt;=7, "Yes", "No")</f>
        <v>No</v>
      </c>
      <c r="N1993" t="s">
        <v>16</v>
      </c>
      <c r="O1993" s="2">
        <v>-68370</v>
      </c>
    </row>
    <row r="1994" spans="1:15" x14ac:dyDescent="0.3">
      <c r="A1994" s="2">
        <v>1984</v>
      </c>
      <c r="B1994" s="1">
        <v>45009.625</v>
      </c>
      <c r="C1994" s="1" t="str">
        <f t="shared" si="60"/>
        <v>03-2023</v>
      </c>
      <c r="D1994" s="2">
        <f t="shared" si="61"/>
        <v>12</v>
      </c>
      <c r="E1994" t="s">
        <v>25</v>
      </c>
      <c r="F1994" t="s">
        <v>14</v>
      </c>
      <c r="G1994" t="s">
        <v>15</v>
      </c>
      <c r="H1994" s="2">
        <v>6544</v>
      </c>
      <c r="I1994" s="2">
        <v>6</v>
      </c>
      <c r="J1994" s="2">
        <v>65503</v>
      </c>
      <c r="K1994" s="2">
        <v>87264</v>
      </c>
      <c r="L1994" s="2">
        <v>11</v>
      </c>
      <c r="M1994" t="str">
        <f>IF(Revv_bike_sales_data[[#This Row],[delivery_days]]&lt;=7, "Yes", "No")</f>
        <v>No</v>
      </c>
      <c r="N1994" t="s">
        <v>16</v>
      </c>
      <c r="O1994" s="2">
        <v>-21761</v>
      </c>
    </row>
    <row r="1995" spans="1:15" x14ac:dyDescent="0.3">
      <c r="A1995" s="2">
        <v>1985</v>
      </c>
      <c r="B1995" s="1">
        <v>45009.666666666664</v>
      </c>
      <c r="C1995" s="1" t="str">
        <f t="shared" ref="C1995:C2058" si="62">TEXT(B1995,"mm-yyyy")</f>
        <v>03-2023</v>
      </c>
      <c r="D1995" s="2">
        <f t="shared" ref="D1995:D2058" si="63">WEEKNUM(B1995)</f>
        <v>12</v>
      </c>
      <c r="E1995" t="s">
        <v>22</v>
      </c>
      <c r="F1995" t="s">
        <v>14</v>
      </c>
      <c r="G1995" t="s">
        <v>20</v>
      </c>
      <c r="H1995" s="2">
        <v>20371</v>
      </c>
      <c r="I1995" s="2">
        <v>8</v>
      </c>
      <c r="J1995" s="2">
        <v>44514</v>
      </c>
      <c r="K1995" s="2">
        <v>72924</v>
      </c>
      <c r="L1995" s="2">
        <v>2</v>
      </c>
      <c r="M1995" t="str">
        <f>IF(Revv_bike_sales_data[[#This Row],[delivery_days]]&lt;=7, "Yes", "No")</f>
        <v>Yes</v>
      </c>
      <c r="N1995" t="s">
        <v>16</v>
      </c>
      <c r="O1995" s="2">
        <v>-28410</v>
      </c>
    </row>
    <row r="1996" spans="1:15" x14ac:dyDescent="0.3">
      <c r="A1996" s="2">
        <v>1986</v>
      </c>
      <c r="B1996" s="1">
        <v>45009.708333333336</v>
      </c>
      <c r="C1996" s="1" t="str">
        <f t="shared" si="62"/>
        <v>03-2023</v>
      </c>
      <c r="D1996" s="2">
        <f t="shared" si="63"/>
        <v>12</v>
      </c>
      <c r="E1996" t="s">
        <v>18</v>
      </c>
      <c r="F1996" t="s">
        <v>14</v>
      </c>
      <c r="G1996" t="s">
        <v>20</v>
      </c>
      <c r="H1996" s="2">
        <v>89803</v>
      </c>
      <c r="I1996" s="2">
        <v>7</v>
      </c>
      <c r="J1996" s="2">
        <v>81196</v>
      </c>
      <c r="K1996" s="2">
        <v>48744</v>
      </c>
      <c r="L1996" s="2">
        <v>14</v>
      </c>
      <c r="M1996" t="str">
        <f>IF(Revv_bike_sales_data[[#This Row],[delivery_days]]&lt;=7, "Yes", "No")</f>
        <v>No</v>
      </c>
      <c r="N1996" t="s">
        <v>16</v>
      </c>
      <c r="O1996" s="2">
        <v>32452</v>
      </c>
    </row>
    <row r="1997" spans="1:15" x14ac:dyDescent="0.3">
      <c r="A1997" s="2">
        <v>1987</v>
      </c>
      <c r="B1997" s="1">
        <v>45009.75</v>
      </c>
      <c r="C1997" s="1" t="str">
        <f t="shared" si="62"/>
        <v>03-2023</v>
      </c>
      <c r="D1997" s="2">
        <f t="shared" si="63"/>
        <v>12</v>
      </c>
      <c r="E1997" t="s">
        <v>13</v>
      </c>
      <c r="F1997" t="s">
        <v>14</v>
      </c>
      <c r="G1997" t="s">
        <v>20</v>
      </c>
      <c r="H1997" s="2">
        <v>20734</v>
      </c>
      <c r="I1997" s="2">
        <v>8</v>
      </c>
      <c r="J1997" s="2">
        <v>176989</v>
      </c>
      <c r="K1997" s="2">
        <v>68424</v>
      </c>
      <c r="L1997" s="2">
        <v>4</v>
      </c>
      <c r="M1997" t="str">
        <f>IF(Revv_bike_sales_data[[#This Row],[delivery_days]]&lt;=7, "Yes", "No")</f>
        <v>Yes</v>
      </c>
      <c r="N1997" t="s">
        <v>16</v>
      </c>
      <c r="O1997" s="2">
        <v>108565</v>
      </c>
    </row>
    <row r="1998" spans="1:15" x14ac:dyDescent="0.3">
      <c r="A1998" s="2">
        <v>1988</v>
      </c>
      <c r="B1998" s="1">
        <v>45009.791666666664</v>
      </c>
      <c r="C1998" s="1" t="str">
        <f t="shared" si="62"/>
        <v>03-2023</v>
      </c>
      <c r="D1998" s="2">
        <f t="shared" si="63"/>
        <v>12</v>
      </c>
      <c r="E1998" t="s">
        <v>22</v>
      </c>
      <c r="F1998" t="s">
        <v>14</v>
      </c>
      <c r="G1998" t="s">
        <v>15</v>
      </c>
      <c r="H1998" s="2">
        <v>21881</v>
      </c>
      <c r="I1998" s="2">
        <v>8</v>
      </c>
      <c r="J1998" s="2">
        <v>119633</v>
      </c>
      <c r="K1998" s="2">
        <v>103417</v>
      </c>
      <c r="L1998" s="2">
        <v>11</v>
      </c>
      <c r="M1998" t="str">
        <f>IF(Revv_bike_sales_data[[#This Row],[delivery_days]]&lt;=7, "Yes", "No")</f>
        <v>No</v>
      </c>
      <c r="N1998" t="s">
        <v>16</v>
      </c>
      <c r="O1998" s="2">
        <v>16216</v>
      </c>
    </row>
    <row r="1999" spans="1:15" x14ac:dyDescent="0.3">
      <c r="A1999" s="2">
        <v>1989</v>
      </c>
      <c r="B1999" s="1">
        <v>45009.833333333336</v>
      </c>
      <c r="C1999" s="1" t="str">
        <f t="shared" si="62"/>
        <v>03-2023</v>
      </c>
      <c r="D1999" s="2">
        <f t="shared" si="63"/>
        <v>12</v>
      </c>
      <c r="E1999" t="s">
        <v>25</v>
      </c>
      <c r="F1999" t="s">
        <v>14</v>
      </c>
      <c r="G1999" t="s">
        <v>20</v>
      </c>
      <c r="H1999" s="2">
        <v>17774</v>
      </c>
      <c r="I1999" s="2">
        <v>5</v>
      </c>
      <c r="J1999" s="2">
        <v>108324</v>
      </c>
      <c r="K1999" s="2">
        <v>93337</v>
      </c>
      <c r="L1999" s="2">
        <v>12</v>
      </c>
      <c r="M1999" t="str">
        <f>IF(Revv_bike_sales_data[[#This Row],[delivery_days]]&lt;=7, "Yes", "No")</f>
        <v>No</v>
      </c>
      <c r="N1999" t="s">
        <v>16</v>
      </c>
      <c r="O1999" s="2">
        <v>14987</v>
      </c>
    </row>
    <row r="2000" spans="1:15" x14ac:dyDescent="0.3">
      <c r="A2000" s="2">
        <v>1990</v>
      </c>
      <c r="B2000" s="1">
        <v>45009.875</v>
      </c>
      <c r="C2000" s="1" t="str">
        <f t="shared" si="62"/>
        <v>03-2023</v>
      </c>
      <c r="D2000" s="2">
        <f t="shared" si="63"/>
        <v>12</v>
      </c>
      <c r="E2000" t="s">
        <v>22</v>
      </c>
      <c r="F2000" t="s">
        <v>14</v>
      </c>
      <c r="G2000" t="s">
        <v>19</v>
      </c>
      <c r="H2000" s="2">
        <v>88340</v>
      </c>
      <c r="I2000" s="2">
        <v>1</v>
      </c>
      <c r="J2000" s="2">
        <v>166019</v>
      </c>
      <c r="K2000" s="2">
        <v>91084</v>
      </c>
      <c r="L2000" s="2">
        <v>4</v>
      </c>
      <c r="M2000" t="str">
        <f>IF(Revv_bike_sales_data[[#This Row],[delivery_days]]&lt;=7, "Yes", "No")</f>
        <v>Yes</v>
      </c>
      <c r="N2000" t="s">
        <v>16</v>
      </c>
      <c r="O2000" s="2">
        <v>74935</v>
      </c>
    </row>
    <row r="2001" spans="1:15" x14ac:dyDescent="0.3">
      <c r="A2001" s="2">
        <v>1991</v>
      </c>
      <c r="B2001" s="1">
        <v>45009.916666666664</v>
      </c>
      <c r="C2001" s="1" t="str">
        <f t="shared" si="62"/>
        <v>03-2023</v>
      </c>
      <c r="D2001" s="2">
        <f t="shared" si="63"/>
        <v>12</v>
      </c>
      <c r="E2001" t="s">
        <v>17</v>
      </c>
      <c r="F2001" t="s">
        <v>14</v>
      </c>
      <c r="G2001" t="s">
        <v>15</v>
      </c>
      <c r="H2001" s="2">
        <v>83608</v>
      </c>
      <c r="I2001" s="2">
        <v>6</v>
      </c>
      <c r="J2001" s="2">
        <v>110550</v>
      </c>
      <c r="K2001" s="2">
        <v>47886</v>
      </c>
      <c r="L2001" s="2">
        <v>11</v>
      </c>
      <c r="M2001" t="str">
        <f>IF(Revv_bike_sales_data[[#This Row],[delivery_days]]&lt;=7, "Yes", "No")</f>
        <v>No</v>
      </c>
      <c r="N2001" t="s">
        <v>16</v>
      </c>
      <c r="O2001" s="2">
        <v>62664</v>
      </c>
    </row>
    <row r="2002" spans="1:15" x14ac:dyDescent="0.3">
      <c r="A2002" s="2">
        <v>1992</v>
      </c>
      <c r="B2002" s="1">
        <v>45009.958333333336</v>
      </c>
      <c r="C2002" s="1" t="str">
        <f t="shared" si="62"/>
        <v>03-2023</v>
      </c>
      <c r="D2002" s="2">
        <f t="shared" si="63"/>
        <v>12</v>
      </c>
      <c r="E2002" t="s">
        <v>25</v>
      </c>
      <c r="F2002" t="s">
        <v>14</v>
      </c>
      <c r="G2002" t="s">
        <v>21</v>
      </c>
      <c r="H2002" s="2">
        <v>50392</v>
      </c>
      <c r="I2002" s="2">
        <v>2</v>
      </c>
      <c r="J2002" s="2">
        <v>105331</v>
      </c>
      <c r="K2002" s="2">
        <v>114846</v>
      </c>
      <c r="L2002" s="2">
        <v>7</v>
      </c>
      <c r="M2002" t="str">
        <f>IF(Revv_bike_sales_data[[#This Row],[delivery_days]]&lt;=7, "Yes", "No")</f>
        <v>Yes</v>
      </c>
      <c r="N2002" t="s">
        <v>24</v>
      </c>
      <c r="O2002" s="2">
        <v>-9515</v>
      </c>
    </row>
    <row r="2003" spans="1:15" x14ac:dyDescent="0.3">
      <c r="A2003" s="2">
        <v>1993</v>
      </c>
      <c r="B2003" s="1">
        <v>45010</v>
      </c>
      <c r="C2003" s="1" t="str">
        <f t="shared" si="62"/>
        <v>03-2023</v>
      </c>
      <c r="D2003" s="2">
        <f t="shared" si="63"/>
        <v>12</v>
      </c>
      <c r="E2003" t="s">
        <v>18</v>
      </c>
      <c r="F2003" t="s">
        <v>14</v>
      </c>
      <c r="G2003" t="s">
        <v>15</v>
      </c>
      <c r="H2003" s="2">
        <v>51021</v>
      </c>
      <c r="I2003" s="2">
        <v>6</v>
      </c>
      <c r="J2003" s="2">
        <v>175424</v>
      </c>
      <c r="K2003" s="2">
        <v>134550</v>
      </c>
      <c r="L2003" s="2">
        <v>5</v>
      </c>
      <c r="M2003" t="str">
        <f>IF(Revv_bike_sales_data[[#This Row],[delivery_days]]&lt;=7, "Yes", "No")</f>
        <v>Yes</v>
      </c>
      <c r="N2003" t="s">
        <v>16</v>
      </c>
      <c r="O2003" s="2">
        <v>40874</v>
      </c>
    </row>
    <row r="2004" spans="1:15" x14ac:dyDescent="0.3">
      <c r="A2004" s="2">
        <v>1994</v>
      </c>
      <c r="B2004" s="1">
        <v>45010.041666666664</v>
      </c>
      <c r="C2004" s="1" t="str">
        <f t="shared" si="62"/>
        <v>03-2023</v>
      </c>
      <c r="D2004" s="2">
        <f t="shared" si="63"/>
        <v>12</v>
      </c>
      <c r="E2004" t="s">
        <v>13</v>
      </c>
      <c r="F2004" t="s">
        <v>14</v>
      </c>
      <c r="G2004" t="s">
        <v>19</v>
      </c>
      <c r="H2004" s="2">
        <v>92001</v>
      </c>
      <c r="I2004" s="2">
        <v>8</v>
      </c>
      <c r="J2004" s="2">
        <v>48653</v>
      </c>
      <c r="K2004" s="2">
        <v>99963</v>
      </c>
      <c r="L2004" s="2">
        <v>8</v>
      </c>
      <c r="M2004" t="str">
        <f>IF(Revv_bike_sales_data[[#This Row],[delivery_days]]&lt;=7, "Yes", "No")</f>
        <v>No</v>
      </c>
      <c r="N2004" t="s">
        <v>16</v>
      </c>
      <c r="O2004" s="2">
        <v>-51310</v>
      </c>
    </row>
    <row r="2005" spans="1:15" x14ac:dyDescent="0.3">
      <c r="A2005" s="2">
        <v>1995</v>
      </c>
      <c r="B2005" s="1">
        <v>45010.083333333336</v>
      </c>
      <c r="C2005" s="1" t="str">
        <f t="shared" si="62"/>
        <v>03-2023</v>
      </c>
      <c r="D2005" s="2">
        <f t="shared" si="63"/>
        <v>12</v>
      </c>
      <c r="E2005" t="s">
        <v>22</v>
      </c>
      <c r="F2005" t="s">
        <v>14</v>
      </c>
      <c r="G2005" t="s">
        <v>19</v>
      </c>
      <c r="H2005" s="2">
        <v>84420</v>
      </c>
      <c r="I2005" s="2">
        <v>9</v>
      </c>
      <c r="J2005" s="2">
        <v>122294</v>
      </c>
      <c r="K2005" s="2">
        <v>15972</v>
      </c>
      <c r="L2005" s="2">
        <v>7</v>
      </c>
      <c r="M2005" t="str">
        <f>IF(Revv_bike_sales_data[[#This Row],[delivery_days]]&lt;=7, "Yes", "No")</f>
        <v>Yes</v>
      </c>
      <c r="N2005" t="s">
        <v>16</v>
      </c>
      <c r="O2005" s="2">
        <v>106322</v>
      </c>
    </row>
    <row r="2006" spans="1:15" x14ac:dyDescent="0.3">
      <c r="A2006" s="2">
        <v>1996</v>
      </c>
      <c r="B2006" s="1">
        <v>45010.125</v>
      </c>
      <c r="C2006" s="1" t="str">
        <f t="shared" si="62"/>
        <v>03-2023</v>
      </c>
      <c r="D2006" s="2">
        <f t="shared" si="63"/>
        <v>12</v>
      </c>
      <c r="E2006" t="s">
        <v>25</v>
      </c>
      <c r="F2006" t="s">
        <v>14</v>
      </c>
      <c r="G2006" t="s">
        <v>20</v>
      </c>
      <c r="H2006" s="2">
        <v>83891</v>
      </c>
      <c r="I2006" s="2">
        <v>9</v>
      </c>
      <c r="J2006" s="2">
        <v>68755</v>
      </c>
      <c r="K2006" s="2">
        <v>114219</v>
      </c>
      <c r="L2006" s="2">
        <v>10</v>
      </c>
      <c r="M2006" t="str">
        <f>IF(Revv_bike_sales_data[[#This Row],[delivery_days]]&lt;=7, "Yes", "No")</f>
        <v>No</v>
      </c>
      <c r="N2006" t="s">
        <v>16</v>
      </c>
      <c r="O2006" s="2">
        <v>-45464</v>
      </c>
    </row>
    <row r="2007" spans="1:15" x14ac:dyDescent="0.3">
      <c r="A2007" s="2">
        <v>1997</v>
      </c>
      <c r="B2007" s="1">
        <v>45010.166666666664</v>
      </c>
      <c r="C2007" s="1" t="str">
        <f t="shared" si="62"/>
        <v>03-2023</v>
      </c>
      <c r="D2007" s="2">
        <f t="shared" si="63"/>
        <v>12</v>
      </c>
      <c r="E2007" t="s">
        <v>17</v>
      </c>
      <c r="F2007" t="s">
        <v>14</v>
      </c>
      <c r="G2007" t="s">
        <v>15</v>
      </c>
      <c r="H2007" s="2">
        <v>18420</v>
      </c>
      <c r="I2007" s="2">
        <v>1</v>
      </c>
      <c r="J2007" s="2">
        <v>129296</v>
      </c>
      <c r="K2007" s="2">
        <v>21621</v>
      </c>
      <c r="L2007" s="2">
        <v>9</v>
      </c>
      <c r="M2007" t="str">
        <f>IF(Revv_bike_sales_data[[#This Row],[delivery_days]]&lt;=7, "Yes", "No")</f>
        <v>No</v>
      </c>
      <c r="N2007" t="s">
        <v>16</v>
      </c>
      <c r="O2007" s="2">
        <v>107675</v>
      </c>
    </row>
    <row r="2008" spans="1:15" x14ac:dyDescent="0.3">
      <c r="A2008" s="2">
        <v>1998</v>
      </c>
      <c r="B2008" s="1">
        <v>45010.208333333336</v>
      </c>
      <c r="C2008" s="1" t="str">
        <f t="shared" si="62"/>
        <v>03-2023</v>
      </c>
      <c r="D2008" s="2">
        <f t="shared" si="63"/>
        <v>12</v>
      </c>
      <c r="E2008" t="s">
        <v>25</v>
      </c>
      <c r="F2008" t="s">
        <v>14</v>
      </c>
      <c r="G2008" t="s">
        <v>15</v>
      </c>
      <c r="H2008" s="2">
        <v>17202</v>
      </c>
      <c r="I2008" s="2">
        <v>5</v>
      </c>
      <c r="J2008" s="2">
        <v>123354</v>
      </c>
      <c r="K2008" s="2">
        <v>106549</v>
      </c>
      <c r="L2008" s="2">
        <v>8</v>
      </c>
      <c r="M2008" t="str">
        <f>IF(Revv_bike_sales_data[[#This Row],[delivery_days]]&lt;=7, "Yes", "No")</f>
        <v>No</v>
      </c>
      <c r="N2008" t="s">
        <v>16</v>
      </c>
      <c r="O2008" s="2">
        <v>16805</v>
      </c>
    </row>
    <row r="2009" spans="1:15" x14ac:dyDescent="0.3">
      <c r="A2009" s="2">
        <v>1999</v>
      </c>
      <c r="B2009" s="1">
        <v>45010.25</v>
      </c>
      <c r="C2009" s="1" t="str">
        <f t="shared" si="62"/>
        <v>03-2023</v>
      </c>
      <c r="D2009" s="2">
        <f t="shared" si="63"/>
        <v>12</v>
      </c>
      <c r="E2009" t="s">
        <v>17</v>
      </c>
      <c r="F2009" t="s">
        <v>14</v>
      </c>
      <c r="G2009" t="s">
        <v>15</v>
      </c>
      <c r="H2009" s="2">
        <v>2394</v>
      </c>
      <c r="I2009" s="2">
        <v>5</v>
      </c>
      <c r="J2009" s="2">
        <v>96988</v>
      </c>
      <c r="K2009" s="2">
        <v>64738</v>
      </c>
      <c r="L2009" s="2">
        <v>9</v>
      </c>
      <c r="M2009" t="str">
        <f>IF(Revv_bike_sales_data[[#This Row],[delivery_days]]&lt;=7, "Yes", "No")</f>
        <v>No</v>
      </c>
      <c r="N2009" t="s">
        <v>16</v>
      </c>
      <c r="O2009" s="2">
        <v>32250</v>
      </c>
    </row>
    <row r="2010" spans="1:15" x14ac:dyDescent="0.3">
      <c r="A2010" s="2">
        <v>2000</v>
      </c>
      <c r="B2010" s="1">
        <v>45010.291666666664</v>
      </c>
      <c r="C2010" s="1" t="str">
        <f t="shared" si="62"/>
        <v>03-2023</v>
      </c>
      <c r="D2010" s="2">
        <f t="shared" si="63"/>
        <v>12</v>
      </c>
      <c r="E2010" t="s">
        <v>18</v>
      </c>
      <c r="F2010" t="s">
        <v>14</v>
      </c>
      <c r="G2010" t="s">
        <v>21</v>
      </c>
      <c r="H2010" s="2">
        <v>31485</v>
      </c>
      <c r="I2010" s="2">
        <v>8</v>
      </c>
      <c r="J2010" s="2">
        <v>62921</v>
      </c>
      <c r="K2010" s="2">
        <v>72694</v>
      </c>
      <c r="L2010" s="2">
        <v>1</v>
      </c>
      <c r="M2010" t="str">
        <f>IF(Revv_bike_sales_data[[#This Row],[delivery_days]]&lt;=7, "Yes", "No")</f>
        <v>Yes</v>
      </c>
      <c r="N2010" t="s">
        <v>16</v>
      </c>
      <c r="O2010" s="2">
        <v>-9773</v>
      </c>
    </row>
    <row r="2011" spans="1:15" x14ac:dyDescent="0.3">
      <c r="A2011" s="2">
        <v>2001</v>
      </c>
      <c r="B2011" s="1">
        <v>45010.333333333336</v>
      </c>
      <c r="C2011" s="1" t="str">
        <f t="shared" si="62"/>
        <v>03-2023</v>
      </c>
      <c r="D2011" s="2">
        <f t="shared" si="63"/>
        <v>12</v>
      </c>
      <c r="E2011" t="s">
        <v>13</v>
      </c>
      <c r="F2011" t="s">
        <v>14</v>
      </c>
      <c r="G2011" t="s">
        <v>20</v>
      </c>
      <c r="H2011" s="2">
        <v>28787</v>
      </c>
      <c r="I2011" s="2">
        <v>8</v>
      </c>
      <c r="J2011" s="2">
        <v>71668</v>
      </c>
      <c r="K2011" s="2">
        <v>69777</v>
      </c>
      <c r="L2011" s="2">
        <v>10</v>
      </c>
      <c r="M2011" t="str">
        <f>IF(Revv_bike_sales_data[[#This Row],[delivery_days]]&lt;=7, "Yes", "No")</f>
        <v>No</v>
      </c>
      <c r="N2011" t="s">
        <v>24</v>
      </c>
      <c r="O2011" s="2">
        <v>1891</v>
      </c>
    </row>
    <row r="2012" spans="1:15" x14ac:dyDescent="0.3">
      <c r="A2012" s="2">
        <v>2002</v>
      </c>
      <c r="B2012" s="1">
        <v>45010.375</v>
      </c>
      <c r="C2012" s="1" t="str">
        <f t="shared" si="62"/>
        <v>03-2023</v>
      </c>
      <c r="D2012" s="2">
        <f t="shared" si="63"/>
        <v>12</v>
      </c>
      <c r="E2012" t="s">
        <v>18</v>
      </c>
      <c r="F2012" t="s">
        <v>14</v>
      </c>
      <c r="G2012" t="s">
        <v>19</v>
      </c>
      <c r="H2012" s="2">
        <v>74027</v>
      </c>
      <c r="I2012" s="2">
        <v>4</v>
      </c>
      <c r="J2012" s="2">
        <v>80175</v>
      </c>
      <c r="K2012" s="2">
        <v>29530</v>
      </c>
      <c r="L2012" s="2">
        <v>13</v>
      </c>
      <c r="M2012" t="str">
        <f>IF(Revv_bike_sales_data[[#This Row],[delivery_days]]&lt;=7, "Yes", "No")</f>
        <v>No</v>
      </c>
      <c r="N2012" t="s">
        <v>16</v>
      </c>
      <c r="O2012" s="2">
        <v>50645</v>
      </c>
    </row>
    <row r="2013" spans="1:15" x14ac:dyDescent="0.3">
      <c r="A2013" s="2">
        <v>2003</v>
      </c>
      <c r="B2013" s="1">
        <v>45010.416666666664</v>
      </c>
      <c r="C2013" s="1" t="str">
        <f t="shared" si="62"/>
        <v>03-2023</v>
      </c>
      <c r="D2013" s="2">
        <f t="shared" si="63"/>
        <v>12</v>
      </c>
      <c r="E2013" t="s">
        <v>22</v>
      </c>
      <c r="F2013" t="s">
        <v>14</v>
      </c>
      <c r="G2013" t="s">
        <v>19</v>
      </c>
      <c r="H2013" s="2">
        <v>15939</v>
      </c>
      <c r="I2013" s="2">
        <v>4</v>
      </c>
      <c r="J2013" s="2">
        <v>78452</v>
      </c>
      <c r="K2013" s="2">
        <v>22354</v>
      </c>
      <c r="L2013" s="2">
        <v>12</v>
      </c>
      <c r="M2013" t="str">
        <f>IF(Revv_bike_sales_data[[#This Row],[delivery_days]]&lt;=7, "Yes", "No")</f>
        <v>No</v>
      </c>
      <c r="N2013" t="s">
        <v>16</v>
      </c>
      <c r="O2013" s="2">
        <v>56098</v>
      </c>
    </row>
    <row r="2014" spans="1:15" x14ac:dyDescent="0.3">
      <c r="A2014" s="2">
        <v>2004</v>
      </c>
      <c r="B2014" s="1">
        <v>45010.458333333336</v>
      </c>
      <c r="C2014" s="1" t="str">
        <f t="shared" si="62"/>
        <v>03-2023</v>
      </c>
      <c r="D2014" s="2">
        <f t="shared" si="63"/>
        <v>12</v>
      </c>
      <c r="E2014" t="s">
        <v>25</v>
      </c>
      <c r="F2014" t="s">
        <v>14</v>
      </c>
      <c r="G2014" t="s">
        <v>20</v>
      </c>
      <c r="H2014" s="2">
        <v>95120</v>
      </c>
      <c r="I2014" s="2">
        <v>8</v>
      </c>
      <c r="J2014" s="2">
        <v>71149</v>
      </c>
      <c r="K2014" s="2">
        <v>61529</v>
      </c>
      <c r="L2014" s="2">
        <v>3</v>
      </c>
      <c r="M2014" t="str">
        <f>IF(Revv_bike_sales_data[[#This Row],[delivery_days]]&lt;=7, "Yes", "No")</f>
        <v>Yes</v>
      </c>
      <c r="N2014" t="s">
        <v>24</v>
      </c>
      <c r="O2014" s="2">
        <v>9620</v>
      </c>
    </row>
    <row r="2015" spans="1:15" x14ac:dyDescent="0.3">
      <c r="A2015" s="2">
        <v>2005</v>
      </c>
      <c r="B2015" s="1">
        <v>45010.5</v>
      </c>
      <c r="C2015" s="1" t="str">
        <f t="shared" si="62"/>
        <v>03-2023</v>
      </c>
      <c r="D2015" s="2">
        <f t="shared" si="63"/>
        <v>12</v>
      </c>
      <c r="E2015" t="s">
        <v>17</v>
      </c>
      <c r="F2015" t="s">
        <v>14</v>
      </c>
      <c r="G2015" t="s">
        <v>19</v>
      </c>
      <c r="H2015" s="2">
        <v>42735</v>
      </c>
      <c r="I2015" s="2">
        <v>7</v>
      </c>
      <c r="J2015" s="2">
        <v>40839</v>
      </c>
      <c r="K2015" s="2">
        <v>117895</v>
      </c>
      <c r="L2015" s="2">
        <v>5</v>
      </c>
      <c r="M2015" t="str">
        <f>IF(Revv_bike_sales_data[[#This Row],[delivery_days]]&lt;=7, "Yes", "No")</f>
        <v>Yes</v>
      </c>
      <c r="N2015" t="s">
        <v>16</v>
      </c>
      <c r="O2015" s="2">
        <v>-77056</v>
      </c>
    </row>
    <row r="2016" spans="1:15" x14ac:dyDescent="0.3">
      <c r="A2016" s="2">
        <v>2006</v>
      </c>
      <c r="B2016" s="1">
        <v>45010.541666666664</v>
      </c>
      <c r="C2016" s="1" t="str">
        <f t="shared" si="62"/>
        <v>03-2023</v>
      </c>
      <c r="D2016" s="2">
        <f t="shared" si="63"/>
        <v>12</v>
      </c>
      <c r="E2016" t="s">
        <v>17</v>
      </c>
      <c r="F2016" t="s">
        <v>14</v>
      </c>
      <c r="G2016" t="s">
        <v>19</v>
      </c>
      <c r="H2016" s="2">
        <v>28159</v>
      </c>
      <c r="I2016" s="2">
        <v>6</v>
      </c>
      <c r="J2016" s="2">
        <v>27155</v>
      </c>
      <c r="K2016" s="2">
        <v>66714</v>
      </c>
      <c r="L2016" s="2">
        <v>9</v>
      </c>
      <c r="M2016" t="str">
        <f>IF(Revv_bike_sales_data[[#This Row],[delivery_days]]&lt;=7, "Yes", "No")</f>
        <v>No</v>
      </c>
      <c r="N2016" t="s">
        <v>16</v>
      </c>
      <c r="O2016" s="2">
        <v>-39559</v>
      </c>
    </row>
    <row r="2017" spans="1:15" x14ac:dyDescent="0.3">
      <c r="A2017" s="2">
        <v>2007</v>
      </c>
      <c r="B2017" s="1">
        <v>45010.583333333336</v>
      </c>
      <c r="C2017" s="1" t="str">
        <f t="shared" si="62"/>
        <v>03-2023</v>
      </c>
      <c r="D2017" s="2">
        <f t="shared" si="63"/>
        <v>12</v>
      </c>
      <c r="E2017" t="s">
        <v>25</v>
      </c>
      <c r="F2017" t="s">
        <v>14</v>
      </c>
      <c r="G2017" t="s">
        <v>20</v>
      </c>
      <c r="H2017" s="2">
        <v>25476</v>
      </c>
      <c r="I2017" s="2">
        <v>7</v>
      </c>
      <c r="J2017" s="2">
        <v>163091</v>
      </c>
      <c r="K2017" s="2">
        <v>103759</v>
      </c>
      <c r="L2017" s="2">
        <v>8</v>
      </c>
      <c r="M2017" t="str">
        <f>IF(Revv_bike_sales_data[[#This Row],[delivery_days]]&lt;=7, "Yes", "No")</f>
        <v>No</v>
      </c>
      <c r="N2017" t="s">
        <v>16</v>
      </c>
      <c r="O2017" s="2">
        <v>59332</v>
      </c>
    </row>
    <row r="2018" spans="1:15" x14ac:dyDescent="0.3">
      <c r="A2018" s="2">
        <v>2008</v>
      </c>
      <c r="B2018" s="1">
        <v>45010.625</v>
      </c>
      <c r="C2018" s="1" t="str">
        <f t="shared" si="62"/>
        <v>03-2023</v>
      </c>
      <c r="D2018" s="2">
        <f t="shared" si="63"/>
        <v>12</v>
      </c>
      <c r="E2018" t="s">
        <v>25</v>
      </c>
      <c r="F2018" t="s">
        <v>14</v>
      </c>
      <c r="G2018" t="s">
        <v>19</v>
      </c>
      <c r="H2018" s="2">
        <v>83143</v>
      </c>
      <c r="I2018" s="2">
        <v>5</v>
      </c>
      <c r="J2018" s="2">
        <v>79512</v>
      </c>
      <c r="K2018" s="2">
        <v>139750</v>
      </c>
      <c r="L2018" s="2">
        <v>14</v>
      </c>
      <c r="M2018" t="str">
        <f>IF(Revv_bike_sales_data[[#This Row],[delivery_days]]&lt;=7, "Yes", "No")</f>
        <v>No</v>
      </c>
      <c r="N2018" t="s">
        <v>16</v>
      </c>
      <c r="O2018" s="2">
        <v>-60238</v>
      </c>
    </row>
    <row r="2019" spans="1:15" x14ac:dyDescent="0.3">
      <c r="A2019" s="2">
        <v>2009</v>
      </c>
      <c r="B2019" s="1">
        <v>45010.666666666664</v>
      </c>
      <c r="C2019" s="1" t="str">
        <f t="shared" si="62"/>
        <v>03-2023</v>
      </c>
      <c r="D2019" s="2">
        <f t="shared" si="63"/>
        <v>12</v>
      </c>
      <c r="E2019" t="s">
        <v>22</v>
      </c>
      <c r="F2019" t="s">
        <v>14</v>
      </c>
      <c r="G2019" t="s">
        <v>15</v>
      </c>
      <c r="H2019" s="2">
        <v>68365</v>
      </c>
      <c r="I2019" s="2">
        <v>2</v>
      </c>
      <c r="J2019" s="2">
        <v>111150</v>
      </c>
      <c r="K2019" s="2">
        <v>56232</v>
      </c>
      <c r="L2019" s="2">
        <v>10</v>
      </c>
      <c r="M2019" t="str">
        <f>IF(Revv_bike_sales_data[[#This Row],[delivery_days]]&lt;=7, "Yes", "No")</f>
        <v>No</v>
      </c>
      <c r="N2019" t="s">
        <v>24</v>
      </c>
      <c r="O2019" s="2">
        <v>54918</v>
      </c>
    </row>
    <row r="2020" spans="1:15" x14ac:dyDescent="0.3">
      <c r="A2020" s="2">
        <v>2010</v>
      </c>
      <c r="B2020" s="1">
        <v>45010.708333333336</v>
      </c>
      <c r="C2020" s="1" t="str">
        <f t="shared" si="62"/>
        <v>03-2023</v>
      </c>
      <c r="D2020" s="2">
        <f t="shared" si="63"/>
        <v>12</v>
      </c>
      <c r="E2020" t="s">
        <v>18</v>
      </c>
      <c r="F2020" t="s">
        <v>14</v>
      </c>
      <c r="G2020" t="s">
        <v>21</v>
      </c>
      <c r="H2020" s="2">
        <v>68806</v>
      </c>
      <c r="I2020" s="2">
        <v>6</v>
      </c>
      <c r="J2020" s="2">
        <v>151041</v>
      </c>
      <c r="K2020" s="2">
        <v>67079</v>
      </c>
      <c r="L2020" s="2">
        <v>7</v>
      </c>
      <c r="M2020" t="str">
        <f>IF(Revv_bike_sales_data[[#This Row],[delivery_days]]&lt;=7, "Yes", "No")</f>
        <v>Yes</v>
      </c>
      <c r="N2020" t="s">
        <v>16</v>
      </c>
      <c r="O2020" s="2">
        <v>83962</v>
      </c>
    </row>
    <row r="2021" spans="1:15" x14ac:dyDescent="0.3">
      <c r="A2021" s="2">
        <v>2011</v>
      </c>
      <c r="B2021" s="1">
        <v>45010.75</v>
      </c>
      <c r="C2021" s="1" t="str">
        <f t="shared" si="62"/>
        <v>03-2023</v>
      </c>
      <c r="D2021" s="2">
        <f t="shared" si="63"/>
        <v>12</v>
      </c>
      <c r="E2021" t="s">
        <v>17</v>
      </c>
      <c r="F2021" t="s">
        <v>23</v>
      </c>
      <c r="G2021" t="s">
        <v>20</v>
      </c>
      <c r="H2021" s="2">
        <v>57197</v>
      </c>
      <c r="I2021" s="2">
        <v>7</v>
      </c>
      <c r="J2021" s="2">
        <v>51190</v>
      </c>
      <c r="K2021" s="2">
        <v>135883</v>
      </c>
      <c r="L2021" s="2">
        <v>2</v>
      </c>
      <c r="M2021" t="str">
        <f>IF(Revv_bike_sales_data[[#This Row],[delivery_days]]&lt;=7, "Yes", "No")</f>
        <v>Yes</v>
      </c>
      <c r="N2021" t="s">
        <v>16</v>
      </c>
      <c r="O2021" s="2">
        <v>-84693</v>
      </c>
    </row>
    <row r="2022" spans="1:15" x14ac:dyDescent="0.3">
      <c r="A2022" s="2">
        <v>2012</v>
      </c>
      <c r="B2022" s="1">
        <v>45010.791666666664</v>
      </c>
      <c r="C2022" s="1" t="str">
        <f t="shared" si="62"/>
        <v>03-2023</v>
      </c>
      <c r="D2022" s="2">
        <f t="shared" si="63"/>
        <v>12</v>
      </c>
      <c r="E2022" t="s">
        <v>22</v>
      </c>
      <c r="F2022" t="s">
        <v>14</v>
      </c>
      <c r="G2022" t="s">
        <v>21</v>
      </c>
      <c r="H2022" s="2">
        <v>70882</v>
      </c>
      <c r="I2022" s="2">
        <v>7</v>
      </c>
      <c r="J2022" s="2">
        <v>35928</v>
      </c>
      <c r="K2022" s="2">
        <v>27550</v>
      </c>
      <c r="L2022" s="2">
        <v>11</v>
      </c>
      <c r="M2022" t="str">
        <f>IF(Revv_bike_sales_data[[#This Row],[delivery_days]]&lt;=7, "Yes", "No")</f>
        <v>No</v>
      </c>
      <c r="N2022" t="s">
        <v>24</v>
      </c>
      <c r="O2022" s="2">
        <v>8378</v>
      </c>
    </row>
    <row r="2023" spans="1:15" x14ac:dyDescent="0.3">
      <c r="A2023" s="2">
        <v>2013</v>
      </c>
      <c r="B2023" s="1">
        <v>45010.833333333336</v>
      </c>
      <c r="C2023" s="1" t="str">
        <f t="shared" si="62"/>
        <v>03-2023</v>
      </c>
      <c r="D2023" s="2">
        <f t="shared" si="63"/>
        <v>12</v>
      </c>
      <c r="E2023" t="s">
        <v>18</v>
      </c>
      <c r="F2023" t="s">
        <v>23</v>
      </c>
      <c r="G2023" t="s">
        <v>19</v>
      </c>
      <c r="H2023" s="2">
        <v>17151</v>
      </c>
      <c r="I2023" s="2">
        <v>0</v>
      </c>
      <c r="J2023" s="2">
        <v>73425</v>
      </c>
      <c r="K2023" s="2">
        <v>103196</v>
      </c>
      <c r="L2023" s="2">
        <v>6</v>
      </c>
      <c r="M2023" t="str">
        <f>IF(Revv_bike_sales_data[[#This Row],[delivery_days]]&lt;=7, "Yes", "No")</f>
        <v>Yes</v>
      </c>
      <c r="N2023" t="s">
        <v>16</v>
      </c>
      <c r="O2023" s="2">
        <v>-29771</v>
      </c>
    </row>
    <row r="2024" spans="1:15" x14ac:dyDescent="0.3">
      <c r="A2024" s="2">
        <v>2014</v>
      </c>
      <c r="B2024" s="1">
        <v>45010.875</v>
      </c>
      <c r="C2024" s="1" t="str">
        <f t="shared" si="62"/>
        <v>03-2023</v>
      </c>
      <c r="D2024" s="2">
        <f t="shared" si="63"/>
        <v>12</v>
      </c>
      <c r="E2024" t="s">
        <v>22</v>
      </c>
      <c r="F2024" t="s">
        <v>14</v>
      </c>
      <c r="G2024" t="s">
        <v>19</v>
      </c>
      <c r="H2024" s="2">
        <v>49544</v>
      </c>
      <c r="I2024" s="2">
        <v>6</v>
      </c>
      <c r="J2024" s="2">
        <v>99134</v>
      </c>
      <c r="K2024" s="2">
        <v>75385</v>
      </c>
      <c r="L2024" s="2">
        <v>4</v>
      </c>
      <c r="M2024" t="str">
        <f>IF(Revv_bike_sales_data[[#This Row],[delivery_days]]&lt;=7, "Yes", "No")</f>
        <v>Yes</v>
      </c>
      <c r="N2024" t="s">
        <v>16</v>
      </c>
      <c r="O2024" s="2">
        <v>23749</v>
      </c>
    </row>
    <row r="2025" spans="1:15" x14ac:dyDescent="0.3">
      <c r="A2025" s="2">
        <v>2015</v>
      </c>
      <c r="B2025" s="1">
        <v>45010.916666666664</v>
      </c>
      <c r="C2025" s="1" t="str">
        <f t="shared" si="62"/>
        <v>03-2023</v>
      </c>
      <c r="D2025" s="2">
        <f t="shared" si="63"/>
        <v>12</v>
      </c>
      <c r="E2025" t="s">
        <v>17</v>
      </c>
      <c r="F2025" t="s">
        <v>14</v>
      </c>
      <c r="G2025" t="s">
        <v>15</v>
      </c>
      <c r="H2025" s="2">
        <v>15133</v>
      </c>
      <c r="I2025" s="2">
        <v>2</v>
      </c>
      <c r="J2025" s="2">
        <v>134875</v>
      </c>
      <c r="K2025" s="2">
        <v>79736</v>
      </c>
      <c r="L2025" s="2">
        <v>5</v>
      </c>
      <c r="M2025" t="str">
        <f>IF(Revv_bike_sales_data[[#This Row],[delivery_days]]&lt;=7, "Yes", "No")</f>
        <v>Yes</v>
      </c>
      <c r="N2025" t="s">
        <v>16</v>
      </c>
      <c r="O2025" s="2">
        <v>55139</v>
      </c>
    </row>
    <row r="2026" spans="1:15" x14ac:dyDescent="0.3">
      <c r="A2026" s="2">
        <v>2016</v>
      </c>
      <c r="B2026" s="1">
        <v>45010.958333333336</v>
      </c>
      <c r="C2026" s="1" t="str">
        <f t="shared" si="62"/>
        <v>03-2023</v>
      </c>
      <c r="D2026" s="2">
        <f t="shared" si="63"/>
        <v>12</v>
      </c>
      <c r="E2026" t="s">
        <v>25</v>
      </c>
      <c r="F2026" t="s">
        <v>14</v>
      </c>
      <c r="G2026" t="s">
        <v>20</v>
      </c>
      <c r="H2026" s="2">
        <v>79664</v>
      </c>
      <c r="I2026" s="2">
        <v>1</v>
      </c>
      <c r="J2026" s="2">
        <v>149264</v>
      </c>
      <c r="K2026" s="2">
        <v>111565</v>
      </c>
      <c r="L2026" s="2">
        <v>14</v>
      </c>
      <c r="M2026" t="str">
        <f>IF(Revv_bike_sales_data[[#This Row],[delivery_days]]&lt;=7, "Yes", "No")</f>
        <v>No</v>
      </c>
      <c r="N2026" t="s">
        <v>16</v>
      </c>
      <c r="O2026" s="2">
        <v>37699</v>
      </c>
    </row>
    <row r="2027" spans="1:15" x14ac:dyDescent="0.3">
      <c r="A2027" s="2">
        <v>2017</v>
      </c>
      <c r="B2027" s="1">
        <v>45011</v>
      </c>
      <c r="C2027" s="1" t="str">
        <f t="shared" si="62"/>
        <v>03-2023</v>
      </c>
      <c r="D2027" s="2">
        <f t="shared" si="63"/>
        <v>13</v>
      </c>
      <c r="E2027" t="s">
        <v>25</v>
      </c>
      <c r="F2027" t="s">
        <v>14</v>
      </c>
      <c r="G2027" t="s">
        <v>19</v>
      </c>
      <c r="H2027" s="2">
        <v>1069</v>
      </c>
      <c r="I2027" s="2">
        <v>1</v>
      </c>
      <c r="J2027" s="2">
        <v>135191</v>
      </c>
      <c r="K2027" s="2">
        <v>45268</v>
      </c>
      <c r="L2027" s="2">
        <v>5</v>
      </c>
      <c r="M2027" t="str">
        <f>IF(Revv_bike_sales_data[[#This Row],[delivery_days]]&lt;=7, "Yes", "No")</f>
        <v>Yes</v>
      </c>
      <c r="N2027" t="s">
        <v>16</v>
      </c>
      <c r="O2027" s="2">
        <v>89923</v>
      </c>
    </row>
    <row r="2028" spans="1:15" x14ac:dyDescent="0.3">
      <c r="A2028" s="2">
        <v>2018</v>
      </c>
      <c r="B2028" s="1">
        <v>45011.041666666664</v>
      </c>
      <c r="C2028" s="1" t="str">
        <f t="shared" si="62"/>
        <v>03-2023</v>
      </c>
      <c r="D2028" s="2">
        <f t="shared" si="63"/>
        <v>13</v>
      </c>
      <c r="E2028" t="s">
        <v>18</v>
      </c>
      <c r="F2028" t="s">
        <v>14</v>
      </c>
      <c r="G2028" t="s">
        <v>20</v>
      </c>
      <c r="H2028" s="2">
        <v>60400</v>
      </c>
      <c r="I2028" s="2">
        <v>7</v>
      </c>
      <c r="J2028" s="2">
        <v>128716</v>
      </c>
      <c r="K2028" s="2">
        <v>127655</v>
      </c>
      <c r="L2028" s="2">
        <v>13</v>
      </c>
      <c r="M2028" t="str">
        <f>IF(Revv_bike_sales_data[[#This Row],[delivery_days]]&lt;=7, "Yes", "No")</f>
        <v>No</v>
      </c>
      <c r="N2028" t="s">
        <v>16</v>
      </c>
      <c r="O2028" s="2">
        <v>1061</v>
      </c>
    </row>
    <row r="2029" spans="1:15" x14ac:dyDescent="0.3">
      <c r="A2029" s="2">
        <v>2019</v>
      </c>
      <c r="B2029" s="1">
        <v>45011.083333333336</v>
      </c>
      <c r="C2029" s="1" t="str">
        <f t="shared" si="62"/>
        <v>03-2023</v>
      </c>
      <c r="D2029" s="2">
        <f t="shared" si="63"/>
        <v>13</v>
      </c>
      <c r="E2029" t="s">
        <v>13</v>
      </c>
      <c r="F2029" t="s">
        <v>14</v>
      </c>
      <c r="G2029" t="s">
        <v>20</v>
      </c>
      <c r="H2029" s="2">
        <v>68009</v>
      </c>
      <c r="I2029" s="2">
        <v>8</v>
      </c>
      <c r="J2029" s="2">
        <v>81321</v>
      </c>
      <c r="K2029" s="2">
        <v>106876</v>
      </c>
      <c r="L2029" s="2">
        <v>4</v>
      </c>
      <c r="M2029" t="str">
        <f>IF(Revv_bike_sales_data[[#This Row],[delivery_days]]&lt;=7, "Yes", "No")</f>
        <v>Yes</v>
      </c>
      <c r="N2029" t="s">
        <v>16</v>
      </c>
      <c r="O2029" s="2">
        <v>-25555</v>
      </c>
    </row>
    <row r="2030" spans="1:15" x14ac:dyDescent="0.3">
      <c r="A2030" s="2">
        <v>2020</v>
      </c>
      <c r="B2030" s="1">
        <v>45011.125</v>
      </c>
      <c r="C2030" s="1" t="str">
        <f t="shared" si="62"/>
        <v>03-2023</v>
      </c>
      <c r="D2030" s="2">
        <f t="shared" si="63"/>
        <v>13</v>
      </c>
      <c r="E2030" t="s">
        <v>18</v>
      </c>
      <c r="F2030" t="s">
        <v>14</v>
      </c>
      <c r="G2030" t="s">
        <v>20</v>
      </c>
      <c r="H2030" s="2">
        <v>33538</v>
      </c>
      <c r="I2030" s="2">
        <v>2</v>
      </c>
      <c r="J2030" s="2">
        <v>138782</v>
      </c>
      <c r="K2030" s="2">
        <v>19290</v>
      </c>
      <c r="L2030" s="2">
        <v>4</v>
      </c>
      <c r="M2030" t="str">
        <f>IF(Revv_bike_sales_data[[#This Row],[delivery_days]]&lt;=7, "Yes", "No")</f>
        <v>Yes</v>
      </c>
      <c r="N2030" t="s">
        <v>16</v>
      </c>
      <c r="O2030" s="2">
        <v>119492</v>
      </c>
    </row>
    <row r="2031" spans="1:15" x14ac:dyDescent="0.3">
      <c r="A2031" s="2">
        <v>2021</v>
      </c>
      <c r="B2031" s="1">
        <v>45011.166666666664</v>
      </c>
      <c r="C2031" s="1" t="str">
        <f t="shared" si="62"/>
        <v>03-2023</v>
      </c>
      <c r="D2031" s="2">
        <f t="shared" si="63"/>
        <v>13</v>
      </c>
      <c r="E2031" t="s">
        <v>13</v>
      </c>
      <c r="F2031" t="s">
        <v>23</v>
      </c>
      <c r="G2031" t="s">
        <v>20</v>
      </c>
      <c r="H2031" s="2">
        <v>49588</v>
      </c>
      <c r="I2031" s="2">
        <v>2</v>
      </c>
      <c r="J2031" s="2">
        <v>134398</v>
      </c>
      <c r="K2031" s="2">
        <v>70034</v>
      </c>
      <c r="L2031" s="2">
        <v>4</v>
      </c>
      <c r="M2031" t="str">
        <f>IF(Revv_bike_sales_data[[#This Row],[delivery_days]]&lt;=7, "Yes", "No")</f>
        <v>Yes</v>
      </c>
      <c r="N2031" t="s">
        <v>16</v>
      </c>
      <c r="O2031" s="2">
        <v>64364</v>
      </c>
    </row>
    <row r="2032" spans="1:15" x14ac:dyDescent="0.3">
      <c r="A2032" s="2">
        <v>2022</v>
      </c>
      <c r="B2032" s="1">
        <v>45011.208333333336</v>
      </c>
      <c r="C2032" s="1" t="str">
        <f t="shared" si="62"/>
        <v>03-2023</v>
      </c>
      <c r="D2032" s="2">
        <f t="shared" si="63"/>
        <v>13</v>
      </c>
      <c r="E2032" t="s">
        <v>22</v>
      </c>
      <c r="F2032" t="s">
        <v>14</v>
      </c>
      <c r="G2032" t="s">
        <v>20</v>
      </c>
      <c r="H2032" s="2">
        <v>73677</v>
      </c>
      <c r="I2032" s="2">
        <v>5</v>
      </c>
      <c r="J2032" s="2">
        <v>83973</v>
      </c>
      <c r="K2032" s="2">
        <v>45138</v>
      </c>
      <c r="L2032" s="2">
        <v>11</v>
      </c>
      <c r="M2032" t="str">
        <f>IF(Revv_bike_sales_data[[#This Row],[delivery_days]]&lt;=7, "Yes", "No")</f>
        <v>No</v>
      </c>
      <c r="N2032" t="s">
        <v>16</v>
      </c>
      <c r="O2032" s="2">
        <v>38835</v>
      </c>
    </row>
    <row r="2033" spans="1:15" x14ac:dyDescent="0.3">
      <c r="A2033" s="2">
        <v>2023</v>
      </c>
      <c r="B2033" s="1">
        <v>45011.25</v>
      </c>
      <c r="C2033" s="1" t="str">
        <f t="shared" si="62"/>
        <v>03-2023</v>
      </c>
      <c r="D2033" s="2">
        <f t="shared" si="63"/>
        <v>13</v>
      </c>
      <c r="E2033" t="s">
        <v>22</v>
      </c>
      <c r="F2033" t="s">
        <v>14</v>
      </c>
      <c r="G2033" t="s">
        <v>21</v>
      </c>
      <c r="H2033" s="2">
        <v>74966</v>
      </c>
      <c r="I2033" s="2">
        <v>9</v>
      </c>
      <c r="J2033" s="2">
        <v>77414</v>
      </c>
      <c r="K2033" s="2">
        <v>86982</v>
      </c>
      <c r="L2033" s="2">
        <v>2</v>
      </c>
      <c r="M2033" t="str">
        <f>IF(Revv_bike_sales_data[[#This Row],[delivery_days]]&lt;=7, "Yes", "No")</f>
        <v>Yes</v>
      </c>
      <c r="N2033" t="s">
        <v>16</v>
      </c>
      <c r="O2033" s="2">
        <v>-9568</v>
      </c>
    </row>
    <row r="2034" spans="1:15" x14ac:dyDescent="0.3">
      <c r="A2034" s="2">
        <v>2024</v>
      </c>
      <c r="B2034" s="1">
        <v>45011.291666666664</v>
      </c>
      <c r="C2034" s="1" t="str">
        <f t="shared" si="62"/>
        <v>03-2023</v>
      </c>
      <c r="D2034" s="2">
        <f t="shared" si="63"/>
        <v>13</v>
      </c>
      <c r="E2034" t="s">
        <v>17</v>
      </c>
      <c r="F2034" t="s">
        <v>14</v>
      </c>
      <c r="G2034" t="s">
        <v>15</v>
      </c>
      <c r="H2034" s="2">
        <v>72716</v>
      </c>
      <c r="I2034" s="2">
        <v>0</v>
      </c>
      <c r="J2034" s="2">
        <v>54692</v>
      </c>
      <c r="K2034" s="2">
        <v>134855</v>
      </c>
      <c r="L2034" s="2">
        <v>1</v>
      </c>
      <c r="M2034" t="str">
        <f>IF(Revv_bike_sales_data[[#This Row],[delivery_days]]&lt;=7, "Yes", "No")</f>
        <v>Yes</v>
      </c>
      <c r="N2034" t="s">
        <v>16</v>
      </c>
      <c r="O2034" s="2">
        <v>-80163</v>
      </c>
    </row>
    <row r="2035" spans="1:15" x14ac:dyDescent="0.3">
      <c r="A2035" s="2">
        <v>2025</v>
      </c>
      <c r="B2035" s="1">
        <v>45011.333333333336</v>
      </c>
      <c r="C2035" s="1" t="str">
        <f t="shared" si="62"/>
        <v>03-2023</v>
      </c>
      <c r="D2035" s="2">
        <f t="shared" si="63"/>
        <v>13</v>
      </c>
      <c r="E2035" t="s">
        <v>13</v>
      </c>
      <c r="F2035" t="s">
        <v>14</v>
      </c>
      <c r="G2035" t="s">
        <v>20</v>
      </c>
      <c r="H2035" s="2">
        <v>67293</v>
      </c>
      <c r="I2035" s="2">
        <v>5</v>
      </c>
      <c r="J2035" s="2">
        <v>130958</v>
      </c>
      <c r="K2035" s="2">
        <v>139650</v>
      </c>
      <c r="L2035" s="2">
        <v>12</v>
      </c>
      <c r="M2035" t="str">
        <f>IF(Revv_bike_sales_data[[#This Row],[delivery_days]]&lt;=7, "Yes", "No")</f>
        <v>No</v>
      </c>
      <c r="N2035" t="s">
        <v>24</v>
      </c>
      <c r="O2035" s="2">
        <v>-8692</v>
      </c>
    </row>
    <row r="2036" spans="1:15" x14ac:dyDescent="0.3">
      <c r="A2036" s="2">
        <v>2026</v>
      </c>
      <c r="B2036" s="1">
        <v>45011.375</v>
      </c>
      <c r="C2036" s="1" t="str">
        <f t="shared" si="62"/>
        <v>03-2023</v>
      </c>
      <c r="D2036" s="2">
        <f t="shared" si="63"/>
        <v>13</v>
      </c>
      <c r="E2036" t="s">
        <v>17</v>
      </c>
      <c r="F2036" t="s">
        <v>14</v>
      </c>
      <c r="G2036" t="s">
        <v>21</v>
      </c>
      <c r="H2036" s="2">
        <v>74286</v>
      </c>
      <c r="I2036" s="2">
        <v>2</v>
      </c>
      <c r="J2036" s="2">
        <v>73750</v>
      </c>
      <c r="K2036" s="2">
        <v>28432</v>
      </c>
      <c r="L2036" s="2">
        <v>2</v>
      </c>
      <c r="M2036" t="str">
        <f>IF(Revv_bike_sales_data[[#This Row],[delivery_days]]&lt;=7, "Yes", "No")</f>
        <v>Yes</v>
      </c>
      <c r="N2036" t="s">
        <v>16</v>
      </c>
      <c r="O2036" s="2">
        <v>45318</v>
      </c>
    </row>
    <row r="2037" spans="1:15" x14ac:dyDescent="0.3">
      <c r="A2037" s="2">
        <v>2027</v>
      </c>
      <c r="B2037" s="1">
        <v>45011.416666666664</v>
      </c>
      <c r="C2037" s="1" t="str">
        <f t="shared" si="62"/>
        <v>03-2023</v>
      </c>
      <c r="D2037" s="2">
        <f t="shared" si="63"/>
        <v>13</v>
      </c>
      <c r="E2037" t="s">
        <v>25</v>
      </c>
      <c r="F2037" t="s">
        <v>14</v>
      </c>
      <c r="G2037" t="s">
        <v>19</v>
      </c>
      <c r="H2037" s="2">
        <v>38638</v>
      </c>
      <c r="I2037" s="2">
        <v>3</v>
      </c>
      <c r="J2037" s="2">
        <v>177832</v>
      </c>
      <c r="K2037" s="2">
        <v>82058</v>
      </c>
      <c r="L2037" s="2">
        <v>7</v>
      </c>
      <c r="M2037" t="str">
        <f>IF(Revv_bike_sales_data[[#This Row],[delivery_days]]&lt;=7, "Yes", "No")</f>
        <v>Yes</v>
      </c>
      <c r="N2037" t="s">
        <v>16</v>
      </c>
      <c r="O2037" s="2">
        <v>95774</v>
      </c>
    </row>
    <row r="2038" spans="1:15" x14ac:dyDescent="0.3">
      <c r="A2038" s="2">
        <v>2028</v>
      </c>
      <c r="B2038" s="1">
        <v>45011.458333333336</v>
      </c>
      <c r="C2038" s="1" t="str">
        <f t="shared" si="62"/>
        <v>03-2023</v>
      </c>
      <c r="D2038" s="2">
        <f t="shared" si="63"/>
        <v>13</v>
      </c>
      <c r="E2038" t="s">
        <v>13</v>
      </c>
      <c r="F2038" t="s">
        <v>14</v>
      </c>
      <c r="G2038" t="s">
        <v>20</v>
      </c>
      <c r="H2038" s="2">
        <v>63810</v>
      </c>
      <c r="I2038" s="2">
        <v>8</v>
      </c>
      <c r="J2038" s="2">
        <v>93456</v>
      </c>
      <c r="K2038" s="2">
        <v>73175</v>
      </c>
      <c r="L2038" s="2">
        <v>12</v>
      </c>
      <c r="M2038" t="str">
        <f>IF(Revv_bike_sales_data[[#This Row],[delivery_days]]&lt;=7, "Yes", "No")</f>
        <v>No</v>
      </c>
      <c r="N2038" t="s">
        <v>16</v>
      </c>
      <c r="O2038" s="2">
        <v>20281</v>
      </c>
    </row>
    <row r="2039" spans="1:15" x14ac:dyDescent="0.3">
      <c r="A2039" s="2">
        <v>2029</v>
      </c>
      <c r="B2039" s="1">
        <v>45011.5</v>
      </c>
      <c r="C2039" s="1" t="str">
        <f t="shared" si="62"/>
        <v>03-2023</v>
      </c>
      <c r="D2039" s="2">
        <f t="shared" si="63"/>
        <v>13</v>
      </c>
      <c r="E2039" t="s">
        <v>18</v>
      </c>
      <c r="F2039" t="s">
        <v>14</v>
      </c>
      <c r="G2039" t="s">
        <v>19</v>
      </c>
      <c r="H2039" s="2">
        <v>29257</v>
      </c>
      <c r="I2039" s="2">
        <v>2</v>
      </c>
      <c r="J2039" s="2">
        <v>49085</v>
      </c>
      <c r="K2039" s="2">
        <v>48329</v>
      </c>
      <c r="L2039" s="2">
        <v>1</v>
      </c>
      <c r="M2039" t="str">
        <f>IF(Revv_bike_sales_data[[#This Row],[delivery_days]]&lt;=7, "Yes", "No")</f>
        <v>Yes</v>
      </c>
      <c r="N2039" t="s">
        <v>16</v>
      </c>
      <c r="O2039" s="2">
        <v>756</v>
      </c>
    </row>
    <row r="2040" spans="1:15" x14ac:dyDescent="0.3">
      <c r="A2040" s="2">
        <v>2030</v>
      </c>
      <c r="B2040" s="1">
        <v>45011.541666666664</v>
      </c>
      <c r="C2040" s="1" t="str">
        <f t="shared" si="62"/>
        <v>03-2023</v>
      </c>
      <c r="D2040" s="2">
        <f t="shared" si="63"/>
        <v>13</v>
      </c>
      <c r="E2040" t="s">
        <v>25</v>
      </c>
      <c r="F2040" t="s">
        <v>14</v>
      </c>
      <c r="G2040" t="s">
        <v>20</v>
      </c>
      <c r="H2040" s="2">
        <v>70894</v>
      </c>
      <c r="I2040" s="2">
        <v>0</v>
      </c>
      <c r="J2040" s="2">
        <v>47925</v>
      </c>
      <c r="K2040" s="2">
        <v>84076</v>
      </c>
      <c r="L2040" s="2">
        <v>6</v>
      </c>
      <c r="M2040" t="str">
        <f>IF(Revv_bike_sales_data[[#This Row],[delivery_days]]&lt;=7, "Yes", "No")</f>
        <v>Yes</v>
      </c>
      <c r="N2040" t="s">
        <v>24</v>
      </c>
      <c r="O2040" s="2">
        <v>-36151</v>
      </c>
    </row>
    <row r="2041" spans="1:15" x14ac:dyDescent="0.3">
      <c r="A2041" s="2">
        <v>2031</v>
      </c>
      <c r="B2041" s="1">
        <v>45011.583333333336</v>
      </c>
      <c r="C2041" s="1" t="str">
        <f t="shared" si="62"/>
        <v>03-2023</v>
      </c>
      <c r="D2041" s="2">
        <f t="shared" si="63"/>
        <v>13</v>
      </c>
      <c r="E2041" t="s">
        <v>25</v>
      </c>
      <c r="F2041" t="s">
        <v>23</v>
      </c>
      <c r="G2041" t="s">
        <v>21</v>
      </c>
      <c r="H2041" s="2">
        <v>79527</v>
      </c>
      <c r="I2041" s="2">
        <v>2</v>
      </c>
      <c r="J2041" s="2">
        <v>30615</v>
      </c>
      <c r="K2041" s="2">
        <v>27328</v>
      </c>
      <c r="L2041" s="2">
        <v>4</v>
      </c>
      <c r="M2041" t="str">
        <f>IF(Revv_bike_sales_data[[#This Row],[delivery_days]]&lt;=7, "Yes", "No")</f>
        <v>Yes</v>
      </c>
      <c r="N2041" t="s">
        <v>16</v>
      </c>
      <c r="O2041" s="2">
        <v>3287</v>
      </c>
    </row>
    <row r="2042" spans="1:15" x14ac:dyDescent="0.3">
      <c r="A2042" s="2">
        <v>2032</v>
      </c>
      <c r="B2042" s="1">
        <v>45011.625</v>
      </c>
      <c r="C2042" s="1" t="str">
        <f t="shared" si="62"/>
        <v>03-2023</v>
      </c>
      <c r="D2042" s="2">
        <f t="shared" si="63"/>
        <v>13</v>
      </c>
      <c r="E2042" t="s">
        <v>18</v>
      </c>
      <c r="F2042" t="s">
        <v>14</v>
      </c>
      <c r="G2042" t="s">
        <v>21</v>
      </c>
      <c r="H2042" s="2">
        <v>91330</v>
      </c>
      <c r="I2042" s="2">
        <v>6</v>
      </c>
      <c r="J2042" s="2">
        <v>62083</v>
      </c>
      <c r="K2042" s="2">
        <v>49247</v>
      </c>
      <c r="L2042" s="2">
        <v>2</v>
      </c>
      <c r="M2042" t="str">
        <f>IF(Revv_bike_sales_data[[#This Row],[delivery_days]]&lt;=7, "Yes", "No")</f>
        <v>Yes</v>
      </c>
      <c r="N2042" t="s">
        <v>16</v>
      </c>
      <c r="O2042" s="2">
        <v>12836</v>
      </c>
    </row>
    <row r="2043" spans="1:15" x14ac:dyDescent="0.3">
      <c r="A2043" s="2">
        <v>2033</v>
      </c>
      <c r="B2043" s="1">
        <v>45011.666666666664</v>
      </c>
      <c r="C2043" s="1" t="str">
        <f t="shared" si="62"/>
        <v>03-2023</v>
      </c>
      <c r="D2043" s="2">
        <f t="shared" si="63"/>
        <v>13</v>
      </c>
      <c r="E2043" t="s">
        <v>25</v>
      </c>
      <c r="F2043" t="s">
        <v>23</v>
      </c>
      <c r="G2043" t="s">
        <v>21</v>
      </c>
      <c r="H2043" s="2">
        <v>56651</v>
      </c>
      <c r="I2043" s="2">
        <v>6</v>
      </c>
      <c r="J2043" s="2">
        <v>135764</v>
      </c>
      <c r="K2043" s="2">
        <v>21677</v>
      </c>
      <c r="L2043" s="2">
        <v>3</v>
      </c>
      <c r="M2043" t="str">
        <f>IF(Revv_bike_sales_data[[#This Row],[delivery_days]]&lt;=7, "Yes", "No")</f>
        <v>Yes</v>
      </c>
      <c r="N2043" t="s">
        <v>24</v>
      </c>
      <c r="O2043" s="2">
        <v>114087</v>
      </c>
    </row>
    <row r="2044" spans="1:15" x14ac:dyDescent="0.3">
      <c r="A2044" s="2">
        <v>2034</v>
      </c>
      <c r="B2044" s="1">
        <v>45011.708333333336</v>
      </c>
      <c r="C2044" s="1" t="str">
        <f t="shared" si="62"/>
        <v>03-2023</v>
      </c>
      <c r="D2044" s="2">
        <f t="shared" si="63"/>
        <v>13</v>
      </c>
      <c r="E2044" t="s">
        <v>13</v>
      </c>
      <c r="F2044" t="s">
        <v>14</v>
      </c>
      <c r="G2044" t="s">
        <v>15</v>
      </c>
      <c r="H2044" s="2">
        <v>49772</v>
      </c>
      <c r="I2044" s="2">
        <v>4</v>
      </c>
      <c r="J2044" s="2">
        <v>34605</v>
      </c>
      <c r="K2044" s="2">
        <v>76810</v>
      </c>
      <c r="L2044" s="2">
        <v>7</v>
      </c>
      <c r="M2044" t="str">
        <f>IF(Revv_bike_sales_data[[#This Row],[delivery_days]]&lt;=7, "Yes", "No")</f>
        <v>Yes</v>
      </c>
      <c r="N2044" t="s">
        <v>16</v>
      </c>
      <c r="O2044" s="2">
        <v>-42205</v>
      </c>
    </row>
    <row r="2045" spans="1:15" x14ac:dyDescent="0.3">
      <c r="A2045" s="2">
        <v>2035</v>
      </c>
      <c r="B2045" s="1">
        <v>45011.75</v>
      </c>
      <c r="C2045" s="1" t="str">
        <f t="shared" si="62"/>
        <v>03-2023</v>
      </c>
      <c r="D2045" s="2">
        <f t="shared" si="63"/>
        <v>13</v>
      </c>
      <c r="E2045" t="s">
        <v>17</v>
      </c>
      <c r="F2045" t="s">
        <v>14</v>
      </c>
      <c r="G2045" t="s">
        <v>19</v>
      </c>
      <c r="H2045" s="2">
        <v>7408</v>
      </c>
      <c r="I2045" s="2">
        <v>0</v>
      </c>
      <c r="J2045" s="2">
        <v>136093</v>
      </c>
      <c r="K2045" s="2">
        <v>65357</v>
      </c>
      <c r="L2045" s="2">
        <v>6</v>
      </c>
      <c r="M2045" t="str">
        <f>IF(Revv_bike_sales_data[[#This Row],[delivery_days]]&lt;=7, "Yes", "No")</f>
        <v>Yes</v>
      </c>
      <c r="N2045" t="s">
        <v>16</v>
      </c>
      <c r="O2045" s="2">
        <v>70736</v>
      </c>
    </row>
    <row r="2046" spans="1:15" x14ac:dyDescent="0.3">
      <c r="A2046" s="2">
        <v>2036</v>
      </c>
      <c r="B2046" s="1">
        <v>45011.791666666664</v>
      </c>
      <c r="C2046" s="1" t="str">
        <f t="shared" si="62"/>
        <v>03-2023</v>
      </c>
      <c r="D2046" s="2">
        <f t="shared" si="63"/>
        <v>13</v>
      </c>
      <c r="E2046" t="s">
        <v>25</v>
      </c>
      <c r="F2046" t="s">
        <v>14</v>
      </c>
      <c r="G2046" t="s">
        <v>15</v>
      </c>
      <c r="H2046" s="2">
        <v>11344</v>
      </c>
      <c r="I2046" s="2">
        <v>7</v>
      </c>
      <c r="J2046" s="2">
        <v>69608</v>
      </c>
      <c r="K2046" s="2">
        <v>70812</v>
      </c>
      <c r="L2046" s="2">
        <v>6</v>
      </c>
      <c r="M2046" t="str">
        <f>IF(Revv_bike_sales_data[[#This Row],[delivery_days]]&lt;=7, "Yes", "No")</f>
        <v>Yes</v>
      </c>
      <c r="N2046" t="s">
        <v>16</v>
      </c>
      <c r="O2046" s="2">
        <v>-1204</v>
      </c>
    </row>
    <row r="2047" spans="1:15" x14ac:dyDescent="0.3">
      <c r="A2047" s="2">
        <v>2037</v>
      </c>
      <c r="B2047" s="1">
        <v>45011.833333333336</v>
      </c>
      <c r="C2047" s="1" t="str">
        <f t="shared" si="62"/>
        <v>03-2023</v>
      </c>
      <c r="D2047" s="2">
        <f t="shared" si="63"/>
        <v>13</v>
      </c>
      <c r="E2047" t="s">
        <v>13</v>
      </c>
      <c r="F2047" t="s">
        <v>14</v>
      </c>
      <c r="G2047" t="s">
        <v>20</v>
      </c>
      <c r="H2047" s="2">
        <v>51955</v>
      </c>
      <c r="I2047" s="2">
        <v>9</v>
      </c>
      <c r="J2047" s="2">
        <v>153788</v>
      </c>
      <c r="K2047" s="2">
        <v>56616</v>
      </c>
      <c r="L2047" s="2">
        <v>8</v>
      </c>
      <c r="M2047" t="str">
        <f>IF(Revv_bike_sales_data[[#This Row],[delivery_days]]&lt;=7, "Yes", "No")</f>
        <v>No</v>
      </c>
      <c r="N2047" t="s">
        <v>24</v>
      </c>
      <c r="O2047" s="2">
        <v>97172</v>
      </c>
    </row>
    <row r="2048" spans="1:15" x14ac:dyDescent="0.3">
      <c r="A2048" s="2">
        <v>2038</v>
      </c>
      <c r="B2048" s="1">
        <v>45011.875</v>
      </c>
      <c r="C2048" s="1" t="str">
        <f t="shared" si="62"/>
        <v>03-2023</v>
      </c>
      <c r="D2048" s="2">
        <f t="shared" si="63"/>
        <v>13</v>
      </c>
      <c r="E2048" t="s">
        <v>22</v>
      </c>
      <c r="F2048" t="s">
        <v>14</v>
      </c>
      <c r="G2048" t="s">
        <v>19</v>
      </c>
      <c r="H2048" s="2">
        <v>68947</v>
      </c>
      <c r="I2048" s="2">
        <v>7</v>
      </c>
      <c r="J2048" s="2">
        <v>44192</v>
      </c>
      <c r="K2048" s="2">
        <v>76284</v>
      </c>
      <c r="L2048" s="2">
        <v>8</v>
      </c>
      <c r="M2048" t="str">
        <f>IF(Revv_bike_sales_data[[#This Row],[delivery_days]]&lt;=7, "Yes", "No")</f>
        <v>No</v>
      </c>
      <c r="N2048" t="s">
        <v>16</v>
      </c>
      <c r="O2048" s="2">
        <v>-32092</v>
      </c>
    </row>
    <row r="2049" spans="1:15" x14ac:dyDescent="0.3">
      <c r="A2049" s="2">
        <v>2039</v>
      </c>
      <c r="B2049" s="1">
        <v>45011.916666666664</v>
      </c>
      <c r="C2049" s="1" t="str">
        <f t="shared" si="62"/>
        <v>03-2023</v>
      </c>
      <c r="D2049" s="2">
        <f t="shared" si="63"/>
        <v>13</v>
      </c>
      <c r="E2049" t="s">
        <v>13</v>
      </c>
      <c r="F2049" t="s">
        <v>14</v>
      </c>
      <c r="G2049" t="s">
        <v>21</v>
      </c>
      <c r="H2049" s="2">
        <v>75027</v>
      </c>
      <c r="I2049" s="2">
        <v>9</v>
      </c>
      <c r="J2049" s="2">
        <v>159403</v>
      </c>
      <c r="K2049" s="2">
        <v>64741</v>
      </c>
      <c r="L2049" s="2">
        <v>6</v>
      </c>
      <c r="M2049" t="str">
        <f>IF(Revv_bike_sales_data[[#This Row],[delivery_days]]&lt;=7, "Yes", "No")</f>
        <v>Yes</v>
      </c>
      <c r="N2049" t="s">
        <v>16</v>
      </c>
      <c r="O2049" s="2">
        <v>94662</v>
      </c>
    </row>
    <row r="2050" spans="1:15" x14ac:dyDescent="0.3">
      <c r="A2050" s="2">
        <v>2040</v>
      </c>
      <c r="B2050" s="1">
        <v>45011.958333333336</v>
      </c>
      <c r="C2050" s="1" t="str">
        <f t="shared" si="62"/>
        <v>03-2023</v>
      </c>
      <c r="D2050" s="2">
        <f t="shared" si="63"/>
        <v>13</v>
      </c>
      <c r="E2050" t="s">
        <v>17</v>
      </c>
      <c r="F2050" t="s">
        <v>14</v>
      </c>
      <c r="G2050" t="s">
        <v>19</v>
      </c>
      <c r="H2050" s="2">
        <v>77608</v>
      </c>
      <c r="I2050" s="2">
        <v>9</v>
      </c>
      <c r="J2050" s="2">
        <v>76330</v>
      </c>
      <c r="K2050" s="2">
        <v>68478</v>
      </c>
      <c r="L2050" s="2">
        <v>1</v>
      </c>
      <c r="M2050" t="str">
        <f>IF(Revv_bike_sales_data[[#This Row],[delivery_days]]&lt;=7, "Yes", "No")</f>
        <v>Yes</v>
      </c>
      <c r="N2050" t="s">
        <v>16</v>
      </c>
      <c r="O2050" s="2">
        <v>7852</v>
      </c>
    </row>
    <row r="2051" spans="1:15" x14ac:dyDescent="0.3">
      <c r="A2051" s="2">
        <v>2041</v>
      </c>
      <c r="B2051" s="1">
        <v>45012</v>
      </c>
      <c r="C2051" s="1" t="str">
        <f t="shared" si="62"/>
        <v>03-2023</v>
      </c>
      <c r="D2051" s="2">
        <f t="shared" si="63"/>
        <v>13</v>
      </c>
      <c r="E2051" t="s">
        <v>13</v>
      </c>
      <c r="F2051" t="s">
        <v>14</v>
      </c>
      <c r="G2051" t="s">
        <v>21</v>
      </c>
      <c r="H2051" s="2">
        <v>43566</v>
      </c>
      <c r="I2051" s="2">
        <v>9</v>
      </c>
      <c r="J2051" s="2">
        <v>74949</v>
      </c>
      <c r="K2051" s="2">
        <v>69056</v>
      </c>
      <c r="L2051" s="2">
        <v>10</v>
      </c>
      <c r="M2051" t="str">
        <f>IF(Revv_bike_sales_data[[#This Row],[delivery_days]]&lt;=7, "Yes", "No")</f>
        <v>No</v>
      </c>
      <c r="N2051" t="s">
        <v>16</v>
      </c>
      <c r="O2051" s="2">
        <v>5893</v>
      </c>
    </row>
    <row r="2052" spans="1:15" x14ac:dyDescent="0.3">
      <c r="A2052" s="2">
        <v>2042</v>
      </c>
      <c r="B2052" s="1">
        <v>45012.041666666664</v>
      </c>
      <c r="C2052" s="1" t="str">
        <f t="shared" si="62"/>
        <v>03-2023</v>
      </c>
      <c r="D2052" s="2">
        <f t="shared" si="63"/>
        <v>13</v>
      </c>
      <c r="E2052" t="s">
        <v>18</v>
      </c>
      <c r="F2052" t="s">
        <v>14</v>
      </c>
      <c r="G2052" t="s">
        <v>15</v>
      </c>
      <c r="H2052" s="2">
        <v>95729</v>
      </c>
      <c r="I2052" s="2">
        <v>1</v>
      </c>
      <c r="J2052" s="2">
        <v>93382</v>
      </c>
      <c r="K2052" s="2">
        <v>106483</v>
      </c>
      <c r="L2052" s="2">
        <v>13</v>
      </c>
      <c r="M2052" t="str">
        <f>IF(Revv_bike_sales_data[[#This Row],[delivery_days]]&lt;=7, "Yes", "No")</f>
        <v>No</v>
      </c>
      <c r="N2052" t="s">
        <v>16</v>
      </c>
      <c r="O2052" s="2">
        <v>-13101</v>
      </c>
    </row>
    <row r="2053" spans="1:15" x14ac:dyDescent="0.3">
      <c r="A2053" s="2">
        <v>2043</v>
      </c>
      <c r="B2053" s="1">
        <v>45012.083333333336</v>
      </c>
      <c r="C2053" s="1" t="str">
        <f t="shared" si="62"/>
        <v>03-2023</v>
      </c>
      <c r="D2053" s="2">
        <f t="shared" si="63"/>
        <v>13</v>
      </c>
      <c r="E2053" t="s">
        <v>17</v>
      </c>
      <c r="F2053" t="s">
        <v>14</v>
      </c>
      <c r="G2053" t="s">
        <v>15</v>
      </c>
      <c r="H2053" s="2">
        <v>40504</v>
      </c>
      <c r="I2053" s="2">
        <v>9</v>
      </c>
      <c r="J2053" s="2">
        <v>124233</v>
      </c>
      <c r="K2053" s="2">
        <v>60534</v>
      </c>
      <c r="L2053" s="2">
        <v>7</v>
      </c>
      <c r="M2053" t="str">
        <f>IF(Revv_bike_sales_data[[#This Row],[delivery_days]]&lt;=7, "Yes", "No")</f>
        <v>Yes</v>
      </c>
      <c r="N2053" t="s">
        <v>16</v>
      </c>
      <c r="O2053" s="2">
        <v>63699</v>
      </c>
    </row>
    <row r="2054" spans="1:15" x14ac:dyDescent="0.3">
      <c r="A2054" s="2">
        <v>2044</v>
      </c>
      <c r="B2054" s="1">
        <v>45012.125</v>
      </c>
      <c r="C2054" s="1" t="str">
        <f t="shared" si="62"/>
        <v>03-2023</v>
      </c>
      <c r="D2054" s="2">
        <f t="shared" si="63"/>
        <v>13</v>
      </c>
      <c r="E2054" t="s">
        <v>22</v>
      </c>
      <c r="F2054" t="s">
        <v>14</v>
      </c>
      <c r="G2054" t="s">
        <v>21</v>
      </c>
      <c r="H2054" s="2">
        <v>38833</v>
      </c>
      <c r="I2054" s="2">
        <v>2</v>
      </c>
      <c r="J2054" s="2">
        <v>77243</v>
      </c>
      <c r="K2054" s="2">
        <v>94056</v>
      </c>
      <c r="L2054" s="2">
        <v>8</v>
      </c>
      <c r="M2054" t="str">
        <f>IF(Revv_bike_sales_data[[#This Row],[delivery_days]]&lt;=7, "Yes", "No")</f>
        <v>No</v>
      </c>
      <c r="N2054" t="s">
        <v>16</v>
      </c>
      <c r="O2054" s="2">
        <v>-16813</v>
      </c>
    </row>
    <row r="2055" spans="1:15" x14ac:dyDescent="0.3">
      <c r="A2055" s="2">
        <v>2045</v>
      </c>
      <c r="B2055" s="1">
        <v>45012.166666666664</v>
      </c>
      <c r="C2055" s="1" t="str">
        <f t="shared" si="62"/>
        <v>03-2023</v>
      </c>
      <c r="D2055" s="2">
        <f t="shared" si="63"/>
        <v>13</v>
      </c>
      <c r="E2055" t="s">
        <v>18</v>
      </c>
      <c r="F2055" t="s">
        <v>14</v>
      </c>
      <c r="G2055" t="s">
        <v>21</v>
      </c>
      <c r="H2055" s="2">
        <v>83529</v>
      </c>
      <c r="I2055" s="2">
        <v>3</v>
      </c>
      <c r="J2055" s="2">
        <v>125566</v>
      </c>
      <c r="K2055" s="2">
        <v>79162</v>
      </c>
      <c r="L2055" s="2">
        <v>5</v>
      </c>
      <c r="M2055" t="str">
        <f>IF(Revv_bike_sales_data[[#This Row],[delivery_days]]&lt;=7, "Yes", "No")</f>
        <v>Yes</v>
      </c>
      <c r="N2055" t="s">
        <v>16</v>
      </c>
      <c r="O2055" s="2">
        <v>46404</v>
      </c>
    </row>
    <row r="2056" spans="1:15" x14ac:dyDescent="0.3">
      <c r="A2056" s="2">
        <v>2046</v>
      </c>
      <c r="B2056" s="1">
        <v>45012.208333333336</v>
      </c>
      <c r="C2056" s="1" t="str">
        <f t="shared" si="62"/>
        <v>03-2023</v>
      </c>
      <c r="D2056" s="2">
        <f t="shared" si="63"/>
        <v>13</v>
      </c>
      <c r="E2056" t="s">
        <v>13</v>
      </c>
      <c r="F2056" t="s">
        <v>14</v>
      </c>
      <c r="G2056" t="s">
        <v>20</v>
      </c>
      <c r="H2056" s="2">
        <v>40197</v>
      </c>
      <c r="I2056" s="2">
        <v>0</v>
      </c>
      <c r="J2056" s="2">
        <v>83618</v>
      </c>
      <c r="K2056" s="2">
        <v>59711</v>
      </c>
      <c r="L2056" s="2">
        <v>13</v>
      </c>
      <c r="M2056" t="str">
        <f>IF(Revv_bike_sales_data[[#This Row],[delivery_days]]&lt;=7, "Yes", "No")</f>
        <v>No</v>
      </c>
      <c r="N2056" t="s">
        <v>16</v>
      </c>
      <c r="O2056" s="2">
        <v>23907</v>
      </c>
    </row>
    <row r="2057" spans="1:15" x14ac:dyDescent="0.3">
      <c r="A2057" s="2">
        <v>2047</v>
      </c>
      <c r="B2057" s="1">
        <v>45012.25</v>
      </c>
      <c r="C2057" s="1" t="str">
        <f t="shared" si="62"/>
        <v>03-2023</v>
      </c>
      <c r="D2057" s="2">
        <f t="shared" si="63"/>
        <v>13</v>
      </c>
      <c r="E2057" t="s">
        <v>17</v>
      </c>
      <c r="F2057" t="s">
        <v>14</v>
      </c>
      <c r="G2057" t="s">
        <v>15</v>
      </c>
      <c r="H2057" s="2">
        <v>18134</v>
      </c>
      <c r="I2057" s="2">
        <v>3</v>
      </c>
      <c r="J2057" s="2">
        <v>163621</v>
      </c>
      <c r="K2057" s="2">
        <v>37805</v>
      </c>
      <c r="L2057" s="2">
        <v>11</v>
      </c>
      <c r="M2057" t="str">
        <f>IF(Revv_bike_sales_data[[#This Row],[delivery_days]]&lt;=7, "Yes", "No")</f>
        <v>No</v>
      </c>
      <c r="N2057" t="s">
        <v>16</v>
      </c>
      <c r="O2057" s="2">
        <v>125816</v>
      </c>
    </row>
    <row r="2058" spans="1:15" x14ac:dyDescent="0.3">
      <c r="A2058" s="2">
        <v>2048</v>
      </c>
      <c r="B2058" s="1">
        <v>45012.291666666664</v>
      </c>
      <c r="C2058" s="1" t="str">
        <f t="shared" si="62"/>
        <v>03-2023</v>
      </c>
      <c r="D2058" s="2">
        <f t="shared" si="63"/>
        <v>13</v>
      </c>
      <c r="E2058" t="s">
        <v>22</v>
      </c>
      <c r="F2058" t="s">
        <v>23</v>
      </c>
      <c r="G2058" t="s">
        <v>15</v>
      </c>
      <c r="H2058" s="2">
        <v>25061</v>
      </c>
      <c r="I2058" s="2">
        <v>4</v>
      </c>
      <c r="J2058" s="2">
        <v>143168</v>
      </c>
      <c r="K2058" s="2">
        <v>110980</v>
      </c>
      <c r="L2058" s="2">
        <v>4</v>
      </c>
      <c r="M2058" t="str">
        <f>IF(Revv_bike_sales_data[[#This Row],[delivery_days]]&lt;=7, "Yes", "No")</f>
        <v>Yes</v>
      </c>
      <c r="N2058" t="s">
        <v>16</v>
      </c>
      <c r="O2058" s="2">
        <v>32188</v>
      </c>
    </row>
    <row r="2059" spans="1:15" x14ac:dyDescent="0.3">
      <c r="A2059" s="2">
        <v>2049</v>
      </c>
      <c r="B2059" s="1">
        <v>45012.333333333336</v>
      </c>
      <c r="C2059" s="1" t="str">
        <f t="shared" ref="C2059:C2122" si="64">TEXT(B2059,"mm-yyyy")</f>
        <v>03-2023</v>
      </c>
      <c r="D2059" s="2">
        <f t="shared" ref="D2059:D2122" si="65">WEEKNUM(B2059)</f>
        <v>13</v>
      </c>
      <c r="E2059" t="s">
        <v>18</v>
      </c>
      <c r="F2059" t="s">
        <v>14</v>
      </c>
      <c r="G2059" t="s">
        <v>20</v>
      </c>
      <c r="H2059" s="2">
        <v>18533</v>
      </c>
      <c r="I2059" s="2">
        <v>2</v>
      </c>
      <c r="J2059" s="2">
        <v>77494</v>
      </c>
      <c r="K2059" s="2">
        <v>35143</v>
      </c>
      <c r="L2059" s="2">
        <v>7</v>
      </c>
      <c r="M2059" t="str">
        <f>IF(Revv_bike_sales_data[[#This Row],[delivery_days]]&lt;=7, "Yes", "No")</f>
        <v>Yes</v>
      </c>
      <c r="N2059" t="s">
        <v>16</v>
      </c>
      <c r="O2059" s="2">
        <v>42351</v>
      </c>
    </row>
    <row r="2060" spans="1:15" x14ac:dyDescent="0.3">
      <c r="A2060" s="2">
        <v>2050</v>
      </c>
      <c r="B2060" s="1">
        <v>45012.375</v>
      </c>
      <c r="C2060" s="1" t="str">
        <f t="shared" si="64"/>
        <v>03-2023</v>
      </c>
      <c r="D2060" s="2">
        <f t="shared" si="65"/>
        <v>13</v>
      </c>
      <c r="E2060" t="s">
        <v>22</v>
      </c>
      <c r="F2060" t="s">
        <v>14</v>
      </c>
      <c r="G2060" t="s">
        <v>15</v>
      </c>
      <c r="H2060" s="2">
        <v>73387</v>
      </c>
      <c r="I2060" s="2">
        <v>9</v>
      </c>
      <c r="J2060" s="2">
        <v>48958</v>
      </c>
      <c r="K2060" s="2">
        <v>90828</v>
      </c>
      <c r="L2060" s="2">
        <v>12</v>
      </c>
      <c r="M2060" t="str">
        <f>IF(Revv_bike_sales_data[[#This Row],[delivery_days]]&lt;=7, "Yes", "No")</f>
        <v>No</v>
      </c>
      <c r="N2060" t="s">
        <v>16</v>
      </c>
      <c r="O2060" s="2">
        <v>-41870</v>
      </c>
    </row>
    <row r="2061" spans="1:15" x14ac:dyDescent="0.3">
      <c r="A2061" s="2">
        <v>2051</v>
      </c>
      <c r="B2061" s="1">
        <v>45012.416666666664</v>
      </c>
      <c r="C2061" s="1" t="str">
        <f t="shared" si="64"/>
        <v>03-2023</v>
      </c>
      <c r="D2061" s="2">
        <f t="shared" si="65"/>
        <v>13</v>
      </c>
      <c r="E2061" t="s">
        <v>13</v>
      </c>
      <c r="F2061" t="s">
        <v>14</v>
      </c>
      <c r="G2061" t="s">
        <v>21</v>
      </c>
      <c r="H2061" s="2">
        <v>55563</v>
      </c>
      <c r="I2061" s="2">
        <v>1</v>
      </c>
      <c r="J2061" s="2">
        <v>132960</v>
      </c>
      <c r="K2061" s="2">
        <v>123380</v>
      </c>
      <c r="L2061" s="2">
        <v>12</v>
      </c>
      <c r="M2061" t="str">
        <f>IF(Revv_bike_sales_data[[#This Row],[delivery_days]]&lt;=7, "Yes", "No")</f>
        <v>No</v>
      </c>
      <c r="N2061" t="s">
        <v>16</v>
      </c>
      <c r="O2061" s="2">
        <v>9580</v>
      </c>
    </row>
    <row r="2062" spans="1:15" x14ac:dyDescent="0.3">
      <c r="A2062" s="2">
        <v>2052</v>
      </c>
      <c r="B2062" s="1">
        <v>45012.458333333336</v>
      </c>
      <c r="C2062" s="1" t="str">
        <f t="shared" si="64"/>
        <v>03-2023</v>
      </c>
      <c r="D2062" s="2">
        <f t="shared" si="65"/>
        <v>13</v>
      </c>
      <c r="E2062" t="s">
        <v>22</v>
      </c>
      <c r="F2062" t="s">
        <v>14</v>
      </c>
      <c r="G2062" t="s">
        <v>19</v>
      </c>
      <c r="H2062" s="2">
        <v>26421</v>
      </c>
      <c r="I2062" s="2">
        <v>5</v>
      </c>
      <c r="J2062" s="2">
        <v>127478</v>
      </c>
      <c r="K2062" s="2">
        <v>77473</v>
      </c>
      <c r="L2062" s="2">
        <v>11</v>
      </c>
      <c r="M2062" t="str">
        <f>IF(Revv_bike_sales_data[[#This Row],[delivery_days]]&lt;=7, "Yes", "No")</f>
        <v>No</v>
      </c>
      <c r="N2062" t="s">
        <v>16</v>
      </c>
      <c r="O2062" s="2">
        <v>50005</v>
      </c>
    </row>
    <row r="2063" spans="1:15" x14ac:dyDescent="0.3">
      <c r="A2063" s="2">
        <v>2053</v>
      </c>
      <c r="B2063" s="1">
        <v>45012.5</v>
      </c>
      <c r="C2063" s="1" t="str">
        <f t="shared" si="64"/>
        <v>03-2023</v>
      </c>
      <c r="D2063" s="2">
        <f t="shared" si="65"/>
        <v>13</v>
      </c>
      <c r="E2063" t="s">
        <v>25</v>
      </c>
      <c r="F2063" t="s">
        <v>14</v>
      </c>
      <c r="G2063" t="s">
        <v>19</v>
      </c>
      <c r="H2063" s="2">
        <v>19840</v>
      </c>
      <c r="I2063" s="2">
        <v>7</v>
      </c>
      <c r="J2063" s="2">
        <v>30833</v>
      </c>
      <c r="K2063" s="2">
        <v>31017</v>
      </c>
      <c r="L2063" s="2">
        <v>13</v>
      </c>
      <c r="M2063" t="str">
        <f>IF(Revv_bike_sales_data[[#This Row],[delivery_days]]&lt;=7, "Yes", "No")</f>
        <v>No</v>
      </c>
      <c r="N2063" t="s">
        <v>16</v>
      </c>
      <c r="O2063" s="2">
        <v>-184</v>
      </c>
    </row>
    <row r="2064" spans="1:15" x14ac:dyDescent="0.3">
      <c r="A2064" s="2">
        <v>2054</v>
      </c>
      <c r="B2064" s="1">
        <v>45012.541666666664</v>
      </c>
      <c r="C2064" s="1" t="str">
        <f t="shared" si="64"/>
        <v>03-2023</v>
      </c>
      <c r="D2064" s="2">
        <f t="shared" si="65"/>
        <v>13</v>
      </c>
      <c r="E2064" t="s">
        <v>18</v>
      </c>
      <c r="F2064" t="s">
        <v>14</v>
      </c>
      <c r="G2064" t="s">
        <v>15</v>
      </c>
      <c r="H2064" s="2">
        <v>63281</v>
      </c>
      <c r="I2064" s="2">
        <v>6</v>
      </c>
      <c r="J2064" s="2">
        <v>179458</v>
      </c>
      <c r="K2064" s="2">
        <v>78202</v>
      </c>
      <c r="L2064" s="2">
        <v>6</v>
      </c>
      <c r="M2064" t="str">
        <f>IF(Revv_bike_sales_data[[#This Row],[delivery_days]]&lt;=7, "Yes", "No")</f>
        <v>Yes</v>
      </c>
      <c r="N2064" t="s">
        <v>16</v>
      </c>
      <c r="O2064" s="2">
        <v>101256</v>
      </c>
    </row>
    <row r="2065" spans="1:15" x14ac:dyDescent="0.3">
      <c r="A2065" s="2">
        <v>2055</v>
      </c>
      <c r="B2065" s="1">
        <v>45012.583333333336</v>
      </c>
      <c r="C2065" s="1" t="str">
        <f t="shared" si="64"/>
        <v>03-2023</v>
      </c>
      <c r="D2065" s="2">
        <f t="shared" si="65"/>
        <v>13</v>
      </c>
      <c r="E2065" t="s">
        <v>22</v>
      </c>
      <c r="F2065" t="s">
        <v>14</v>
      </c>
      <c r="G2065" t="s">
        <v>20</v>
      </c>
      <c r="H2065" s="2">
        <v>15401</v>
      </c>
      <c r="I2065" s="2">
        <v>0</v>
      </c>
      <c r="J2065" s="2">
        <v>124341</v>
      </c>
      <c r="K2065" s="2">
        <v>105859</v>
      </c>
      <c r="L2065" s="2">
        <v>12</v>
      </c>
      <c r="M2065" t="str">
        <f>IF(Revv_bike_sales_data[[#This Row],[delivery_days]]&lt;=7, "Yes", "No")</f>
        <v>No</v>
      </c>
      <c r="N2065" t="s">
        <v>16</v>
      </c>
      <c r="O2065" s="2">
        <v>18482</v>
      </c>
    </row>
    <row r="2066" spans="1:15" x14ac:dyDescent="0.3">
      <c r="A2066" s="2">
        <v>2056</v>
      </c>
      <c r="B2066" s="1">
        <v>45012.625</v>
      </c>
      <c r="C2066" s="1" t="str">
        <f t="shared" si="64"/>
        <v>03-2023</v>
      </c>
      <c r="D2066" s="2">
        <f t="shared" si="65"/>
        <v>13</v>
      </c>
      <c r="E2066" t="s">
        <v>13</v>
      </c>
      <c r="F2066" t="s">
        <v>14</v>
      </c>
      <c r="G2066" t="s">
        <v>21</v>
      </c>
      <c r="H2066" s="2">
        <v>11138</v>
      </c>
      <c r="I2066" s="2">
        <v>3</v>
      </c>
      <c r="J2066" s="2">
        <v>119240</v>
      </c>
      <c r="K2066" s="2">
        <v>56423</v>
      </c>
      <c r="L2066" s="2">
        <v>6</v>
      </c>
      <c r="M2066" t="str">
        <f>IF(Revv_bike_sales_data[[#This Row],[delivery_days]]&lt;=7, "Yes", "No")</f>
        <v>Yes</v>
      </c>
      <c r="N2066" t="s">
        <v>16</v>
      </c>
      <c r="O2066" s="2">
        <v>62817</v>
      </c>
    </row>
    <row r="2067" spans="1:15" x14ac:dyDescent="0.3">
      <c r="A2067" s="2">
        <v>2057</v>
      </c>
      <c r="B2067" s="1">
        <v>45012.666666666664</v>
      </c>
      <c r="C2067" s="1" t="str">
        <f t="shared" si="64"/>
        <v>03-2023</v>
      </c>
      <c r="D2067" s="2">
        <f t="shared" si="65"/>
        <v>13</v>
      </c>
      <c r="E2067" t="s">
        <v>13</v>
      </c>
      <c r="F2067" t="s">
        <v>14</v>
      </c>
      <c r="G2067" t="s">
        <v>19</v>
      </c>
      <c r="H2067" s="2">
        <v>39096</v>
      </c>
      <c r="I2067" s="2">
        <v>2</v>
      </c>
      <c r="J2067" s="2">
        <v>132955</v>
      </c>
      <c r="K2067" s="2">
        <v>56713</v>
      </c>
      <c r="L2067" s="2">
        <v>14</v>
      </c>
      <c r="M2067" t="str">
        <f>IF(Revv_bike_sales_data[[#This Row],[delivery_days]]&lt;=7, "Yes", "No")</f>
        <v>No</v>
      </c>
      <c r="N2067" t="s">
        <v>16</v>
      </c>
      <c r="O2067" s="2">
        <v>76242</v>
      </c>
    </row>
    <row r="2068" spans="1:15" x14ac:dyDescent="0.3">
      <c r="A2068" s="2">
        <v>2058</v>
      </c>
      <c r="B2068" s="1">
        <v>45012.708333333336</v>
      </c>
      <c r="C2068" s="1" t="str">
        <f t="shared" si="64"/>
        <v>03-2023</v>
      </c>
      <c r="D2068" s="2">
        <f t="shared" si="65"/>
        <v>13</v>
      </c>
      <c r="E2068" t="s">
        <v>22</v>
      </c>
      <c r="F2068" t="s">
        <v>14</v>
      </c>
      <c r="G2068" t="s">
        <v>21</v>
      </c>
      <c r="H2068" s="2">
        <v>87414</v>
      </c>
      <c r="I2068" s="2">
        <v>5</v>
      </c>
      <c r="J2068" s="2">
        <v>29073</v>
      </c>
      <c r="K2068" s="2">
        <v>102856</v>
      </c>
      <c r="L2068" s="2">
        <v>3</v>
      </c>
      <c r="M2068" t="str">
        <f>IF(Revv_bike_sales_data[[#This Row],[delivery_days]]&lt;=7, "Yes", "No")</f>
        <v>Yes</v>
      </c>
      <c r="N2068" t="s">
        <v>16</v>
      </c>
      <c r="O2068" s="2">
        <v>-73783</v>
      </c>
    </row>
    <row r="2069" spans="1:15" x14ac:dyDescent="0.3">
      <c r="A2069" s="2">
        <v>2059</v>
      </c>
      <c r="B2069" s="1">
        <v>45012.75</v>
      </c>
      <c r="C2069" s="1" t="str">
        <f t="shared" si="64"/>
        <v>03-2023</v>
      </c>
      <c r="D2069" s="2">
        <f t="shared" si="65"/>
        <v>13</v>
      </c>
      <c r="E2069" t="s">
        <v>13</v>
      </c>
      <c r="F2069" t="s">
        <v>14</v>
      </c>
      <c r="G2069" t="s">
        <v>15</v>
      </c>
      <c r="H2069" s="2">
        <v>44824</v>
      </c>
      <c r="I2069" s="2">
        <v>8</v>
      </c>
      <c r="J2069" s="2">
        <v>42667</v>
      </c>
      <c r="K2069" s="2">
        <v>89310</v>
      </c>
      <c r="L2069" s="2">
        <v>11</v>
      </c>
      <c r="M2069" t="str">
        <f>IF(Revv_bike_sales_data[[#This Row],[delivery_days]]&lt;=7, "Yes", "No")</f>
        <v>No</v>
      </c>
      <c r="N2069" t="s">
        <v>24</v>
      </c>
      <c r="O2069" s="2">
        <v>-46643</v>
      </c>
    </row>
    <row r="2070" spans="1:15" x14ac:dyDescent="0.3">
      <c r="A2070" s="2">
        <v>2060</v>
      </c>
      <c r="B2070" s="1">
        <v>45012.791666666664</v>
      </c>
      <c r="C2070" s="1" t="str">
        <f t="shared" si="64"/>
        <v>03-2023</v>
      </c>
      <c r="D2070" s="2">
        <f t="shared" si="65"/>
        <v>13</v>
      </c>
      <c r="E2070" t="s">
        <v>17</v>
      </c>
      <c r="F2070" t="s">
        <v>23</v>
      </c>
      <c r="G2070" t="s">
        <v>15</v>
      </c>
      <c r="H2070" s="2">
        <v>88856</v>
      </c>
      <c r="I2070" s="2">
        <v>8</v>
      </c>
      <c r="J2070" s="2">
        <v>172107</v>
      </c>
      <c r="K2070" s="2">
        <v>17205</v>
      </c>
      <c r="L2070" s="2">
        <v>10</v>
      </c>
      <c r="M2070" t="str">
        <f>IF(Revv_bike_sales_data[[#This Row],[delivery_days]]&lt;=7, "Yes", "No")</f>
        <v>No</v>
      </c>
      <c r="N2070" t="s">
        <v>16</v>
      </c>
      <c r="O2070" s="2">
        <v>154902</v>
      </c>
    </row>
    <row r="2071" spans="1:15" x14ac:dyDescent="0.3">
      <c r="A2071" s="2">
        <v>2061</v>
      </c>
      <c r="B2071" s="1">
        <v>45012.833333333336</v>
      </c>
      <c r="C2071" s="1" t="str">
        <f t="shared" si="64"/>
        <v>03-2023</v>
      </c>
      <c r="D2071" s="2">
        <f t="shared" si="65"/>
        <v>13</v>
      </c>
      <c r="E2071" t="s">
        <v>17</v>
      </c>
      <c r="F2071" t="s">
        <v>14</v>
      </c>
      <c r="G2071" t="s">
        <v>19</v>
      </c>
      <c r="H2071" s="2">
        <v>91096</v>
      </c>
      <c r="I2071" s="2">
        <v>6</v>
      </c>
      <c r="J2071" s="2">
        <v>31732</v>
      </c>
      <c r="K2071" s="2">
        <v>68266</v>
      </c>
      <c r="L2071" s="2">
        <v>4</v>
      </c>
      <c r="M2071" t="str">
        <f>IF(Revv_bike_sales_data[[#This Row],[delivery_days]]&lt;=7, "Yes", "No")</f>
        <v>Yes</v>
      </c>
      <c r="N2071" t="s">
        <v>24</v>
      </c>
      <c r="O2071" s="2">
        <v>-36534</v>
      </c>
    </row>
    <row r="2072" spans="1:15" x14ac:dyDescent="0.3">
      <c r="A2072" s="2">
        <v>2062</v>
      </c>
      <c r="B2072" s="1">
        <v>45012.875</v>
      </c>
      <c r="C2072" s="1" t="str">
        <f t="shared" si="64"/>
        <v>03-2023</v>
      </c>
      <c r="D2072" s="2">
        <f t="shared" si="65"/>
        <v>13</v>
      </c>
      <c r="E2072" t="s">
        <v>17</v>
      </c>
      <c r="F2072" t="s">
        <v>14</v>
      </c>
      <c r="G2072" t="s">
        <v>15</v>
      </c>
      <c r="H2072" s="2">
        <v>33142</v>
      </c>
      <c r="I2072" s="2">
        <v>8</v>
      </c>
      <c r="J2072" s="2">
        <v>80097</v>
      </c>
      <c r="K2072" s="2">
        <v>27342</v>
      </c>
      <c r="L2072" s="2">
        <v>5</v>
      </c>
      <c r="M2072" t="str">
        <f>IF(Revv_bike_sales_data[[#This Row],[delivery_days]]&lt;=7, "Yes", "No")</f>
        <v>Yes</v>
      </c>
      <c r="N2072" t="s">
        <v>16</v>
      </c>
      <c r="O2072" s="2">
        <v>52755</v>
      </c>
    </row>
    <row r="2073" spans="1:15" x14ac:dyDescent="0.3">
      <c r="A2073" s="2">
        <v>2063</v>
      </c>
      <c r="B2073" s="1">
        <v>45012.916666666664</v>
      </c>
      <c r="C2073" s="1" t="str">
        <f t="shared" si="64"/>
        <v>03-2023</v>
      </c>
      <c r="D2073" s="2">
        <f t="shared" si="65"/>
        <v>13</v>
      </c>
      <c r="E2073" t="s">
        <v>25</v>
      </c>
      <c r="F2073" t="s">
        <v>14</v>
      </c>
      <c r="G2073" t="s">
        <v>20</v>
      </c>
      <c r="H2073" s="2">
        <v>25878</v>
      </c>
      <c r="I2073" s="2">
        <v>7</v>
      </c>
      <c r="J2073" s="2">
        <v>28487</v>
      </c>
      <c r="K2073" s="2">
        <v>84563</v>
      </c>
      <c r="L2073" s="2">
        <v>9</v>
      </c>
      <c r="M2073" t="str">
        <f>IF(Revv_bike_sales_data[[#This Row],[delivery_days]]&lt;=7, "Yes", "No")</f>
        <v>No</v>
      </c>
      <c r="N2073" t="s">
        <v>16</v>
      </c>
      <c r="O2073" s="2">
        <v>-56076</v>
      </c>
    </row>
    <row r="2074" spans="1:15" x14ac:dyDescent="0.3">
      <c r="A2074" s="2">
        <v>2064</v>
      </c>
      <c r="B2074" s="1">
        <v>45012.958333333336</v>
      </c>
      <c r="C2074" s="1" t="str">
        <f t="shared" si="64"/>
        <v>03-2023</v>
      </c>
      <c r="D2074" s="2">
        <f t="shared" si="65"/>
        <v>13</v>
      </c>
      <c r="E2074" t="s">
        <v>22</v>
      </c>
      <c r="F2074" t="s">
        <v>14</v>
      </c>
      <c r="G2074" t="s">
        <v>15</v>
      </c>
      <c r="H2074" s="2">
        <v>51367</v>
      </c>
      <c r="I2074" s="2">
        <v>4</v>
      </c>
      <c r="J2074" s="2">
        <v>82702</v>
      </c>
      <c r="K2074" s="2">
        <v>78190</v>
      </c>
      <c r="L2074" s="2">
        <v>8</v>
      </c>
      <c r="M2074" t="str">
        <f>IF(Revv_bike_sales_data[[#This Row],[delivery_days]]&lt;=7, "Yes", "No")</f>
        <v>No</v>
      </c>
      <c r="N2074" t="s">
        <v>16</v>
      </c>
      <c r="O2074" s="2">
        <v>4512</v>
      </c>
    </row>
    <row r="2075" spans="1:15" x14ac:dyDescent="0.3">
      <c r="A2075" s="2">
        <v>2065</v>
      </c>
      <c r="B2075" s="1">
        <v>45013</v>
      </c>
      <c r="C2075" s="1" t="str">
        <f t="shared" si="64"/>
        <v>03-2023</v>
      </c>
      <c r="D2075" s="2">
        <f t="shared" si="65"/>
        <v>13</v>
      </c>
      <c r="E2075" t="s">
        <v>25</v>
      </c>
      <c r="F2075" t="s">
        <v>23</v>
      </c>
      <c r="G2075" t="s">
        <v>15</v>
      </c>
      <c r="H2075" s="2">
        <v>74186</v>
      </c>
      <c r="I2075" s="2">
        <v>8</v>
      </c>
      <c r="J2075" s="2">
        <v>119961</v>
      </c>
      <c r="K2075" s="2">
        <v>96863</v>
      </c>
      <c r="L2075" s="2">
        <v>3</v>
      </c>
      <c r="M2075" t="str">
        <f>IF(Revv_bike_sales_data[[#This Row],[delivery_days]]&lt;=7, "Yes", "No")</f>
        <v>Yes</v>
      </c>
      <c r="N2075" t="s">
        <v>16</v>
      </c>
      <c r="O2075" s="2">
        <v>23098</v>
      </c>
    </row>
    <row r="2076" spans="1:15" x14ac:dyDescent="0.3">
      <c r="A2076" s="2">
        <v>2066</v>
      </c>
      <c r="B2076" s="1">
        <v>45013.041666666664</v>
      </c>
      <c r="C2076" s="1" t="str">
        <f t="shared" si="64"/>
        <v>03-2023</v>
      </c>
      <c r="D2076" s="2">
        <f t="shared" si="65"/>
        <v>13</v>
      </c>
      <c r="E2076" t="s">
        <v>13</v>
      </c>
      <c r="F2076" t="s">
        <v>14</v>
      </c>
      <c r="G2076" t="s">
        <v>15</v>
      </c>
      <c r="H2076" s="2">
        <v>43375</v>
      </c>
      <c r="I2076" s="2">
        <v>6</v>
      </c>
      <c r="J2076" s="2">
        <v>110107</v>
      </c>
      <c r="K2076" s="2">
        <v>36200</v>
      </c>
      <c r="L2076" s="2">
        <v>6</v>
      </c>
      <c r="M2076" t="str">
        <f>IF(Revv_bike_sales_data[[#This Row],[delivery_days]]&lt;=7, "Yes", "No")</f>
        <v>Yes</v>
      </c>
      <c r="N2076" t="s">
        <v>16</v>
      </c>
      <c r="O2076" s="2">
        <v>73907</v>
      </c>
    </row>
    <row r="2077" spans="1:15" x14ac:dyDescent="0.3">
      <c r="A2077" s="2">
        <v>2067</v>
      </c>
      <c r="B2077" s="1">
        <v>45013.083333333336</v>
      </c>
      <c r="C2077" s="1" t="str">
        <f t="shared" si="64"/>
        <v>03-2023</v>
      </c>
      <c r="D2077" s="2">
        <f t="shared" si="65"/>
        <v>13</v>
      </c>
      <c r="E2077" t="s">
        <v>25</v>
      </c>
      <c r="F2077" t="s">
        <v>23</v>
      </c>
      <c r="G2077" t="s">
        <v>21</v>
      </c>
      <c r="H2077" s="2">
        <v>90095</v>
      </c>
      <c r="I2077" s="2">
        <v>4</v>
      </c>
      <c r="J2077" s="2">
        <v>132721</v>
      </c>
      <c r="K2077" s="2">
        <v>22188</v>
      </c>
      <c r="L2077" s="2">
        <v>10</v>
      </c>
      <c r="M2077" t="str">
        <f>IF(Revv_bike_sales_data[[#This Row],[delivery_days]]&lt;=7, "Yes", "No")</f>
        <v>No</v>
      </c>
      <c r="N2077" t="s">
        <v>16</v>
      </c>
      <c r="O2077" s="2">
        <v>110533</v>
      </c>
    </row>
    <row r="2078" spans="1:15" x14ac:dyDescent="0.3">
      <c r="A2078" s="2">
        <v>2068</v>
      </c>
      <c r="B2078" s="1">
        <v>45013.125</v>
      </c>
      <c r="C2078" s="1" t="str">
        <f t="shared" si="64"/>
        <v>03-2023</v>
      </c>
      <c r="D2078" s="2">
        <f t="shared" si="65"/>
        <v>13</v>
      </c>
      <c r="E2078" t="s">
        <v>13</v>
      </c>
      <c r="F2078" t="s">
        <v>14</v>
      </c>
      <c r="G2078" t="s">
        <v>21</v>
      </c>
      <c r="H2078" s="2">
        <v>84229</v>
      </c>
      <c r="I2078" s="2">
        <v>7</v>
      </c>
      <c r="J2078" s="2">
        <v>96031</v>
      </c>
      <c r="K2078" s="2">
        <v>17808</v>
      </c>
      <c r="L2078" s="2">
        <v>1</v>
      </c>
      <c r="M2078" t="str">
        <f>IF(Revv_bike_sales_data[[#This Row],[delivery_days]]&lt;=7, "Yes", "No")</f>
        <v>Yes</v>
      </c>
      <c r="N2078" t="s">
        <v>24</v>
      </c>
      <c r="O2078" s="2">
        <v>78223</v>
      </c>
    </row>
    <row r="2079" spans="1:15" x14ac:dyDescent="0.3">
      <c r="A2079" s="2">
        <v>2069</v>
      </c>
      <c r="B2079" s="1">
        <v>45013.166666666664</v>
      </c>
      <c r="C2079" s="1" t="str">
        <f t="shared" si="64"/>
        <v>03-2023</v>
      </c>
      <c r="D2079" s="2">
        <f t="shared" si="65"/>
        <v>13</v>
      </c>
      <c r="E2079" t="s">
        <v>13</v>
      </c>
      <c r="F2079" t="s">
        <v>14</v>
      </c>
      <c r="G2079" t="s">
        <v>19</v>
      </c>
      <c r="H2079" s="2">
        <v>64877</v>
      </c>
      <c r="I2079" s="2">
        <v>6</v>
      </c>
      <c r="J2079" s="2">
        <v>109217</v>
      </c>
      <c r="K2079" s="2">
        <v>28851</v>
      </c>
      <c r="L2079" s="2">
        <v>3</v>
      </c>
      <c r="M2079" t="str">
        <f>IF(Revv_bike_sales_data[[#This Row],[delivery_days]]&lt;=7, "Yes", "No")</f>
        <v>Yes</v>
      </c>
      <c r="N2079" t="s">
        <v>16</v>
      </c>
      <c r="O2079" s="2">
        <v>80366</v>
      </c>
    </row>
    <row r="2080" spans="1:15" x14ac:dyDescent="0.3">
      <c r="A2080" s="2">
        <v>2070</v>
      </c>
      <c r="B2080" s="1">
        <v>45013.208333333336</v>
      </c>
      <c r="C2080" s="1" t="str">
        <f t="shared" si="64"/>
        <v>03-2023</v>
      </c>
      <c r="D2080" s="2">
        <f t="shared" si="65"/>
        <v>13</v>
      </c>
      <c r="E2080" t="s">
        <v>18</v>
      </c>
      <c r="F2080" t="s">
        <v>14</v>
      </c>
      <c r="G2080" t="s">
        <v>19</v>
      </c>
      <c r="H2080" s="2">
        <v>55191</v>
      </c>
      <c r="I2080" s="2">
        <v>8</v>
      </c>
      <c r="J2080" s="2">
        <v>39781</v>
      </c>
      <c r="K2080" s="2">
        <v>95890</v>
      </c>
      <c r="L2080" s="2">
        <v>10</v>
      </c>
      <c r="M2080" t="str">
        <f>IF(Revv_bike_sales_data[[#This Row],[delivery_days]]&lt;=7, "Yes", "No")</f>
        <v>No</v>
      </c>
      <c r="N2080" t="s">
        <v>16</v>
      </c>
      <c r="O2080" s="2">
        <v>-56109</v>
      </c>
    </row>
    <row r="2081" spans="1:15" x14ac:dyDescent="0.3">
      <c r="A2081" s="2">
        <v>2071</v>
      </c>
      <c r="B2081" s="1">
        <v>45013.25</v>
      </c>
      <c r="C2081" s="1" t="str">
        <f t="shared" si="64"/>
        <v>03-2023</v>
      </c>
      <c r="D2081" s="2">
        <f t="shared" si="65"/>
        <v>13</v>
      </c>
      <c r="E2081" t="s">
        <v>17</v>
      </c>
      <c r="F2081" t="s">
        <v>14</v>
      </c>
      <c r="G2081" t="s">
        <v>19</v>
      </c>
      <c r="H2081" s="2">
        <v>93837</v>
      </c>
      <c r="I2081" s="2">
        <v>9</v>
      </c>
      <c r="J2081" s="2">
        <v>64865</v>
      </c>
      <c r="K2081" s="2">
        <v>79928</v>
      </c>
      <c r="L2081" s="2">
        <v>14</v>
      </c>
      <c r="M2081" t="str">
        <f>IF(Revv_bike_sales_data[[#This Row],[delivery_days]]&lt;=7, "Yes", "No")</f>
        <v>No</v>
      </c>
      <c r="N2081" t="s">
        <v>16</v>
      </c>
      <c r="O2081" s="2">
        <v>-15063</v>
      </c>
    </row>
    <row r="2082" spans="1:15" x14ac:dyDescent="0.3">
      <c r="A2082" s="2">
        <v>2072</v>
      </c>
      <c r="B2082" s="1">
        <v>45013.291666666664</v>
      </c>
      <c r="C2082" s="1" t="str">
        <f t="shared" si="64"/>
        <v>03-2023</v>
      </c>
      <c r="D2082" s="2">
        <f t="shared" si="65"/>
        <v>13</v>
      </c>
      <c r="E2082" t="s">
        <v>13</v>
      </c>
      <c r="F2082" t="s">
        <v>23</v>
      </c>
      <c r="G2082" t="s">
        <v>15</v>
      </c>
      <c r="H2082" s="2">
        <v>64803</v>
      </c>
      <c r="I2082" s="2">
        <v>0</v>
      </c>
      <c r="J2082" s="2">
        <v>33469</v>
      </c>
      <c r="K2082" s="2">
        <v>30058</v>
      </c>
      <c r="L2082" s="2">
        <v>12</v>
      </c>
      <c r="M2082" t="str">
        <f>IF(Revv_bike_sales_data[[#This Row],[delivery_days]]&lt;=7, "Yes", "No")</f>
        <v>No</v>
      </c>
      <c r="N2082" t="s">
        <v>24</v>
      </c>
      <c r="O2082" s="2">
        <v>3411</v>
      </c>
    </row>
    <row r="2083" spans="1:15" x14ac:dyDescent="0.3">
      <c r="A2083" s="2">
        <v>2073</v>
      </c>
      <c r="B2083" s="1">
        <v>45013.333333333336</v>
      </c>
      <c r="C2083" s="1" t="str">
        <f t="shared" si="64"/>
        <v>03-2023</v>
      </c>
      <c r="D2083" s="2">
        <f t="shared" si="65"/>
        <v>13</v>
      </c>
      <c r="E2083" t="s">
        <v>18</v>
      </c>
      <c r="F2083" t="s">
        <v>14</v>
      </c>
      <c r="G2083" t="s">
        <v>21</v>
      </c>
      <c r="H2083" s="2">
        <v>61339</v>
      </c>
      <c r="I2083" s="2">
        <v>8</v>
      </c>
      <c r="J2083" s="2">
        <v>70167</v>
      </c>
      <c r="K2083" s="2">
        <v>29620</v>
      </c>
      <c r="L2083" s="2">
        <v>7</v>
      </c>
      <c r="M2083" t="str">
        <f>IF(Revv_bike_sales_data[[#This Row],[delivery_days]]&lt;=7, "Yes", "No")</f>
        <v>Yes</v>
      </c>
      <c r="N2083" t="s">
        <v>16</v>
      </c>
      <c r="O2083" s="2">
        <v>40547</v>
      </c>
    </row>
    <row r="2084" spans="1:15" x14ac:dyDescent="0.3">
      <c r="A2084" s="2">
        <v>2074</v>
      </c>
      <c r="B2084" s="1">
        <v>45013.375</v>
      </c>
      <c r="C2084" s="1" t="str">
        <f t="shared" si="64"/>
        <v>03-2023</v>
      </c>
      <c r="D2084" s="2">
        <f t="shared" si="65"/>
        <v>13</v>
      </c>
      <c r="E2084" t="s">
        <v>17</v>
      </c>
      <c r="F2084" t="s">
        <v>14</v>
      </c>
      <c r="G2084" t="s">
        <v>20</v>
      </c>
      <c r="H2084" s="2">
        <v>49563</v>
      </c>
      <c r="I2084" s="2">
        <v>6</v>
      </c>
      <c r="J2084" s="2">
        <v>44928</v>
      </c>
      <c r="K2084" s="2">
        <v>67755</v>
      </c>
      <c r="L2084" s="2">
        <v>7</v>
      </c>
      <c r="M2084" t="str">
        <f>IF(Revv_bike_sales_data[[#This Row],[delivery_days]]&lt;=7, "Yes", "No")</f>
        <v>Yes</v>
      </c>
      <c r="N2084" t="s">
        <v>24</v>
      </c>
      <c r="O2084" s="2">
        <v>-22827</v>
      </c>
    </row>
    <row r="2085" spans="1:15" x14ac:dyDescent="0.3">
      <c r="A2085" s="2">
        <v>2075</v>
      </c>
      <c r="B2085" s="1">
        <v>45013.416666666664</v>
      </c>
      <c r="C2085" s="1" t="str">
        <f t="shared" si="64"/>
        <v>03-2023</v>
      </c>
      <c r="D2085" s="2">
        <f t="shared" si="65"/>
        <v>13</v>
      </c>
      <c r="E2085" t="s">
        <v>13</v>
      </c>
      <c r="F2085" t="s">
        <v>14</v>
      </c>
      <c r="G2085" t="s">
        <v>15</v>
      </c>
      <c r="H2085" s="2">
        <v>92282</v>
      </c>
      <c r="I2085" s="2">
        <v>0</v>
      </c>
      <c r="J2085" s="2">
        <v>64599</v>
      </c>
      <c r="K2085" s="2">
        <v>77995</v>
      </c>
      <c r="L2085" s="2">
        <v>2</v>
      </c>
      <c r="M2085" t="str">
        <f>IF(Revv_bike_sales_data[[#This Row],[delivery_days]]&lt;=7, "Yes", "No")</f>
        <v>Yes</v>
      </c>
      <c r="N2085" t="s">
        <v>16</v>
      </c>
      <c r="O2085" s="2">
        <v>-13396</v>
      </c>
    </row>
    <row r="2086" spans="1:15" x14ac:dyDescent="0.3">
      <c r="A2086" s="2">
        <v>2076</v>
      </c>
      <c r="B2086" s="1">
        <v>45013.458333333336</v>
      </c>
      <c r="C2086" s="1" t="str">
        <f t="shared" si="64"/>
        <v>03-2023</v>
      </c>
      <c r="D2086" s="2">
        <f t="shared" si="65"/>
        <v>13</v>
      </c>
      <c r="E2086" t="s">
        <v>13</v>
      </c>
      <c r="F2086" t="s">
        <v>14</v>
      </c>
      <c r="G2086" t="s">
        <v>15</v>
      </c>
      <c r="H2086" s="2">
        <v>78843</v>
      </c>
      <c r="I2086" s="2">
        <v>0</v>
      </c>
      <c r="J2086" s="2">
        <v>172847</v>
      </c>
      <c r="K2086" s="2">
        <v>111766</v>
      </c>
      <c r="L2086" s="2">
        <v>3</v>
      </c>
      <c r="M2086" t="str">
        <f>IF(Revv_bike_sales_data[[#This Row],[delivery_days]]&lt;=7, "Yes", "No")</f>
        <v>Yes</v>
      </c>
      <c r="N2086" t="s">
        <v>16</v>
      </c>
      <c r="O2086" s="2">
        <v>61081</v>
      </c>
    </row>
    <row r="2087" spans="1:15" x14ac:dyDescent="0.3">
      <c r="A2087" s="2">
        <v>2077</v>
      </c>
      <c r="B2087" s="1">
        <v>45013.5</v>
      </c>
      <c r="C2087" s="1" t="str">
        <f t="shared" si="64"/>
        <v>03-2023</v>
      </c>
      <c r="D2087" s="2">
        <f t="shared" si="65"/>
        <v>13</v>
      </c>
      <c r="E2087" t="s">
        <v>25</v>
      </c>
      <c r="F2087" t="s">
        <v>14</v>
      </c>
      <c r="G2087" t="s">
        <v>15</v>
      </c>
      <c r="H2087" s="2">
        <v>83571</v>
      </c>
      <c r="I2087" s="2">
        <v>4</v>
      </c>
      <c r="J2087" s="2">
        <v>91504</v>
      </c>
      <c r="K2087" s="2">
        <v>51681</v>
      </c>
      <c r="L2087" s="2">
        <v>7</v>
      </c>
      <c r="M2087" t="str">
        <f>IF(Revv_bike_sales_data[[#This Row],[delivery_days]]&lt;=7, "Yes", "No")</f>
        <v>Yes</v>
      </c>
      <c r="N2087" t="s">
        <v>16</v>
      </c>
      <c r="O2087" s="2">
        <v>39823</v>
      </c>
    </row>
    <row r="2088" spans="1:15" x14ac:dyDescent="0.3">
      <c r="A2088" s="2">
        <v>2078</v>
      </c>
      <c r="B2088" s="1">
        <v>45013.541666666664</v>
      </c>
      <c r="C2088" s="1" t="str">
        <f t="shared" si="64"/>
        <v>03-2023</v>
      </c>
      <c r="D2088" s="2">
        <f t="shared" si="65"/>
        <v>13</v>
      </c>
      <c r="E2088" t="s">
        <v>25</v>
      </c>
      <c r="F2088" t="s">
        <v>14</v>
      </c>
      <c r="G2088" t="s">
        <v>20</v>
      </c>
      <c r="H2088" s="2">
        <v>5992</v>
      </c>
      <c r="I2088" s="2">
        <v>7</v>
      </c>
      <c r="J2088" s="2">
        <v>95687</v>
      </c>
      <c r="K2088" s="2">
        <v>79509</v>
      </c>
      <c r="L2088" s="2">
        <v>12</v>
      </c>
      <c r="M2088" t="str">
        <f>IF(Revv_bike_sales_data[[#This Row],[delivery_days]]&lt;=7, "Yes", "No")</f>
        <v>No</v>
      </c>
      <c r="N2088" t="s">
        <v>16</v>
      </c>
      <c r="O2088" s="2">
        <v>16178</v>
      </c>
    </row>
    <row r="2089" spans="1:15" x14ac:dyDescent="0.3">
      <c r="A2089" s="2">
        <v>2079</v>
      </c>
      <c r="B2089" s="1">
        <v>45013.583333333336</v>
      </c>
      <c r="C2089" s="1" t="str">
        <f t="shared" si="64"/>
        <v>03-2023</v>
      </c>
      <c r="D2089" s="2">
        <f t="shared" si="65"/>
        <v>13</v>
      </c>
      <c r="E2089" t="s">
        <v>17</v>
      </c>
      <c r="F2089" t="s">
        <v>14</v>
      </c>
      <c r="G2089" t="s">
        <v>19</v>
      </c>
      <c r="H2089" s="2">
        <v>31857</v>
      </c>
      <c r="I2089" s="2">
        <v>8</v>
      </c>
      <c r="J2089" s="2">
        <v>134122</v>
      </c>
      <c r="K2089" s="2">
        <v>98339</v>
      </c>
      <c r="L2089" s="2">
        <v>6</v>
      </c>
      <c r="M2089" t="str">
        <f>IF(Revv_bike_sales_data[[#This Row],[delivery_days]]&lt;=7, "Yes", "No")</f>
        <v>Yes</v>
      </c>
      <c r="N2089" t="s">
        <v>16</v>
      </c>
      <c r="O2089" s="2">
        <v>35783</v>
      </c>
    </row>
    <row r="2090" spans="1:15" x14ac:dyDescent="0.3">
      <c r="A2090" s="2">
        <v>2080</v>
      </c>
      <c r="B2090" s="1">
        <v>45013.625</v>
      </c>
      <c r="C2090" s="1" t="str">
        <f t="shared" si="64"/>
        <v>03-2023</v>
      </c>
      <c r="D2090" s="2">
        <f t="shared" si="65"/>
        <v>13</v>
      </c>
      <c r="E2090" t="s">
        <v>13</v>
      </c>
      <c r="F2090" t="s">
        <v>14</v>
      </c>
      <c r="G2090" t="s">
        <v>20</v>
      </c>
      <c r="H2090" s="2">
        <v>72338</v>
      </c>
      <c r="I2090" s="2">
        <v>5</v>
      </c>
      <c r="J2090" s="2">
        <v>111284</v>
      </c>
      <c r="K2090" s="2">
        <v>82703</v>
      </c>
      <c r="L2090" s="2">
        <v>13</v>
      </c>
      <c r="M2090" t="str">
        <f>IF(Revv_bike_sales_data[[#This Row],[delivery_days]]&lt;=7, "Yes", "No")</f>
        <v>No</v>
      </c>
      <c r="N2090" t="s">
        <v>16</v>
      </c>
      <c r="O2090" s="2">
        <v>28581</v>
      </c>
    </row>
    <row r="2091" spans="1:15" x14ac:dyDescent="0.3">
      <c r="A2091" s="2">
        <v>2081</v>
      </c>
      <c r="B2091" s="1">
        <v>45013.666666666664</v>
      </c>
      <c r="C2091" s="1" t="str">
        <f t="shared" si="64"/>
        <v>03-2023</v>
      </c>
      <c r="D2091" s="2">
        <f t="shared" si="65"/>
        <v>13</v>
      </c>
      <c r="E2091" t="s">
        <v>22</v>
      </c>
      <c r="F2091" t="s">
        <v>23</v>
      </c>
      <c r="G2091" t="s">
        <v>19</v>
      </c>
      <c r="H2091" s="2">
        <v>32814</v>
      </c>
      <c r="I2091" s="2">
        <v>9</v>
      </c>
      <c r="J2091" s="2">
        <v>110227</v>
      </c>
      <c r="K2091" s="2">
        <v>82680</v>
      </c>
      <c r="L2091" s="2">
        <v>7</v>
      </c>
      <c r="M2091" t="str">
        <f>IF(Revv_bike_sales_data[[#This Row],[delivery_days]]&lt;=7, "Yes", "No")</f>
        <v>Yes</v>
      </c>
      <c r="N2091" t="s">
        <v>16</v>
      </c>
      <c r="O2091" s="2">
        <v>27547</v>
      </c>
    </row>
    <row r="2092" spans="1:15" x14ac:dyDescent="0.3">
      <c r="A2092" s="2">
        <v>2082</v>
      </c>
      <c r="B2092" s="1">
        <v>45013.708333333336</v>
      </c>
      <c r="C2092" s="1" t="str">
        <f t="shared" si="64"/>
        <v>03-2023</v>
      </c>
      <c r="D2092" s="2">
        <f t="shared" si="65"/>
        <v>13</v>
      </c>
      <c r="E2092" t="s">
        <v>25</v>
      </c>
      <c r="F2092" t="s">
        <v>14</v>
      </c>
      <c r="G2092" t="s">
        <v>20</v>
      </c>
      <c r="H2092" s="2">
        <v>49197</v>
      </c>
      <c r="I2092" s="2">
        <v>7</v>
      </c>
      <c r="J2092" s="2">
        <v>122556</v>
      </c>
      <c r="K2092" s="2">
        <v>82703</v>
      </c>
      <c r="L2092" s="2">
        <v>10</v>
      </c>
      <c r="M2092" t="str">
        <f>IF(Revv_bike_sales_data[[#This Row],[delivery_days]]&lt;=7, "Yes", "No")</f>
        <v>No</v>
      </c>
      <c r="N2092" t="s">
        <v>16</v>
      </c>
      <c r="O2092" s="2">
        <v>39853</v>
      </c>
    </row>
    <row r="2093" spans="1:15" x14ac:dyDescent="0.3">
      <c r="A2093" s="2">
        <v>2083</v>
      </c>
      <c r="B2093" s="1">
        <v>45013.75</v>
      </c>
      <c r="C2093" s="1" t="str">
        <f t="shared" si="64"/>
        <v>03-2023</v>
      </c>
      <c r="D2093" s="2">
        <f t="shared" si="65"/>
        <v>13</v>
      </c>
      <c r="E2093" t="s">
        <v>17</v>
      </c>
      <c r="F2093" t="s">
        <v>14</v>
      </c>
      <c r="G2093" t="s">
        <v>21</v>
      </c>
      <c r="H2093" s="2">
        <v>70783</v>
      </c>
      <c r="I2093" s="2">
        <v>5</v>
      </c>
      <c r="J2093" s="2">
        <v>68560</v>
      </c>
      <c r="K2093" s="2">
        <v>123056</v>
      </c>
      <c r="L2093" s="2">
        <v>9</v>
      </c>
      <c r="M2093" t="str">
        <f>IF(Revv_bike_sales_data[[#This Row],[delivery_days]]&lt;=7, "Yes", "No")</f>
        <v>No</v>
      </c>
      <c r="N2093" t="s">
        <v>16</v>
      </c>
      <c r="O2093" s="2">
        <v>-54496</v>
      </c>
    </row>
    <row r="2094" spans="1:15" x14ac:dyDescent="0.3">
      <c r="A2094" s="2">
        <v>2084</v>
      </c>
      <c r="B2094" s="1">
        <v>45013.791666666664</v>
      </c>
      <c r="C2094" s="1" t="str">
        <f t="shared" si="64"/>
        <v>03-2023</v>
      </c>
      <c r="D2094" s="2">
        <f t="shared" si="65"/>
        <v>13</v>
      </c>
      <c r="E2094" t="s">
        <v>13</v>
      </c>
      <c r="F2094" t="s">
        <v>14</v>
      </c>
      <c r="G2094" t="s">
        <v>15</v>
      </c>
      <c r="H2094" s="2">
        <v>60067</v>
      </c>
      <c r="I2094" s="2">
        <v>5</v>
      </c>
      <c r="J2094" s="2">
        <v>52256</v>
      </c>
      <c r="K2094" s="2">
        <v>57136</v>
      </c>
      <c r="L2094" s="2">
        <v>8</v>
      </c>
      <c r="M2094" t="str">
        <f>IF(Revv_bike_sales_data[[#This Row],[delivery_days]]&lt;=7, "Yes", "No")</f>
        <v>No</v>
      </c>
      <c r="N2094" t="s">
        <v>16</v>
      </c>
      <c r="O2094" s="2">
        <v>-4880</v>
      </c>
    </row>
    <row r="2095" spans="1:15" x14ac:dyDescent="0.3">
      <c r="A2095" s="2">
        <v>2085</v>
      </c>
      <c r="B2095" s="1">
        <v>45013.833333333336</v>
      </c>
      <c r="C2095" s="1" t="str">
        <f t="shared" si="64"/>
        <v>03-2023</v>
      </c>
      <c r="D2095" s="2">
        <f t="shared" si="65"/>
        <v>13</v>
      </c>
      <c r="E2095" t="s">
        <v>13</v>
      </c>
      <c r="F2095" t="s">
        <v>14</v>
      </c>
      <c r="G2095" t="s">
        <v>15</v>
      </c>
      <c r="H2095" s="2">
        <v>47506</v>
      </c>
      <c r="I2095" s="2">
        <v>3</v>
      </c>
      <c r="J2095" s="2">
        <v>31125</v>
      </c>
      <c r="K2095" s="2">
        <v>106380</v>
      </c>
      <c r="L2095" s="2">
        <v>6</v>
      </c>
      <c r="M2095" t="str">
        <f>IF(Revv_bike_sales_data[[#This Row],[delivery_days]]&lt;=7, "Yes", "No")</f>
        <v>Yes</v>
      </c>
      <c r="N2095" t="s">
        <v>16</v>
      </c>
      <c r="O2095" s="2">
        <v>-75255</v>
      </c>
    </row>
    <row r="2096" spans="1:15" x14ac:dyDescent="0.3">
      <c r="A2096" s="2">
        <v>2086</v>
      </c>
      <c r="B2096" s="1">
        <v>45013.875</v>
      </c>
      <c r="C2096" s="1" t="str">
        <f t="shared" si="64"/>
        <v>03-2023</v>
      </c>
      <c r="D2096" s="2">
        <f t="shared" si="65"/>
        <v>13</v>
      </c>
      <c r="E2096" t="s">
        <v>22</v>
      </c>
      <c r="F2096" t="s">
        <v>14</v>
      </c>
      <c r="G2096" t="s">
        <v>15</v>
      </c>
      <c r="H2096" s="2">
        <v>60511</v>
      </c>
      <c r="I2096" s="2">
        <v>4</v>
      </c>
      <c r="J2096" s="2">
        <v>29370</v>
      </c>
      <c r="K2096" s="2">
        <v>135579</v>
      </c>
      <c r="L2096" s="2">
        <v>12</v>
      </c>
      <c r="M2096" t="str">
        <f>IF(Revv_bike_sales_data[[#This Row],[delivery_days]]&lt;=7, "Yes", "No")</f>
        <v>No</v>
      </c>
      <c r="N2096" t="s">
        <v>16</v>
      </c>
      <c r="O2096" s="2">
        <v>-106209</v>
      </c>
    </row>
    <row r="2097" spans="1:15" x14ac:dyDescent="0.3">
      <c r="A2097" s="2">
        <v>2087</v>
      </c>
      <c r="B2097" s="1">
        <v>45013.916666666664</v>
      </c>
      <c r="C2097" s="1" t="str">
        <f t="shared" si="64"/>
        <v>03-2023</v>
      </c>
      <c r="D2097" s="2">
        <f t="shared" si="65"/>
        <v>13</v>
      </c>
      <c r="E2097" t="s">
        <v>17</v>
      </c>
      <c r="F2097" t="s">
        <v>14</v>
      </c>
      <c r="G2097" t="s">
        <v>19</v>
      </c>
      <c r="H2097" s="2">
        <v>11186</v>
      </c>
      <c r="I2097" s="2">
        <v>1</v>
      </c>
      <c r="J2097" s="2">
        <v>29838</v>
      </c>
      <c r="K2097" s="2">
        <v>108699</v>
      </c>
      <c r="L2097" s="2">
        <v>14</v>
      </c>
      <c r="M2097" t="str">
        <f>IF(Revv_bike_sales_data[[#This Row],[delivery_days]]&lt;=7, "Yes", "No")</f>
        <v>No</v>
      </c>
      <c r="N2097" t="s">
        <v>16</v>
      </c>
      <c r="O2097" s="2">
        <v>-78861</v>
      </c>
    </row>
    <row r="2098" spans="1:15" x14ac:dyDescent="0.3">
      <c r="A2098" s="2">
        <v>2088</v>
      </c>
      <c r="B2098" s="1">
        <v>45013.958333333336</v>
      </c>
      <c r="C2098" s="1" t="str">
        <f t="shared" si="64"/>
        <v>03-2023</v>
      </c>
      <c r="D2098" s="2">
        <f t="shared" si="65"/>
        <v>13</v>
      </c>
      <c r="E2098" t="s">
        <v>13</v>
      </c>
      <c r="F2098" t="s">
        <v>14</v>
      </c>
      <c r="G2098" t="s">
        <v>20</v>
      </c>
      <c r="H2098" s="2">
        <v>37949</v>
      </c>
      <c r="I2098" s="2">
        <v>2</v>
      </c>
      <c r="J2098" s="2">
        <v>139479</v>
      </c>
      <c r="K2098" s="2">
        <v>103456</v>
      </c>
      <c r="L2098" s="2">
        <v>4</v>
      </c>
      <c r="M2098" t="str">
        <f>IF(Revv_bike_sales_data[[#This Row],[delivery_days]]&lt;=7, "Yes", "No")</f>
        <v>Yes</v>
      </c>
      <c r="N2098" t="s">
        <v>16</v>
      </c>
      <c r="O2098" s="2">
        <v>36023</v>
      </c>
    </row>
    <row r="2099" spans="1:15" x14ac:dyDescent="0.3">
      <c r="A2099" s="2">
        <v>2089</v>
      </c>
      <c r="B2099" s="1">
        <v>45014</v>
      </c>
      <c r="C2099" s="1" t="str">
        <f t="shared" si="64"/>
        <v>03-2023</v>
      </c>
      <c r="D2099" s="2">
        <f t="shared" si="65"/>
        <v>13</v>
      </c>
      <c r="E2099" t="s">
        <v>25</v>
      </c>
      <c r="F2099" t="s">
        <v>23</v>
      </c>
      <c r="G2099" t="s">
        <v>21</v>
      </c>
      <c r="H2099" s="2">
        <v>62106</v>
      </c>
      <c r="I2099" s="2">
        <v>2</v>
      </c>
      <c r="J2099" s="2">
        <v>82429</v>
      </c>
      <c r="K2099" s="2">
        <v>98086</v>
      </c>
      <c r="L2099" s="2">
        <v>14</v>
      </c>
      <c r="M2099" t="str">
        <f>IF(Revv_bike_sales_data[[#This Row],[delivery_days]]&lt;=7, "Yes", "No")</f>
        <v>No</v>
      </c>
      <c r="N2099" t="s">
        <v>16</v>
      </c>
      <c r="O2099" s="2">
        <v>-15657</v>
      </c>
    </row>
    <row r="2100" spans="1:15" x14ac:dyDescent="0.3">
      <c r="A2100" s="2">
        <v>2090</v>
      </c>
      <c r="B2100" s="1">
        <v>45014.041666666664</v>
      </c>
      <c r="C2100" s="1" t="str">
        <f t="shared" si="64"/>
        <v>03-2023</v>
      </c>
      <c r="D2100" s="2">
        <f t="shared" si="65"/>
        <v>13</v>
      </c>
      <c r="E2100" t="s">
        <v>22</v>
      </c>
      <c r="F2100" t="s">
        <v>14</v>
      </c>
      <c r="G2100" t="s">
        <v>20</v>
      </c>
      <c r="H2100" s="2">
        <v>19391</v>
      </c>
      <c r="I2100" s="2">
        <v>4</v>
      </c>
      <c r="J2100" s="2">
        <v>159206</v>
      </c>
      <c r="K2100" s="2">
        <v>51343</v>
      </c>
      <c r="L2100" s="2">
        <v>13</v>
      </c>
      <c r="M2100" t="str">
        <f>IF(Revv_bike_sales_data[[#This Row],[delivery_days]]&lt;=7, "Yes", "No")</f>
        <v>No</v>
      </c>
      <c r="N2100" t="s">
        <v>16</v>
      </c>
      <c r="O2100" s="2">
        <v>107863</v>
      </c>
    </row>
    <row r="2101" spans="1:15" x14ac:dyDescent="0.3">
      <c r="A2101" s="2">
        <v>2091</v>
      </c>
      <c r="B2101" s="1">
        <v>45014.083333333336</v>
      </c>
      <c r="C2101" s="1" t="str">
        <f t="shared" si="64"/>
        <v>03-2023</v>
      </c>
      <c r="D2101" s="2">
        <f t="shared" si="65"/>
        <v>13</v>
      </c>
      <c r="E2101" t="s">
        <v>17</v>
      </c>
      <c r="F2101" t="s">
        <v>14</v>
      </c>
      <c r="G2101" t="s">
        <v>15</v>
      </c>
      <c r="H2101" s="2">
        <v>52615</v>
      </c>
      <c r="I2101" s="2">
        <v>4</v>
      </c>
      <c r="J2101" s="2">
        <v>68199</v>
      </c>
      <c r="K2101" s="2">
        <v>132529</v>
      </c>
      <c r="L2101" s="2">
        <v>10</v>
      </c>
      <c r="M2101" t="str">
        <f>IF(Revv_bike_sales_data[[#This Row],[delivery_days]]&lt;=7, "Yes", "No")</f>
        <v>No</v>
      </c>
      <c r="N2101" t="s">
        <v>16</v>
      </c>
      <c r="O2101" s="2">
        <v>-64330</v>
      </c>
    </row>
    <row r="2102" spans="1:15" x14ac:dyDescent="0.3">
      <c r="A2102" s="2">
        <v>2092</v>
      </c>
      <c r="B2102" s="1">
        <v>45014.125</v>
      </c>
      <c r="C2102" s="1" t="str">
        <f t="shared" si="64"/>
        <v>03-2023</v>
      </c>
      <c r="D2102" s="2">
        <f t="shared" si="65"/>
        <v>13</v>
      </c>
      <c r="E2102" t="s">
        <v>22</v>
      </c>
      <c r="F2102" t="s">
        <v>14</v>
      </c>
      <c r="G2102" t="s">
        <v>21</v>
      </c>
      <c r="H2102" s="2">
        <v>61219</v>
      </c>
      <c r="I2102" s="2">
        <v>5</v>
      </c>
      <c r="J2102" s="2">
        <v>102092</v>
      </c>
      <c r="K2102" s="2">
        <v>33254</v>
      </c>
      <c r="L2102" s="2">
        <v>9</v>
      </c>
      <c r="M2102" t="str">
        <f>IF(Revv_bike_sales_data[[#This Row],[delivery_days]]&lt;=7, "Yes", "No")</f>
        <v>No</v>
      </c>
      <c r="N2102" t="s">
        <v>16</v>
      </c>
      <c r="O2102" s="2">
        <v>68838</v>
      </c>
    </row>
    <row r="2103" spans="1:15" x14ac:dyDescent="0.3">
      <c r="A2103" s="2">
        <v>2093</v>
      </c>
      <c r="B2103" s="1">
        <v>45014.166666666664</v>
      </c>
      <c r="C2103" s="1" t="str">
        <f t="shared" si="64"/>
        <v>03-2023</v>
      </c>
      <c r="D2103" s="2">
        <f t="shared" si="65"/>
        <v>13</v>
      </c>
      <c r="E2103" t="s">
        <v>25</v>
      </c>
      <c r="F2103" t="s">
        <v>14</v>
      </c>
      <c r="G2103" t="s">
        <v>21</v>
      </c>
      <c r="H2103" s="2">
        <v>95964</v>
      </c>
      <c r="I2103" s="2">
        <v>4</v>
      </c>
      <c r="J2103" s="2">
        <v>149925</v>
      </c>
      <c r="K2103" s="2">
        <v>76273</v>
      </c>
      <c r="L2103" s="2">
        <v>7</v>
      </c>
      <c r="M2103" t="str">
        <f>IF(Revv_bike_sales_data[[#This Row],[delivery_days]]&lt;=7, "Yes", "No")</f>
        <v>Yes</v>
      </c>
      <c r="N2103" t="s">
        <v>16</v>
      </c>
      <c r="O2103" s="2">
        <v>73652</v>
      </c>
    </row>
    <row r="2104" spans="1:15" x14ac:dyDescent="0.3">
      <c r="A2104" s="2">
        <v>2094</v>
      </c>
      <c r="B2104" s="1">
        <v>45014.208333333336</v>
      </c>
      <c r="C2104" s="1" t="str">
        <f t="shared" si="64"/>
        <v>03-2023</v>
      </c>
      <c r="D2104" s="2">
        <f t="shared" si="65"/>
        <v>13</v>
      </c>
      <c r="E2104" t="s">
        <v>17</v>
      </c>
      <c r="F2104" t="s">
        <v>14</v>
      </c>
      <c r="G2104" t="s">
        <v>15</v>
      </c>
      <c r="H2104" s="2">
        <v>73530</v>
      </c>
      <c r="I2104" s="2">
        <v>5</v>
      </c>
      <c r="J2104" s="2">
        <v>45113</v>
      </c>
      <c r="K2104" s="2">
        <v>74611</v>
      </c>
      <c r="L2104" s="2">
        <v>5</v>
      </c>
      <c r="M2104" t="str">
        <f>IF(Revv_bike_sales_data[[#This Row],[delivery_days]]&lt;=7, "Yes", "No")</f>
        <v>Yes</v>
      </c>
      <c r="N2104" t="s">
        <v>16</v>
      </c>
      <c r="O2104" s="2">
        <v>-29498</v>
      </c>
    </row>
    <row r="2105" spans="1:15" x14ac:dyDescent="0.3">
      <c r="A2105" s="2">
        <v>2095</v>
      </c>
      <c r="B2105" s="1">
        <v>45014.25</v>
      </c>
      <c r="C2105" s="1" t="str">
        <f t="shared" si="64"/>
        <v>03-2023</v>
      </c>
      <c r="D2105" s="2">
        <f t="shared" si="65"/>
        <v>13</v>
      </c>
      <c r="E2105" t="s">
        <v>22</v>
      </c>
      <c r="F2105" t="s">
        <v>23</v>
      </c>
      <c r="G2105" t="s">
        <v>20</v>
      </c>
      <c r="H2105" s="2">
        <v>37223</v>
      </c>
      <c r="I2105" s="2">
        <v>7</v>
      </c>
      <c r="J2105" s="2">
        <v>121102</v>
      </c>
      <c r="K2105" s="2">
        <v>132574</v>
      </c>
      <c r="L2105" s="2">
        <v>2</v>
      </c>
      <c r="M2105" t="str">
        <f>IF(Revv_bike_sales_data[[#This Row],[delivery_days]]&lt;=7, "Yes", "No")</f>
        <v>Yes</v>
      </c>
      <c r="N2105" t="s">
        <v>16</v>
      </c>
      <c r="O2105" s="2">
        <v>-11472</v>
      </c>
    </row>
    <row r="2106" spans="1:15" x14ac:dyDescent="0.3">
      <c r="A2106" s="2">
        <v>2096</v>
      </c>
      <c r="B2106" s="1">
        <v>45014.291666666664</v>
      </c>
      <c r="C2106" s="1" t="str">
        <f t="shared" si="64"/>
        <v>03-2023</v>
      </c>
      <c r="D2106" s="2">
        <f t="shared" si="65"/>
        <v>13</v>
      </c>
      <c r="E2106" t="s">
        <v>18</v>
      </c>
      <c r="F2106" t="s">
        <v>23</v>
      </c>
      <c r="G2106" t="s">
        <v>15</v>
      </c>
      <c r="H2106" s="2">
        <v>30377</v>
      </c>
      <c r="I2106" s="2">
        <v>1</v>
      </c>
      <c r="J2106" s="2">
        <v>27669</v>
      </c>
      <c r="K2106" s="2">
        <v>129847</v>
      </c>
      <c r="L2106" s="2">
        <v>9</v>
      </c>
      <c r="M2106" t="str">
        <f>IF(Revv_bike_sales_data[[#This Row],[delivery_days]]&lt;=7, "Yes", "No")</f>
        <v>No</v>
      </c>
      <c r="N2106" t="s">
        <v>24</v>
      </c>
      <c r="O2106" s="2">
        <v>-102178</v>
      </c>
    </row>
    <row r="2107" spans="1:15" x14ac:dyDescent="0.3">
      <c r="A2107" s="2">
        <v>2097</v>
      </c>
      <c r="B2107" s="1">
        <v>45014.333333333336</v>
      </c>
      <c r="C2107" s="1" t="str">
        <f t="shared" si="64"/>
        <v>03-2023</v>
      </c>
      <c r="D2107" s="2">
        <f t="shared" si="65"/>
        <v>13</v>
      </c>
      <c r="E2107" t="s">
        <v>25</v>
      </c>
      <c r="F2107" t="s">
        <v>23</v>
      </c>
      <c r="G2107" t="s">
        <v>20</v>
      </c>
      <c r="H2107" s="2">
        <v>94017</v>
      </c>
      <c r="I2107" s="2">
        <v>3</v>
      </c>
      <c r="J2107" s="2">
        <v>169010</v>
      </c>
      <c r="K2107" s="2">
        <v>120547</v>
      </c>
      <c r="L2107" s="2">
        <v>14</v>
      </c>
      <c r="M2107" t="str">
        <f>IF(Revv_bike_sales_data[[#This Row],[delivery_days]]&lt;=7, "Yes", "No")</f>
        <v>No</v>
      </c>
      <c r="N2107" t="s">
        <v>16</v>
      </c>
      <c r="O2107" s="2">
        <v>48463</v>
      </c>
    </row>
    <row r="2108" spans="1:15" x14ac:dyDescent="0.3">
      <c r="A2108" s="2">
        <v>2098</v>
      </c>
      <c r="B2108" s="1">
        <v>45014.375</v>
      </c>
      <c r="C2108" s="1" t="str">
        <f t="shared" si="64"/>
        <v>03-2023</v>
      </c>
      <c r="D2108" s="2">
        <f t="shared" si="65"/>
        <v>13</v>
      </c>
      <c r="E2108" t="s">
        <v>25</v>
      </c>
      <c r="F2108" t="s">
        <v>23</v>
      </c>
      <c r="G2108" t="s">
        <v>21</v>
      </c>
      <c r="H2108" s="2">
        <v>14526</v>
      </c>
      <c r="I2108" s="2">
        <v>5</v>
      </c>
      <c r="J2108" s="2">
        <v>161789</v>
      </c>
      <c r="K2108" s="2">
        <v>75002</v>
      </c>
      <c r="L2108" s="2">
        <v>7</v>
      </c>
      <c r="M2108" t="str">
        <f>IF(Revv_bike_sales_data[[#This Row],[delivery_days]]&lt;=7, "Yes", "No")</f>
        <v>Yes</v>
      </c>
      <c r="N2108" t="s">
        <v>16</v>
      </c>
      <c r="O2108" s="2">
        <v>86787</v>
      </c>
    </row>
    <row r="2109" spans="1:15" x14ac:dyDescent="0.3">
      <c r="A2109" s="2">
        <v>2099</v>
      </c>
      <c r="B2109" s="1">
        <v>45014.416666666664</v>
      </c>
      <c r="C2109" s="1" t="str">
        <f t="shared" si="64"/>
        <v>03-2023</v>
      </c>
      <c r="D2109" s="2">
        <f t="shared" si="65"/>
        <v>13</v>
      </c>
      <c r="E2109" t="s">
        <v>25</v>
      </c>
      <c r="F2109" t="s">
        <v>14</v>
      </c>
      <c r="G2109" t="s">
        <v>21</v>
      </c>
      <c r="H2109" s="2">
        <v>20922</v>
      </c>
      <c r="I2109" s="2">
        <v>4</v>
      </c>
      <c r="J2109" s="2">
        <v>102818</v>
      </c>
      <c r="K2109" s="2">
        <v>100683</v>
      </c>
      <c r="L2109" s="2">
        <v>9</v>
      </c>
      <c r="M2109" t="str">
        <f>IF(Revv_bike_sales_data[[#This Row],[delivery_days]]&lt;=7, "Yes", "No")</f>
        <v>No</v>
      </c>
      <c r="N2109" t="s">
        <v>16</v>
      </c>
      <c r="O2109" s="2">
        <v>2135</v>
      </c>
    </row>
    <row r="2110" spans="1:15" x14ac:dyDescent="0.3">
      <c r="A2110" s="2">
        <v>2100</v>
      </c>
      <c r="B2110" s="1">
        <v>45014.458333333336</v>
      </c>
      <c r="C2110" s="1" t="str">
        <f t="shared" si="64"/>
        <v>03-2023</v>
      </c>
      <c r="D2110" s="2">
        <f t="shared" si="65"/>
        <v>13</v>
      </c>
      <c r="E2110" t="s">
        <v>18</v>
      </c>
      <c r="F2110" t="s">
        <v>14</v>
      </c>
      <c r="G2110" t="s">
        <v>15</v>
      </c>
      <c r="H2110" s="2">
        <v>9744</v>
      </c>
      <c r="I2110" s="2">
        <v>0</v>
      </c>
      <c r="J2110" s="2">
        <v>104737</v>
      </c>
      <c r="K2110" s="2">
        <v>27926</v>
      </c>
      <c r="L2110" s="2">
        <v>11</v>
      </c>
      <c r="M2110" t="str">
        <f>IF(Revv_bike_sales_data[[#This Row],[delivery_days]]&lt;=7, "Yes", "No")</f>
        <v>No</v>
      </c>
      <c r="N2110" t="s">
        <v>16</v>
      </c>
      <c r="O2110" s="2">
        <v>76811</v>
      </c>
    </row>
    <row r="2111" spans="1:15" x14ac:dyDescent="0.3">
      <c r="A2111" s="2">
        <v>2101</v>
      </c>
      <c r="B2111" s="1">
        <v>45014.5</v>
      </c>
      <c r="C2111" s="1" t="str">
        <f t="shared" si="64"/>
        <v>03-2023</v>
      </c>
      <c r="D2111" s="2">
        <f t="shared" si="65"/>
        <v>13</v>
      </c>
      <c r="E2111" t="s">
        <v>18</v>
      </c>
      <c r="F2111" t="s">
        <v>14</v>
      </c>
      <c r="G2111" t="s">
        <v>21</v>
      </c>
      <c r="H2111" s="2">
        <v>33981</v>
      </c>
      <c r="I2111" s="2">
        <v>8</v>
      </c>
      <c r="J2111" s="2">
        <v>172361</v>
      </c>
      <c r="K2111" s="2">
        <v>114359</v>
      </c>
      <c r="L2111" s="2">
        <v>9</v>
      </c>
      <c r="M2111" t="str">
        <f>IF(Revv_bike_sales_data[[#This Row],[delivery_days]]&lt;=7, "Yes", "No")</f>
        <v>No</v>
      </c>
      <c r="N2111" t="s">
        <v>16</v>
      </c>
      <c r="O2111" s="2">
        <v>58002</v>
      </c>
    </row>
    <row r="2112" spans="1:15" x14ac:dyDescent="0.3">
      <c r="A2112" s="2">
        <v>2102</v>
      </c>
      <c r="B2112" s="1">
        <v>45014.541666666664</v>
      </c>
      <c r="C2112" s="1" t="str">
        <f t="shared" si="64"/>
        <v>03-2023</v>
      </c>
      <c r="D2112" s="2">
        <f t="shared" si="65"/>
        <v>13</v>
      </c>
      <c r="E2112" t="s">
        <v>13</v>
      </c>
      <c r="F2112" t="s">
        <v>14</v>
      </c>
      <c r="G2112" t="s">
        <v>19</v>
      </c>
      <c r="H2112" s="2">
        <v>89680</v>
      </c>
      <c r="I2112" s="2">
        <v>2</v>
      </c>
      <c r="J2112" s="2">
        <v>49406</v>
      </c>
      <c r="K2112" s="2">
        <v>79264</v>
      </c>
      <c r="L2112" s="2">
        <v>10</v>
      </c>
      <c r="M2112" t="str">
        <f>IF(Revv_bike_sales_data[[#This Row],[delivery_days]]&lt;=7, "Yes", "No")</f>
        <v>No</v>
      </c>
      <c r="N2112" t="s">
        <v>16</v>
      </c>
      <c r="O2112" s="2">
        <v>-29858</v>
      </c>
    </row>
    <row r="2113" spans="1:15" x14ac:dyDescent="0.3">
      <c r="A2113" s="2">
        <v>2103</v>
      </c>
      <c r="B2113" s="1">
        <v>45014.583333333336</v>
      </c>
      <c r="C2113" s="1" t="str">
        <f t="shared" si="64"/>
        <v>03-2023</v>
      </c>
      <c r="D2113" s="2">
        <f t="shared" si="65"/>
        <v>13</v>
      </c>
      <c r="E2113" t="s">
        <v>22</v>
      </c>
      <c r="F2113" t="s">
        <v>14</v>
      </c>
      <c r="G2113" t="s">
        <v>21</v>
      </c>
      <c r="H2113" s="2">
        <v>58531</v>
      </c>
      <c r="I2113" s="2">
        <v>1</v>
      </c>
      <c r="J2113" s="2">
        <v>37873</v>
      </c>
      <c r="K2113" s="2">
        <v>130021</v>
      </c>
      <c r="L2113" s="2">
        <v>5</v>
      </c>
      <c r="M2113" t="str">
        <f>IF(Revv_bike_sales_data[[#This Row],[delivery_days]]&lt;=7, "Yes", "No")</f>
        <v>Yes</v>
      </c>
      <c r="N2113" t="s">
        <v>16</v>
      </c>
      <c r="O2113" s="2">
        <v>-92148</v>
      </c>
    </row>
    <row r="2114" spans="1:15" x14ac:dyDescent="0.3">
      <c r="A2114" s="2">
        <v>2104</v>
      </c>
      <c r="B2114" s="1">
        <v>45014.625</v>
      </c>
      <c r="C2114" s="1" t="str">
        <f t="shared" si="64"/>
        <v>03-2023</v>
      </c>
      <c r="D2114" s="2">
        <f t="shared" si="65"/>
        <v>13</v>
      </c>
      <c r="E2114" t="s">
        <v>13</v>
      </c>
      <c r="F2114" t="s">
        <v>14</v>
      </c>
      <c r="G2114" t="s">
        <v>19</v>
      </c>
      <c r="H2114" s="2">
        <v>9021</v>
      </c>
      <c r="I2114" s="2">
        <v>8</v>
      </c>
      <c r="J2114" s="2">
        <v>150812</v>
      </c>
      <c r="K2114" s="2">
        <v>133284</v>
      </c>
      <c r="L2114" s="2">
        <v>7</v>
      </c>
      <c r="M2114" t="str">
        <f>IF(Revv_bike_sales_data[[#This Row],[delivery_days]]&lt;=7, "Yes", "No")</f>
        <v>Yes</v>
      </c>
      <c r="N2114" t="s">
        <v>16</v>
      </c>
      <c r="O2114" s="2">
        <v>17528</v>
      </c>
    </row>
    <row r="2115" spans="1:15" x14ac:dyDescent="0.3">
      <c r="A2115" s="2">
        <v>2105</v>
      </c>
      <c r="B2115" s="1">
        <v>45014.666666666664</v>
      </c>
      <c r="C2115" s="1" t="str">
        <f t="shared" si="64"/>
        <v>03-2023</v>
      </c>
      <c r="D2115" s="2">
        <f t="shared" si="65"/>
        <v>13</v>
      </c>
      <c r="E2115" t="s">
        <v>22</v>
      </c>
      <c r="F2115" t="s">
        <v>14</v>
      </c>
      <c r="G2115" t="s">
        <v>21</v>
      </c>
      <c r="H2115" s="2">
        <v>2246</v>
      </c>
      <c r="I2115" s="2">
        <v>6</v>
      </c>
      <c r="J2115" s="2">
        <v>107048</v>
      </c>
      <c r="K2115" s="2">
        <v>104527</v>
      </c>
      <c r="L2115" s="2">
        <v>5</v>
      </c>
      <c r="M2115" t="str">
        <f>IF(Revv_bike_sales_data[[#This Row],[delivery_days]]&lt;=7, "Yes", "No")</f>
        <v>Yes</v>
      </c>
      <c r="N2115" t="s">
        <v>16</v>
      </c>
      <c r="O2115" s="2">
        <v>2521</v>
      </c>
    </row>
    <row r="2116" spans="1:15" x14ac:dyDescent="0.3">
      <c r="A2116" s="2">
        <v>2106</v>
      </c>
      <c r="B2116" s="1">
        <v>45014.708333333336</v>
      </c>
      <c r="C2116" s="1" t="str">
        <f t="shared" si="64"/>
        <v>03-2023</v>
      </c>
      <c r="D2116" s="2">
        <f t="shared" si="65"/>
        <v>13</v>
      </c>
      <c r="E2116" t="s">
        <v>18</v>
      </c>
      <c r="F2116" t="s">
        <v>14</v>
      </c>
      <c r="G2116" t="s">
        <v>15</v>
      </c>
      <c r="H2116" s="2">
        <v>83627</v>
      </c>
      <c r="I2116" s="2">
        <v>4</v>
      </c>
      <c r="J2116" s="2">
        <v>48461</v>
      </c>
      <c r="K2116" s="2">
        <v>122387</v>
      </c>
      <c r="L2116" s="2">
        <v>3</v>
      </c>
      <c r="M2116" t="str">
        <f>IF(Revv_bike_sales_data[[#This Row],[delivery_days]]&lt;=7, "Yes", "No")</f>
        <v>Yes</v>
      </c>
      <c r="N2116" t="s">
        <v>16</v>
      </c>
      <c r="O2116" s="2">
        <v>-73926</v>
      </c>
    </row>
    <row r="2117" spans="1:15" x14ac:dyDescent="0.3">
      <c r="A2117" s="2">
        <v>2107</v>
      </c>
      <c r="B2117" s="1">
        <v>45014.75</v>
      </c>
      <c r="C2117" s="1" t="str">
        <f t="shared" si="64"/>
        <v>03-2023</v>
      </c>
      <c r="D2117" s="2">
        <f t="shared" si="65"/>
        <v>13</v>
      </c>
      <c r="E2117" t="s">
        <v>18</v>
      </c>
      <c r="F2117" t="s">
        <v>14</v>
      </c>
      <c r="G2117" t="s">
        <v>15</v>
      </c>
      <c r="H2117" s="2">
        <v>92754</v>
      </c>
      <c r="I2117" s="2">
        <v>5</v>
      </c>
      <c r="J2117" s="2">
        <v>176782</v>
      </c>
      <c r="K2117" s="2">
        <v>42563</v>
      </c>
      <c r="L2117" s="2">
        <v>10</v>
      </c>
      <c r="M2117" t="str">
        <f>IF(Revv_bike_sales_data[[#This Row],[delivery_days]]&lt;=7, "Yes", "No")</f>
        <v>No</v>
      </c>
      <c r="N2117" t="s">
        <v>16</v>
      </c>
      <c r="O2117" s="2">
        <v>134219</v>
      </c>
    </row>
    <row r="2118" spans="1:15" x14ac:dyDescent="0.3">
      <c r="A2118" s="2">
        <v>2108</v>
      </c>
      <c r="B2118" s="1">
        <v>45014.791666666664</v>
      </c>
      <c r="C2118" s="1" t="str">
        <f t="shared" si="64"/>
        <v>03-2023</v>
      </c>
      <c r="D2118" s="2">
        <f t="shared" si="65"/>
        <v>13</v>
      </c>
      <c r="E2118" t="s">
        <v>13</v>
      </c>
      <c r="F2118" t="s">
        <v>14</v>
      </c>
      <c r="G2118" t="s">
        <v>19</v>
      </c>
      <c r="H2118" s="2">
        <v>68732</v>
      </c>
      <c r="I2118" s="2">
        <v>3</v>
      </c>
      <c r="J2118" s="2">
        <v>38448</v>
      </c>
      <c r="K2118" s="2">
        <v>45688</v>
      </c>
      <c r="L2118" s="2">
        <v>8</v>
      </c>
      <c r="M2118" t="str">
        <f>IF(Revv_bike_sales_data[[#This Row],[delivery_days]]&lt;=7, "Yes", "No")</f>
        <v>No</v>
      </c>
      <c r="N2118" t="s">
        <v>16</v>
      </c>
      <c r="O2118" s="2">
        <v>-7240</v>
      </c>
    </row>
    <row r="2119" spans="1:15" x14ac:dyDescent="0.3">
      <c r="A2119" s="2">
        <v>2109</v>
      </c>
      <c r="B2119" s="1">
        <v>45014.833333333336</v>
      </c>
      <c r="C2119" s="1" t="str">
        <f t="shared" si="64"/>
        <v>03-2023</v>
      </c>
      <c r="D2119" s="2">
        <f t="shared" si="65"/>
        <v>13</v>
      </c>
      <c r="E2119" t="s">
        <v>17</v>
      </c>
      <c r="F2119" t="s">
        <v>14</v>
      </c>
      <c r="G2119" t="s">
        <v>15</v>
      </c>
      <c r="H2119" s="2">
        <v>12512</v>
      </c>
      <c r="I2119" s="2">
        <v>0</v>
      </c>
      <c r="J2119" s="2">
        <v>40198</v>
      </c>
      <c r="K2119" s="2">
        <v>109559</v>
      </c>
      <c r="L2119" s="2">
        <v>8</v>
      </c>
      <c r="M2119" t="str">
        <f>IF(Revv_bike_sales_data[[#This Row],[delivery_days]]&lt;=7, "Yes", "No")</f>
        <v>No</v>
      </c>
      <c r="N2119" t="s">
        <v>16</v>
      </c>
      <c r="O2119" s="2">
        <v>-69361</v>
      </c>
    </row>
    <row r="2120" spans="1:15" x14ac:dyDescent="0.3">
      <c r="A2120" s="2">
        <v>2110</v>
      </c>
      <c r="B2120" s="1">
        <v>45014.875</v>
      </c>
      <c r="C2120" s="1" t="str">
        <f t="shared" si="64"/>
        <v>03-2023</v>
      </c>
      <c r="D2120" s="2">
        <f t="shared" si="65"/>
        <v>13</v>
      </c>
      <c r="E2120" t="s">
        <v>13</v>
      </c>
      <c r="F2120" t="s">
        <v>14</v>
      </c>
      <c r="G2120" t="s">
        <v>21</v>
      </c>
      <c r="H2120" s="2">
        <v>80724</v>
      </c>
      <c r="I2120" s="2">
        <v>3</v>
      </c>
      <c r="J2120" s="2">
        <v>98158</v>
      </c>
      <c r="K2120" s="2">
        <v>49130</v>
      </c>
      <c r="L2120" s="2">
        <v>9</v>
      </c>
      <c r="M2120" t="str">
        <f>IF(Revv_bike_sales_data[[#This Row],[delivery_days]]&lt;=7, "Yes", "No")</f>
        <v>No</v>
      </c>
      <c r="N2120" t="s">
        <v>16</v>
      </c>
      <c r="O2120" s="2">
        <v>49028</v>
      </c>
    </row>
    <row r="2121" spans="1:15" x14ac:dyDescent="0.3">
      <c r="A2121" s="2">
        <v>2111</v>
      </c>
      <c r="B2121" s="1">
        <v>45014.916666666664</v>
      </c>
      <c r="C2121" s="1" t="str">
        <f t="shared" si="64"/>
        <v>03-2023</v>
      </c>
      <c r="D2121" s="2">
        <f t="shared" si="65"/>
        <v>13</v>
      </c>
      <c r="E2121" t="s">
        <v>22</v>
      </c>
      <c r="F2121" t="s">
        <v>14</v>
      </c>
      <c r="G2121" t="s">
        <v>21</v>
      </c>
      <c r="H2121" s="2">
        <v>23957</v>
      </c>
      <c r="I2121" s="2">
        <v>8</v>
      </c>
      <c r="J2121" s="2">
        <v>90470</v>
      </c>
      <c r="K2121" s="2">
        <v>15925</v>
      </c>
      <c r="L2121" s="2">
        <v>11</v>
      </c>
      <c r="M2121" t="str">
        <f>IF(Revv_bike_sales_data[[#This Row],[delivery_days]]&lt;=7, "Yes", "No")</f>
        <v>No</v>
      </c>
      <c r="N2121" t="s">
        <v>16</v>
      </c>
      <c r="O2121" s="2">
        <v>74545</v>
      </c>
    </row>
    <row r="2122" spans="1:15" x14ac:dyDescent="0.3">
      <c r="A2122" s="2">
        <v>2112</v>
      </c>
      <c r="B2122" s="1">
        <v>45014.958333333336</v>
      </c>
      <c r="C2122" s="1" t="str">
        <f t="shared" si="64"/>
        <v>03-2023</v>
      </c>
      <c r="D2122" s="2">
        <f t="shared" si="65"/>
        <v>13</v>
      </c>
      <c r="E2122" t="s">
        <v>13</v>
      </c>
      <c r="F2122" t="s">
        <v>14</v>
      </c>
      <c r="G2122" t="s">
        <v>15</v>
      </c>
      <c r="H2122" s="2">
        <v>71072</v>
      </c>
      <c r="I2122" s="2">
        <v>0</v>
      </c>
      <c r="J2122" s="2">
        <v>45739</v>
      </c>
      <c r="K2122" s="2">
        <v>135207</v>
      </c>
      <c r="L2122" s="2">
        <v>14</v>
      </c>
      <c r="M2122" t="str">
        <f>IF(Revv_bike_sales_data[[#This Row],[delivery_days]]&lt;=7, "Yes", "No")</f>
        <v>No</v>
      </c>
      <c r="N2122" t="s">
        <v>16</v>
      </c>
      <c r="O2122" s="2">
        <v>-89468</v>
      </c>
    </row>
    <row r="2123" spans="1:15" x14ac:dyDescent="0.3">
      <c r="A2123" s="2">
        <v>2113</v>
      </c>
      <c r="B2123" s="1">
        <v>45015</v>
      </c>
      <c r="C2123" s="1" t="str">
        <f t="shared" ref="C2123:C2186" si="66">TEXT(B2123,"mm-yyyy")</f>
        <v>03-2023</v>
      </c>
      <c r="D2123" s="2">
        <f t="shared" ref="D2123:D2186" si="67">WEEKNUM(B2123)</f>
        <v>13</v>
      </c>
      <c r="E2123" t="s">
        <v>25</v>
      </c>
      <c r="F2123" t="s">
        <v>14</v>
      </c>
      <c r="G2123" t="s">
        <v>21</v>
      </c>
      <c r="H2123" s="2">
        <v>30460</v>
      </c>
      <c r="I2123" s="2">
        <v>9</v>
      </c>
      <c r="J2123" s="2">
        <v>109054</v>
      </c>
      <c r="K2123" s="2">
        <v>66595</v>
      </c>
      <c r="L2123" s="2">
        <v>12</v>
      </c>
      <c r="M2123" t="str">
        <f>IF(Revv_bike_sales_data[[#This Row],[delivery_days]]&lt;=7, "Yes", "No")</f>
        <v>No</v>
      </c>
      <c r="N2123" t="s">
        <v>16</v>
      </c>
      <c r="O2123" s="2">
        <v>42459</v>
      </c>
    </row>
    <row r="2124" spans="1:15" x14ac:dyDescent="0.3">
      <c r="A2124" s="2">
        <v>2114</v>
      </c>
      <c r="B2124" s="1">
        <v>45015.041666666664</v>
      </c>
      <c r="C2124" s="1" t="str">
        <f t="shared" si="66"/>
        <v>03-2023</v>
      </c>
      <c r="D2124" s="2">
        <f t="shared" si="67"/>
        <v>13</v>
      </c>
      <c r="E2124" t="s">
        <v>22</v>
      </c>
      <c r="F2124" t="s">
        <v>14</v>
      </c>
      <c r="G2124" t="s">
        <v>20</v>
      </c>
      <c r="H2124" s="2">
        <v>88195</v>
      </c>
      <c r="I2124" s="2">
        <v>2</v>
      </c>
      <c r="J2124" s="2">
        <v>83186</v>
      </c>
      <c r="K2124" s="2">
        <v>31321</v>
      </c>
      <c r="L2124" s="2">
        <v>6</v>
      </c>
      <c r="M2124" t="str">
        <f>IF(Revv_bike_sales_data[[#This Row],[delivery_days]]&lt;=7, "Yes", "No")</f>
        <v>Yes</v>
      </c>
      <c r="N2124" t="s">
        <v>16</v>
      </c>
      <c r="O2124" s="2">
        <v>51865</v>
      </c>
    </row>
    <row r="2125" spans="1:15" x14ac:dyDescent="0.3">
      <c r="A2125" s="2">
        <v>2115</v>
      </c>
      <c r="B2125" s="1">
        <v>45015.083333333336</v>
      </c>
      <c r="C2125" s="1" t="str">
        <f t="shared" si="66"/>
        <v>03-2023</v>
      </c>
      <c r="D2125" s="2">
        <f t="shared" si="67"/>
        <v>13</v>
      </c>
      <c r="E2125" t="s">
        <v>22</v>
      </c>
      <c r="F2125" t="s">
        <v>14</v>
      </c>
      <c r="G2125" t="s">
        <v>20</v>
      </c>
      <c r="H2125" s="2">
        <v>8410</v>
      </c>
      <c r="I2125" s="2">
        <v>4</v>
      </c>
      <c r="J2125" s="2">
        <v>51547</v>
      </c>
      <c r="K2125" s="2">
        <v>25769</v>
      </c>
      <c r="L2125" s="2">
        <v>2</v>
      </c>
      <c r="M2125" t="str">
        <f>IF(Revv_bike_sales_data[[#This Row],[delivery_days]]&lt;=7, "Yes", "No")</f>
        <v>Yes</v>
      </c>
      <c r="N2125" t="s">
        <v>16</v>
      </c>
      <c r="O2125" s="2">
        <v>25778</v>
      </c>
    </row>
    <row r="2126" spans="1:15" x14ac:dyDescent="0.3">
      <c r="A2126" s="2">
        <v>2116</v>
      </c>
      <c r="B2126" s="1">
        <v>45015.125</v>
      </c>
      <c r="C2126" s="1" t="str">
        <f t="shared" si="66"/>
        <v>03-2023</v>
      </c>
      <c r="D2126" s="2">
        <f t="shared" si="67"/>
        <v>13</v>
      </c>
      <c r="E2126" t="s">
        <v>17</v>
      </c>
      <c r="F2126" t="s">
        <v>14</v>
      </c>
      <c r="G2126" t="s">
        <v>21</v>
      </c>
      <c r="H2126" s="2">
        <v>3193</v>
      </c>
      <c r="I2126" s="2">
        <v>6</v>
      </c>
      <c r="J2126" s="2">
        <v>119472</v>
      </c>
      <c r="K2126" s="2">
        <v>51748</v>
      </c>
      <c r="L2126" s="2">
        <v>3</v>
      </c>
      <c r="M2126" t="str">
        <f>IF(Revv_bike_sales_data[[#This Row],[delivery_days]]&lt;=7, "Yes", "No")</f>
        <v>Yes</v>
      </c>
      <c r="N2126" t="s">
        <v>16</v>
      </c>
      <c r="O2126" s="2">
        <v>67724</v>
      </c>
    </row>
    <row r="2127" spans="1:15" x14ac:dyDescent="0.3">
      <c r="A2127" s="2">
        <v>2117</v>
      </c>
      <c r="B2127" s="1">
        <v>45015.166666666664</v>
      </c>
      <c r="C2127" s="1" t="str">
        <f t="shared" si="66"/>
        <v>03-2023</v>
      </c>
      <c r="D2127" s="2">
        <f t="shared" si="67"/>
        <v>13</v>
      </c>
      <c r="E2127" t="s">
        <v>18</v>
      </c>
      <c r="F2127" t="s">
        <v>14</v>
      </c>
      <c r="G2127" t="s">
        <v>15</v>
      </c>
      <c r="H2127" s="2">
        <v>16358</v>
      </c>
      <c r="I2127" s="2">
        <v>8</v>
      </c>
      <c r="J2127" s="2">
        <v>110823</v>
      </c>
      <c r="K2127" s="2">
        <v>55028</v>
      </c>
      <c r="L2127" s="2">
        <v>13</v>
      </c>
      <c r="M2127" t="str">
        <f>IF(Revv_bike_sales_data[[#This Row],[delivery_days]]&lt;=7, "Yes", "No")</f>
        <v>No</v>
      </c>
      <c r="N2127" t="s">
        <v>16</v>
      </c>
      <c r="O2127" s="2">
        <v>55795</v>
      </c>
    </row>
    <row r="2128" spans="1:15" x14ac:dyDescent="0.3">
      <c r="A2128" s="2">
        <v>2118</v>
      </c>
      <c r="B2128" s="1">
        <v>45015.208333333336</v>
      </c>
      <c r="C2128" s="1" t="str">
        <f t="shared" si="66"/>
        <v>03-2023</v>
      </c>
      <c r="D2128" s="2">
        <f t="shared" si="67"/>
        <v>13</v>
      </c>
      <c r="E2128" t="s">
        <v>22</v>
      </c>
      <c r="F2128" t="s">
        <v>14</v>
      </c>
      <c r="G2128" t="s">
        <v>19</v>
      </c>
      <c r="H2128" s="2">
        <v>29310</v>
      </c>
      <c r="I2128" s="2">
        <v>5</v>
      </c>
      <c r="J2128" s="2">
        <v>131887</v>
      </c>
      <c r="K2128" s="2">
        <v>31151</v>
      </c>
      <c r="L2128" s="2">
        <v>11</v>
      </c>
      <c r="M2128" t="str">
        <f>IF(Revv_bike_sales_data[[#This Row],[delivery_days]]&lt;=7, "Yes", "No")</f>
        <v>No</v>
      </c>
      <c r="N2128" t="s">
        <v>16</v>
      </c>
      <c r="O2128" s="2">
        <v>100736</v>
      </c>
    </row>
    <row r="2129" spans="1:15" x14ac:dyDescent="0.3">
      <c r="A2129" s="2">
        <v>2119</v>
      </c>
      <c r="B2129" s="1">
        <v>45015.25</v>
      </c>
      <c r="C2129" s="1" t="str">
        <f t="shared" si="66"/>
        <v>03-2023</v>
      </c>
      <c r="D2129" s="2">
        <f t="shared" si="67"/>
        <v>13</v>
      </c>
      <c r="E2129" t="s">
        <v>18</v>
      </c>
      <c r="F2129" t="s">
        <v>14</v>
      </c>
      <c r="G2129" t="s">
        <v>15</v>
      </c>
      <c r="H2129" s="2">
        <v>20592</v>
      </c>
      <c r="I2129" s="2">
        <v>2</v>
      </c>
      <c r="J2129" s="2">
        <v>35686</v>
      </c>
      <c r="K2129" s="2">
        <v>91133</v>
      </c>
      <c r="L2129" s="2">
        <v>12</v>
      </c>
      <c r="M2129" t="str">
        <f>IF(Revv_bike_sales_data[[#This Row],[delivery_days]]&lt;=7, "Yes", "No")</f>
        <v>No</v>
      </c>
      <c r="N2129" t="s">
        <v>16</v>
      </c>
      <c r="O2129" s="2">
        <v>-55447</v>
      </c>
    </row>
    <row r="2130" spans="1:15" x14ac:dyDescent="0.3">
      <c r="A2130" s="2">
        <v>2120</v>
      </c>
      <c r="B2130" s="1">
        <v>45015.291666666664</v>
      </c>
      <c r="C2130" s="1" t="str">
        <f t="shared" si="66"/>
        <v>03-2023</v>
      </c>
      <c r="D2130" s="2">
        <f t="shared" si="67"/>
        <v>13</v>
      </c>
      <c r="E2130" t="s">
        <v>13</v>
      </c>
      <c r="F2130" t="s">
        <v>14</v>
      </c>
      <c r="G2130" t="s">
        <v>19</v>
      </c>
      <c r="H2130" s="2">
        <v>89279</v>
      </c>
      <c r="I2130" s="2">
        <v>6</v>
      </c>
      <c r="J2130" s="2">
        <v>173608</v>
      </c>
      <c r="K2130" s="2">
        <v>49187</v>
      </c>
      <c r="L2130" s="2">
        <v>10</v>
      </c>
      <c r="M2130" t="str">
        <f>IF(Revv_bike_sales_data[[#This Row],[delivery_days]]&lt;=7, "Yes", "No")</f>
        <v>No</v>
      </c>
      <c r="N2130" t="s">
        <v>16</v>
      </c>
      <c r="O2130" s="2">
        <v>124421</v>
      </c>
    </row>
    <row r="2131" spans="1:15" x14ac:dyDescent="0.3">
      <c r="A2131" s="2">
        <v>2121</v>
      </c>
      <c r="B2131" s="1">
        <v>45015.333333333336</v>
      </c>
      <c r="C2131" s="1" t="str">
        <f t="shared" si="66"/>
        <v>03-2023</v>
      </c>
      <c r="D2131" s="2">
        <f t="shared" si="67"/>
        <v>13</v>
      </c>
      <c r="E2131" t="s">
        <v>25</v>
      </c>
      <c r="F2131" t="s">
        <v>14</v>
      </c>
      <c r="G2131" t="s">
        <v>15</v>
      </c>
      <c r="H2131" s="2">
        <v>49200</v>
      </c>
      <c r="I2131" s="2">
        <v>3</v>
      </c>
      <c r="J2131" s="2">
        <v>59062</v>
      </c>
      <c r="K2131" s="2">
        <v>58835</v>
      </c>
      <c r="L2131" s="2">
        <v>11</v>
      </c>
      <c r="M2131" t="str">
        <f>IF(Revv_bike_sales_data[[#This Row],[delivery_days]]&lt;=7, "Yes", "No")</f>
        <v>No</v>
      </c>
      <c r="N2131" t="s">
        <v>16</v>
      </c>
      <c r="O2131" s="2">
        <v>227</v>
      </c>
    </row>
    <row r="2132" spans="1:15" x14ac:dyDescent="0.3">
      <c r="A2132" s="2">
        <v>2122</v>
      </c>
      <c r="B2132" s="1">
        <v>45015.375</v>
      </c>
      <c r="C2132" s="1" t="str">
        <f t="shared" si="66"/>
        <v>03-2023</v>
      </c>
      <c r="D2132" s="2">
        <f t="shared" si="67"/>
        <v>13</v>
      </c>
      <c r="E2132" t="s">
        <v>17</v>
      </c>
      <c r="F2132" t="s">
        <v>14</v>
      </c>
      <c r="G2132" t="s">
        <v>21</v>
      </c>
      <c r="H2132" s="2">
        <v>58605</v>
      </c>
      <c r="I2132" s="2">
        <v>2</v>
      </c>
      <c r="J2132" s="2">
        <v>73216</v>
      </c>
      <c r="K2132" s="2">
        <v>15059</v>
      </c>
      <c r="L2132" s="2">
        <v>6</v>
      </c>
      <c r="M2132" t="str">
        <f>IF(Revv_bike_sales_data[[#This Row],[delivery_days]]&lt;=7, "Yes", "No")</f>
        <v>Yes</v>
      </c>
      <c r="N2132" t="s">
        <v>16</v>
      </c>
      <c r="O2132" s="2">
        <v>58157</v>
      </c>
    </row>
    <row r="2133" spans="1:15" x14ac:dyDescent="0.3">
      <c r="A2133" s="2">
        <v>2123</v>
      </c>
      <c r="B2133" s="1">
        <v>45015.416666666664</v>
      </c>
      <c r="C2133" s="1" t="str">
        <f t="shared" si="66"/>
        <v>03-2023</v>
      </c>
      <c r="D2133" s="2">
        <f t="shared" si="67"/>
        <v>13</v>
      </c>
      <c r="E2133" t="s">
        <v>18</v>
      </c>
      <c r="F2133" t="s">
        <v>14</v>
      </c>
      <c r="G2133" t="s">
        <v>20</v>
      </c>
      <c r="H2133" s="2">
        <v>31005</v>
      </c>
      <c r="I2133" s="2">
        <v>6</v>
      </c>
      <c r="J2133" s="2">
        <v>56653</v>
      </c>
      <c r="K2133" s="2">
        <v>115828</v>
      </c>
      <c r="L2133" s="2">
        <v>1</v>
      </c>
      <c r="M2133" t="str">
        <f>IF(Revv_bike_sales_data[[#This Row],[delivery_days]]&lt;=7, "Yes", "No")</f>
        <v>Yes</v>
      </c>
      <c r="N2133" t="s">
        <v>16</v>
      </c>
      <c r="O2133" s="2">
        <v>-59175</v>
      </c>
    </row>
    <row r="2134" spans="1:15" x14ac:dyDescent="0.3">
      <c r="A2134" s="2">
        <v>2124</v>
      </c>
      <c r="B2134" s="1">
        <v>45015.458333333336</v>
      </c>
      <c r="C2134" s="1" t="str">
        <f t="shared" si="66"/>
        <v>03-2023</v>
      </c>
      <c r="D2134" s="2">
        <f t="shared" si="67"/>
        <v>13</v>
      </c>
      <c r="E2134" t="s">
        <v>22</v>
      </c>
      <c r="F2134" t="s">
        <v>14</v>
      </c>
      <c r="G2134" t="s">
        <v>15</v>
      </c>
      <c r="H2134" s="2">
        <v>73728</v>
      </c>
      <c r="I2134" s="2">
        <v>6</v>
      </c>
      <c r="J2134" s="2">
        <v>46673</v>
      </c>
      <c r="K2134" s="2">
        <v>100717</v>
      </c>
      <c r="L2134" s="2">
        <v>14</v>
      </c>
      <c r="M2134" t="str">
        <f>IF(Revv_bike_sales_data[[#This Row],[delivery_days]]&lt;=7, "Yes", "No")</f>
        <v>No</v>
      </c>
      <c r="N2134" t="s">
        <v>16</v>
      </c>
      <c r="O2134" s="2">
        <v>-54044</v>
      </c>
    </row>
    <row r="2135" spans="1:15" x14ac:dyDescent="0.3">
      <c r="A2135" s="2">
        <v>2125</v>
      </c>
      <c r="B2135" s="1">
        <v>45015.5</v>
      </c>
      <c r="C2135" s="1" t="str">
        <f t="shared" si="66"/>
        <v>03-2023</v>
      </c>
      <c r="D2135" s="2">
        <f t="shared" si="67"/>
        <v>13</v>
      </c>
      <c r="E2135" t="s">
        <v>18</v>
      </c>
      <c r="F2135" t="s">
        <v>14</v>
      </c>
      <c r="G2135" t="s">
        <v>19</v>
      </c>
      <c r="H2135" s="2">
        <v>29055</v>
      </c>
      <c r="I2135" s="2">
        <v>3</v>
      </c>
      <c r="J2135" s="2">
        <v>166439</v>
      </c>
      <c r="K2135" s="2">
        <v>42235</v>
      </c>
      <c r="L2135" s="2">
        <v>2</v>
      </c>
      <c r="M2135" t="str">
        <f>IF(Revv_bike_sales_data[[#This Row],[delivery_days]]&lt;=7, "Yes", "No")</f>
        <v>Yes</v>
      </c>
      <c r="N2135" t="s">
        <v>24</v>
      </c>
      <c r="O2135" s="2">
        <v>124204</v>
      </c>
    </row>
    <row r="2136" spans="1:15" x14ac:dyDescent="0.3">
      <c r="A2136" s="2">
        <v>2126</v>
      </c>
      <c r="B2136" s="1">
        <v>45015.541666666664</v>
      </c>
      <c r="C2136" s="1" t="str">
        <f t="shared" si="66"/>
        <v>03-2023</v>
      </c>
      <c r="D2136" s="2">
        <f t="shared" si="67"/>
        <v>13</v>
      </c>
      <c r="E2136" t="s">
        <v>22</v>
      </c>
      <c r="F2136" t="s">
        <v>14</v>
      </c>
      <c r="G2136" t="s">
        <v>20</v>
      </c>
      <c r="H2136" s="2">
        <v>72434</v>
      </c>
      <c r="I2136" s="2">
        <v>6</v>
      </c>
      <c r="J2136" s="2">
        <v>44629</v>
      </c>
      <c r="K2136" s="2">
        <v>109208</v>
      </c>
      <c r="L2136" s="2">
        <v>8</v>
      </c>
      <c r="M2136" t="str">
        <f>IF(Revv_bike_sales_data[[#This Row],[delivery_days]]&lt;=7, "Yes", "No")</f>
        <v>No</v>
      </c>
      <c r="N2136" t="s">
        <v>16</v>
      </c>
      <c r="O2136" s="2">
        <v>-64579</v>
      </c>
    </row>
    <row r="2137" spans="1:15" x14ac:dyDescent="0.3">
      <c r="A2137" s="2">
        <v>2127</v>
      </c>
      <c r="B2137" s="1">
        <v>45015.583333333336</v>
      </c>
      <c r="C2137" s="1" t="str">
        <f t="shared" si="66"/>
        <v>03-2023</v>
      </c>
      <c r="D2137" s="2">
        <f t="shared" si="67"/>
        <v>13</v>
      </c>
      <c r="E2137" t="s">
        <v>18</v>
      </c>
      <c r="F2137" t="s">
        <v>14</v>
      </c>
      <c r="G2137" t="s">
        <v>19</v>
      </c>
      <c r="H2137" s="2">
        <v>73288</v>
      </c>
      <c r="I2137" s="2">
        <v>1</v>
      </c>
      <c r="J2137" s="2">
        <v>145756</v>
      </c>
      <c r="K2137" s="2">
        <v>82114</v>
      </c>
      <c r="L2137" s="2">
        <v>11</v>
      </c>
      <c r="M2137" t="str">
        <f>IF(Revv_bike_sales_data[[#This Row],[delivery_days]]&lt;=7, "Yes", "No")</f>
        <v>No</v>
      </c>
      <c r="N2137" t="s">
        <v>16</v>
      </c>
      <c r="O2137" s="2">
        <v>63642</v>
      </c>
    </row>
    <row r="2138" spans="1:15" x14ac:dyDescent="0.3">
      <c r="A2138" s="2">
        <v>2128</v>
      </c>
      <c r="B2138" s="1">
        <v>45015.625</v>
      </c>
      <c r="C2138" s="1" t="str">
        <f t="shared" si="66"/>
        <v>03-2023</v>
      </c>
      <c r="D2138" s="2">
        <f t="shared" si="67"/>
        <v>13</v>
      </c>
      <c r="E2138" t="s">
        <v>22</v>
      </c>
      <c r="F2138" t="s">
        <v>14</v>
      </c>
      <c r="G2138" t="s">
        <v>21</v>
      </c>
      <c r="H2138" s="2">
        <v>77757</v>
      </c>
      <c r="I2138" s="2">
        <v>0</v>
      </c>
      <c r="J2138" s="2">
        <v>136641</v>
      </c>
      <c r="K2138" s="2">
        <v>60366</v>
      </c>
      <c r="L2138" s="2">
        <v>8</v>
      </c>
      <c r="M2138" t="str">
        <f>IF(Revv_bike_sales_data[[#This Row],[delivery_days]]&lt;=7, "Yes", "No")</f>
        <v>No</v>
      </c>
      <c r="N2138" t="s">
        <v>16</v>
      </c>
      <c r="O2138" s="2">
        <v>76275</v>
      </c>
    </row>
    <row r="2139" spans="1:15" x14ac:dyDescent="0.3">
      <c r="A2139" s="2">
        <v>2129</v>
      </c>
      <c r="B2139" s="1">
        <v>45015.666666666664</v>
      </c>
      <c r="C2139" s="1" t="str">
        <f t="shared" si="66"/>
        <v>03-2023</v>
      </c>
      <c r="D2139" s="2">
        <f t="shared" si="67"/>
        <v>13</v>
      </c>
      <c r="E2139" t="s">
        <v>13</v>
      </c>
      <c r="F2139" t="s">
        <v>14</v>
      </c>
      <c r="G2139" t="s">
        <v>20</v>
      </c>
      <c r="H2139" s="2">
        <v>18439</v>
      </c>
      <c r="I2139" s="2">
        <v>1</v>
      </c>
      <c r="J2139" s="2">
        <v>50063</v>
      </c>
      <c r="K2139" s="2">
        <v>127831</v>
      </c>
      <c r="L2139" s="2">
        <v>6</v>
      </c>
      <c r="M2139" t="str">
        <f>IF(Revv_bike_sales_data[[#This Row],[delivery_days]]&lt;=7, "Yes", "No")</f>
        <v>Yes</v>
      </c>
      <c r="N2139" t="s">
        <v>16</v>
      </c>
      <c r="O2139" s="2">
        <v>-77768</v>
      </c>
    </row>
    <row r="2140" spans="1:15" x14ac:dyDescent="0.3">
      <c r="A2140" s="2">
        <v>2130</v>
      </c>
      <c r="B2140" s="1">
        <v>45015.708333333336</v>
      </c>
      <c r="C2140" s="1" t="str">
        <f t="shared" si="66"/>
        <v>03-2023</v>
      </c>
      <c r="D2140" s="2">
        <f t="shared" si="67"/>
        <v>13</v>
      </c>
      <c r="E2140" t="s">
        <v>22</v>
      </c>
      <c r="F2140" t="s">
        <v>14</v>
      </c>
      <c r="G2140" t="s">
        <v>19</v>
      </c>
      <c r="H2140" s="2">
        <v>12325</v>
      </c>
      <c r="I2140" s="2">
        <v>3</v>
      </c>
      <c r="J2140" s="2">
        <v>44322</v>
      </c>
      <c r="K2140" s="2">
        <v>136889</v>
      </c>
      <c r="L2140" s="2">
        <v>3</v>
      </c>
      <c r="M2140" t="str">
        <f>IF(Revv_bike_sales_data[[#This Row],[delivery_days]]&lt;=7, "Yes", "No")</f>
        <v>Yes</v>
      </c>
      <c r="N2140" t="s">
        <v>16</v>
      </c>
      <c r="O2140" s="2">
        <v>-92567</v>
      </c>
    </row>
    <row r="2141" spans="1:15" x14ac:dyDescent="0.3">
      <c r="A2141" s="2">
        <v>2131</v>
      </c>
      <c r="B2141" s="1">
        <v>45015.75</v>
      </c>
      <c r="C2141" s="1" t="str">
        <f t="shared" si="66"/>
        <v>03-2023</v>
      </c>
      <c r="D2141" s="2">
        <f t="shared" si="67"/>
        <v>13</v>
      </c>
      <c r="E2141" t="s">
        <v>22</v>
      </c>
      <c r="F2141" t="s">
        <v>14</v>
      </c>
      <c r="G2141" t="s">
        <v>15</v>
      </c>
      <c r="H2141" s="2">
        <v>91287</v>
      </c>
      <c r="I2141" s="2">
        <v>7</v>
      </c>
      <c r="J2141" s="2">
        <v>37693</v>
      </c>
      <c r="K2141" s="2">
        <v>96583</v>
      </c>
      <c r="L2141" s="2">
        <v>14</v>
      </c>
      <c r="M2141" t="str">
        <f>IF(Revv_bike_sales_data[[#This Row],[delivery_days]]&lt;=7, "Yes", "No")</f>
        <v>No</v>
      </c>
      <c r="N2141" t="s">
        <v>16</v>
      </c>
      <c r="O2141" s="2">
        <v>-58890</v>
      </c>
    </row>
    <row r="2142" spans="1:15" x14ac:dyDescent="0.3">
      <c r="A2142" s="2">
        <v>2132</v>
      </c>
      <c r="B2142" s="1">
        <v>45015.791666666664</v>
      </c>
      <c r="C2142" s="1" t="str">
        <f t="shared" si="66"/>
        <v>03-2023</v>
      </c>
      <c r="D2142" s="2">
        <f t="shared" si="67"/>
        <v>13</v>
      </c>
      <c r="E2142" t="s">
        <v>25</v>
      </c>
      <c r="F2142" t="s">
        <v>14</v>
      </c>
      <c r="G2142" t="s">
        <v>21</v>
      </c>
      <c r="H2142" s="2">
        <v>24651</v>
      </c>
      <c r="I2142" s="2">
        <v>2</v>
      </c>
      <c r="J2142" s="2">
        <v>165313</v>
      </c>
      <c r="K2142" s="2">
        <v>47160</v>
      </c>
      <c r="L2142" s="2">
        <v>2</v>
      </c>
      <c r="M2142" t="str">
        <f>IF(Revv_bike_sales_data[[#This Row],[delivery_days]]&lt;=7, "Yes", "No")</f>
        <v>Yes</v>
      </c>
      <c r="N2142" t="s">
        <v>16</v>
      </c>
      <c r="O2142" s="2">
        <v>118153</v>
      </c>
    </row>
    <row r="2143" spans="1:15" x14ac:dyDescent="0.3">
      <c r="A2143" s="2">
        <v>2133</v>
      </c>
      <c r="B2143" s="1">
        <v>45015.833333333336</v>
      </c>
      <c r="C2143" s="1" t="str">
        <f t="shared" si="66"/>
        <v>03-2023</v>
      </c>
      <c r="D2143" s="2">
        <f t="shared" si="67"/>
        <v>13</v>
      </c>
      <c r="E2143" t="s">
        <v>22</v>
      </c>
      <c r="F2143" t="s">
        <v>14</v>
      </c>
      <c r="G2143" t="s">
        <v>21</v>
      </c>
      <c r="H2143" s="2">
        <v>536</v>
      </c>
      <c r="I2143" s="2">
        <v>9</v>
      </c>
      <c r="J2143" s="2">
        <v>127379</v>
      </c>
      <c r="K2143" s="2">
        <v>114011</v>
      </c>
      <c r="L2143" s="2">
        <v>13</v>
      </c>
      <c r="M2143" t="str">
        <f>IF(Revv_bike_sales_data[[#This Row],[delivery_days]]&lt;=7, "Yes", "No")</f>
        <v>No</v>
      </c>
      <c r="N2143" t="s">
        <v>16</v>
      </c>
      <c r="O2143" s="2">
        <v>13368</v>
      </c>
    </row>
    <row r="2144" spans="1:15" x14ac:dyDescent="0.3">
      <c r="A2144" s="2">
        <v>2134</v>
      </c>
      <c r="B2144" s="1">
        <v>45015.875</v>
      </c>
      <c r="C2144" s="1" t="str">
        <f t="shared" si="66"/>
        <v>03-2023</v>
      </c>
      <c r="D2144" s="2">
        <f t="shared" si="67"/>
        <v>13</v>
      </c>
      <c r="E2144" t="s">
        <v>25</v>
      </c>
      <c r="F2144" t="s">
        <v>14</v>
      </c>
      <c r="G2144" t="s">
        <v>21</v>
      </c>
      <c r="H2144" s="2">
        <v>94448</v>
      </c>
      <c r="I2144" s="2">
        <v>5</v>
      </c>
      <c r="J2144" s="2">
        <v>37651</v>
      </c>
      <c r="K2144" s="2">
        <v>105085</v>
      </c>
      <c r="L2144" s="2">
        <v>6</v>
      </c>
      <c r="M2144" t="str">
        <f>IF(Revv_bike_sales_data[[#This Row],[delivery_days]]&lt;=7, "Yes", "No")</f>
        <v>Yes</v>
      </c>
      <c r="N2144" t="s">
        <v>16</v>
      </c>
      <c r="O2144" s="2">
        <v>-67434</v>
      </c>
    </row>
    <row r="2145" spans="1:15" x14ac:dyDescent="0.3">
      <c r="A2145" s="2">
        <v>2135</v>
      </c>
      <c r="B2145" s="1">
        <v>45015.916666666664</v>
      </c>
      <c r="C2145" s="1" t="str">
        <f t="shared" si="66"/>
        <v>03-2023</v>
      </c>
      <c r="D2145" s="2">
        <f t="shared" si="67"/>
        <v>13</v>
      </c>
      <c r="E2145" t="s">
        <v>17</v>
      </c>
      <c r="F2145" t="s">
        <v>14</v>
      </c>
      <c r="G2145" t="s">
        <v>15</v>
      </c>
      <c r="H2145" s="2">
        <v>84207</v>
      </c>
      <c r="I2145" s="2">
        <v>5</v>
      </c>
      <c r="J2145" s="2">
        <v>34275</v>
      </c>
      <c r="K2145" s="2">
        <v>20277</v>
      </c>
      <c r="L2145" s="2">
        <v>1</v>
      </c>
      <c r="M2145" t="str">
        <f>IF(Revv_bike_sales_data[[#This Row],[delivery_days]]&lt;=7, "Yes", "No")</f>
        <v>Yes</v>
      </c>
      <c r="N2145" t="s">
        <v>16</v>
      </c>
      <c r="O2145" s="2">
        <v>13998</v>
      </c>
    </row>
    <row r="2146" spans="1:15" x14ac:dyDescent="0.3">
      <c r="A2146" s="2">
        <v>2136</v>
      </c>
      <c r="B2146" s="1">
        <v>45015.958333333336</v>
      </c>
      <c r="C2146" s="1" t="str">
        <f t="shared" si="66"/>
        <v>03-2023</v>
      </c>
      <c r="D2146" s="2">
        <f t="shared" si="67"/>
        <v>13</v>
      </c>
      <c r="E2146" t="s">
        <v>25</v>
      </c>
      <c r="F2146" t="s">
        <v>23</v>
      </c>
      <c r="G2146" t="s">
        <v>15</v>
      </c>
      <c r="H2146" s="2">
        <v>39551</v>
      </c>
      <c r="I2146" s="2">
        <v>8</v>
      </c>
      <c r="J2146" s="2">
        <v>70606</v>
      </c>
      <c r="K2146" s="2">
        <v>16780</v>
      </c>
      <c r="L2146" s="2">
        <v>14</v>
      </c>
      <c r="M2146" t="str">
        <f>IF(Revv_bike_sales_data[[#This Row],[delivery_days]]&lt;=7, "Yes", "No")</f>
        <v>No</v>
      </c>
      <c r="N2146" t="s">
        <v>16</v>
      </c>
      <c r="O2146" s="2">
        <v>53826</v>
      </c>
    </row>
    <row r="2147" spans="1:15" x14ac:dyDescent="0.3">
      <c r="A2147" s="2">
        <v>2137</v>
      </c>
      <c r="B2147" s="1">
        <v>45016</v>
      </c>
      <c r="C2147" s="1" t="str">
        <f t="shared" si="66"/>
        <v>03-2023</v>
      </c>
      <c r="D2147" s="2">
        <f t="shared" si="67"/>
        <v>13</v>
      </c>
      <c r="E2147" t="s">
        <v>13</v>
      </c>
      <c r="F2147" t="s">
        <v>14</v>
      </c>
      <c r="G2147" t="s">
        <v>20</v>
      </c>
      <c r="H2147" s="2">
        <v>98797</v>
      </c>
      <c r="I2147" s="2">
        <v>8</v>
      </c>
      <c r="J2147" s="2">
        <v>26658</v>
      </c>
      <c r="K2147" s="2">
        <v>61579</v>
      </c>
      <c r="L2147" s="2">
        <v>10</v>
      </c>
      <c r="M2147" t="str">
        <f>IF(Revv_bike_sales_data[[#This Row],[delivery_days]]&lt;=7, "Yes", "No")</f>
        <v>No</v>
      </c>
      <c r="N2147" t="s">
        <v>16</v>
      </c>
      <c r="O2147" s="2">
        <v>-34921</v>
      </c>
    </row>
    <row r="2148" spans="1:15" x14ac:dyDescent="0.3">
      <c r="A2148" s="2">
        <v>2138</v>
      </c>
      <c r="B2148" s="1">
        <v>45016.041666666664</v>
      </c>
      <c r="C2148" s="1" t="str">
        <f t="shared" si="66"/>
        <v>03-2023</v>
      </c>
      <c r="D2148" s="2">
        <f t="shared" si="67"/>
        <v>13</v>
      </c>
      <c r="E2148" t="s">
        <v>25</v>
      </c>
      <c r="F2148" t="s">
        <v>14</v>
      </c>
      <c r="G2148" t="s">
        <v>15</v>
      </c>
      <c r="H2148" s="2">
        <v>81238</v>
      </c>
      <c r="I2148" s="2">
        <v>3</v>
      </c>
      <c r="J2148" s="2">
        <v>97468</v>
      </c>
      <c r="K2148" s="2">
        <v>132101</v>
      </c>
      <c r="L2148" s="2">
        <v>6</v>
      </c>
      <c r="M2148" t="str">
        <f>IF(Revv_bike_sales_data[[#This Row],[delivery_days]]&lt;=7, "Yes", "No")</f>
        <v>Yes</v>
      </c>
      <c r="N2148" t="s">
        <v>16</v>
      </c>
      <c r="O2148" s="2">
        <v>-34633</v>
      </c>
    </row>
    <row r="2149" spans="1:15" x14ac:dyDescent="0.3">
      <c r="A2149" s="2">
        <v>2139</v>
      </c>
      <c r="B2149" s="1">
        <v>45016.083333333336</v>
      </c>
      <c r="C2149" s="1" t="str">
        <f t="shared" si="66"/>
        <v>03-2023</v>
      </c>
      <c r="D2149" s="2">
        <f t="shared" si="67"/>
        <v>13</v>
      </c>
      <c r="E2149" t="s">
        <v>17</v>
      </c>
      <c r="F2149" t="s">
        <v>14</v>
      </c>
      <c r="G2149" t="s">
        <v>20</v>
      </c>
      <c r="H2149" s="2">
        <v>74096</v>
      </c>
      <c r="I2149" s="2">
        <v>8</v>
      </c>
      <c r="J2149" s="2">
        <v>170320</v>
      </c>
      <c r="K2149" s="2">
        <v>126449</v>
      </c>
      <c r="L2149" s="2">
        <v>9</v>
      </c>
      <c r="M2149" t="str">
        <f>IF(Revv_bike_sales_data[[#This Row],[delivery_days]]&lt;=7, "Yes", "No")</f>
        <v>No</v>
      </c>
      <c r="N2149" t="s">
        <v>16</v>
      </c>
      <c r="O2149" s="2">
        <v>43871</v>
      </c>
    </row>
    <row r="2150" spans="1:15" x14ac:dyDescent="0.3">
      <c r="A2150" s="2">
        <v>2140</v>
      </c>
      <c r="B2150" s="1">
        <v>45016.125</v>
      </c>
      <c r="C2150" s="1" t="str">
        <f t="shared" si="66"/>
        <v>03-2023</v>
      </c>
      <c r="D2150" s="2">
        <f t="shared" si="67"/>
        <v>13</v>
      </c>
      <c r="E2150" t="s">
        <v>13</v>
      </c>
      <c r="F2150" t="s">
        <v>14</v>
      </c>
      <c r="G2150" t="s">
        <v>21</v>
      </c>
      <c r="H2150" s="2">
        <v>60571</v>
      </c>
      <c r="I2150" s="2">
        <v>5</v>
      </c>
      <c r="J2150" s="2">
        <v>174273</v>
      </c>
      <c r="K2150" s="2">
        <v>75750</v>
      </c>
      <c r="L2150" s="2">
        <v>7</v>
      </c>
      <c r="M2150" t="str">
        <f>IF(Revv_bike_sales_data[[#This Row],[delivery_days]]&lt;=7, "Yes", "No")</f>
        <v>Yes</v>
      </c>
      <c r="N2150" t="s">
        <v>16</v>
      </c>
      <c r="O2150" s="2">
        <v>98523</v>
      </c>
    </row>
    <row r="2151" spans="1:15" x14ac:dyDescent="0.3">
      <c r="A2151" s="2">
        <v>2141</v>
      </c>
      <c r="B2151" s="1">
        <v>45016.166666666664</v>
      </c>
      <c r="C2151" s="1" t="str">
        <f t="shared" si="66"/>
        <v>03-2023</v>
      </c>
      <c r="D2151" s="2">
        <f t="shared" si="67"/>
        <v>13</v>
      </c>
      <c r="E2151" t="s">
        <v>18</v>
      </c>
      <c r="F2151" t="s">
        <v>14</v>
      </c>
      <c r="G2151" t="s">
        <v>20</v>
      </c>
      <c r="H2151" s="2">
        <v>74101</v>
      </c>
      <c r="I2151" s="2">
        <v>1</v>
      </c>
      <c r="J2151" s="2">
        <v>66150</v>
      </c>
      <c r="K2151" s="2">
        <v>71902</v>
      </c>
      <c r="L2151" s="2">
        <v>9</v>
      </c>
      <c r="M2151" t="str">
        <f>IF(Revv_bike_sales_data[[#This Row],[delivery_days]]&lt;=7, "Yes", "No")</f>
        <v>No</v>
      </c>
      <c r="N2151" t="s">
        <v>16</v>
      </c>
      <c r="O2151" s="2">
        <v>-5752</v>
      </c>
    </row>
    <row r="2152" spans="1:15" x14ac:dyDescent="0.3">
      <c r="A2152" s="2">
        <v>2142</v>
      </c>
      <c r="B2152" s="1">
        <v>45016.208333333336</v>
      </c>
      <c r="C2152" s="1" t="str">
        <f t="shared" si="66"/>
        <v>03-2023</v>
      </c>
      <c r="D2152" s="2">
        <f t="shared" si="67"/>
        <v>13</v>
      </c>
      <c r="E2152" t="s">
        <v>18</v>
      </c>
      <c r="F2152" t="s">
        <v>14</v>
      </c>
      <c r="G2152" t="s">
        <v>19</v>
      </c>
      <c r="H2152" s="2">
        <v>30373</v>
      </c>
      <c r="I2152" s="2">
        <v>9</v>
      </c>
      <c r="J2152" s="2">
        <v>39999</v>
      </c>
      <c r="K2152" s="2">
        <v>95198</v>
      </c>
      <c r="L2152" s="2">
        <v>2</v>
      </c>
      <c r="M2152" t="str">
        <f>IF(Revv_bike_sales_data[[#This Row],[delivery_days]]&lt;=7, "Yes", "No")</f>
        <v>Yes</v>
      </c>
      <c r="N2152" t="s">
        <v>16</v>
      </c>
      <c r="O2152" s="2">
        <v>-55199</v>
      </c>
    </row>
    <row r="2153" spans="1:15" x14ac:dyDescent="0.3">
      <c r="A2153" s="2">
        <v>2143</v>
      </c>
      <c r="B2153" s="1">
        <v>45016.25</v>
      </c>
      <c r="C2153" s="1" t="str">
        <f t="shared" si="66"/>
        <v>03-2023</v>
      </c>
      <c r="D2153" s="2">
        <f t="shared" si="67"/>
        <v>13</v>
      </c>
      <c r="E2153" t="s">
        <v>25</v>
      </c>
      <c r="F2153" t="s">
        <v>14</v>
      </c>
      <c r="G2153" t="s">
        <v>21</v>
      </c>
      <c r="H2153" s="2">
        <v>37148</v>
      </c>
      <c r="I2153" s="2">
        <v>5</v>
      </c>
      <c r="J2153" s="2">
        <v>31376</v>
      </c>
      <c r="K2153" s="2">
        <v>131849</v>
      </c>
      <c r="L2153" s="2">
        <v>11</v>
      </c>
      <c r="M2153" t="str">
        <f>IF(Revv_bike_sales_data[[#This Row],[delivery_days]]&lt;=7, "Yes", "No")</f>
        <v>No</v>
      </c>
      <c r="N2153" t="s">
        <v>16</v>
      </c>
      <c r="O2153" s="2">
        <v>-100473</v>
      </c>
    </row>
    <row r="2154" spans="1:15" x14ac:dyDescent="0.3">
      <c r="A2154" s="2">
        <v>2144</v>
      </c>
      <c r="B2154" s="1">
        <v>45016.291666666664</v>
      </c>
      <c r="C2154" s="1" t="str">
        <f t="shared" si="66"/>
        <v>03-2023</v>
      </c>
      <c r="D2154" s="2">
        <f t="shared" si="67"/>
        <v>13</v>
      </c>
      <c r="E2154" t="s">
        <v>25</v>
      </c>
      <c r="F2154" t="s">
        <v>23</v>
      </c>
      <c r="G2154" t="s">
        <v>21</v>
      </c>
      <c r="H2154" s="2">
        <v>71968</v>
      </c>
      <c r="I2154" s="2">
        <v>1</v>
      </c>
      <c r="J2154" s="2">
        <v>76673</v>
      </c>
      <c r="K2154" s="2">
        <v>112052</v>
      </c>
      <c r="L2154" s="2">
        <v>14</v>
      </c>
      <c r="M2154" t="str">
        <f>IF(Revv_bike_sales_data[[#This Row],[delivery_days]]&lt;=7, "Yes", "No")</f>
        <v>No</v>
      </c>
      <c r="N2154" t="s">
        <v>16</v>
      </c>
      <c r="O2154" s="2">
        <v>-35379</v>
      </c>
    </row>
    <row r="2155" spans="1:15" x14ac:dyDescent="0.3">
      <c r="A2155" s="2">
        <v>2145</v>
      </c>
      <c r="B2155" s="1">
        <v>45016.333333333336</v>
      </c>
      <c r="C2155" s="1" t="str">
        <f t="shared" si="66"/>
        <v>03-2023</v>
      </c>
      <c r="D2155" s="2">
        <f t="shared" si="67"/>
        <v>13</v>
      </c>
      <c r="E2155" t="s">
        <v>17</v>
      </c>
      <c r="F2155" t="s">
        <v>14</v>
      </c>
      <c r="G2155" t="s">
        <v>20</v>
      </c>
      <c r="H2155" s="2">
        <v>26970</v>
      </c>
      <c r="I2155" s="2">
        <v>7</v>
      </c>
      <c r="J2155" s="2">
        <v>28476</v>
      </c>
      <c r="K2155" s="2">
        <v>47161</v>
      </c>
      <c r="L2155" s="2">
        <v>5</v>
      </c>
      <c r="M2155" t="str">
        <f>IF(Revv_bike_sales_data[[#This Row],[delivery_days]]&lt;=7, "Yes", "No")</f>
        <v>Yes</v>
      </c>
      <c r="N2155" t="s">
        <v>16</v>
      </c>
      <c r="O2155" s="2">
        <v>-18685</v>
      </c>
    </row>
    <row r="2156" spans="1:15" x14ac:dyDescent="0.3">
      <c r="A2156" s="2">
        <v>2146</v>
      </c>
      <c r="B2156" s="1">
        <v>45016.375</v>
      </c>
      <c r="C2156" s="1" t="str">
        <f t="shared" si="66"/>
        <v>03-2023</v>
      </c>
      <c r="D2156" s="2">
        <f t="shared" si="67"/>
        <v>13</v>
      </c>
      <c r="E2156" t="s">
        <v>17</v>
      </c>
      <c r="F2156" t="s">
        <v>14</v>
      </c>
      <c r="G2156" t="s">
        <v>21</v>
      </c>
      <c r="H2156" s="2">
        <v>65629</v>
      </c>
      <c r="I2156" s="2">
        <v>3</v>
      </c>
      <c r="J2156" s="2">
        <v>94902</v>
      </c>
      <c r="K2156" s="2">
        <v>59499</v>
      </c>
      <c r="L2156" s="2">
        <v>9</v>
      </c>
      <c r="M2156" t="str">
        <f>IF(Revv_bike_sales_data[[#This Row],[delivery_days]]&lt;=7, "Yes", "No")</f>
        <v>No</v>
      </c>
      <c r="N2156" t="s">
        <v>16</v>
      </c>
      <c r="O2156" s="2">
        <v>35403</v>
      </c>
    </row>
    <row r="2157" spans="1:15" x14ac:dyDescent="0.3">
      <c r="A2157" s="2">
        <v>2147</v>
      </c>
      <c r="B2157" s="1">
        <v>45016.416666666664</v>
      </c>
      <c r="C2157" s="1" t="str">
        <f t="shared" si="66"/>
        <v>03-2023</v>
      </c>
      <c r="D2157" s="2">
        <f t="shared" si="67"/>
        <v>13</v>
      </c>
      <c r="E2157" t="s">
        <v>22</v>
      </c>
      <c r="F2157" t="s">
        <v>23</v>
      </c>
      <c r="G2157" t="s">
        <v>15</v>
      </c>
      <c r="H2157" s="2">
        <v>8828</v>
      </c>
      <c r="I2157" s="2">
        <v>4</v>
      </c>
      <c r="J2157" s="2">
        <v>116269</v>
      </c>
      <c r="K2157" s="2">
        <v>46886</v>
      </c>
      <c r="L2157" s="2">
        <v>7</v>
      </c>
      <c r="M2157" t="str">
        <f>IF(Revv_bike_sales_data[[#This Row],[delivery_days]]&lt;=7, "Yes", "No")</f>
        <v>Yes</v>
      </c>
      <c r="N2157" t="s">
        <v>16</v>
      </c>
      <c r="O2157" s="2">
        <v>69383</v>
      </c>
    </row>
    <row r="2158" spans="1:15" x14ac:dyDescent="0.3">
      <c r="A2158" s="2">
        <v>2148</v>
      </c>
      <c r="B2158" s="1">
        <v>45016.458333333336</v>
      </c>
      <c r="C2158" s="1" t="str">
        <f t="shared" si="66"/>
        <v>03-2023</v>
      </c>
      <c r="D2158" s="2">
        <f t="shared" si="67"/>
        <v>13</v>
      </c>
      <c r="E2158" t="s">
        <v>17</v>
      </c>
      <c r="F2158" t="s">
        <v>14</v>
      </c>
      <c r="G2158" t="s">
        <v>19</v>
      </c>
      <c r="H2158" s="2">
        <v>6833</v>
      </c>
      <c r="I2158" s="2">
        <v>7</v>
      </c>
      <c r="J2158" s="2">
        <v>123331</v>
      </c>
      <c r="K2158" s="2">
        <v>23800</v>
      </c>
      <c r="L2158" s="2">
        <v>9</v>
      </c>
      <c r="M2158" t="str">
        <f>IF(Revv_bike_sales_data[[#This Row],[delivery_days]]&lt;=7, "Yes", "No")</f>
        <v>No</v>
      </c>
      <c r="N2158" t="s">
        <v>16</v>
      </c>
      <c r="O2158" s="2">
        <v>99531</v>
      </c>
    </row>
    <row r="2159" spans="1:15" x14ac:dyDescent="0.3">
      <c r="A2159" s="2">
        <v>2149</v>
      </c>
      <c r="B2159" s="1">
        <v>45016.5</v>
      </c>
      <c r="C2159" s="1" t="str">
        <f t="shared" si="66"/>
        <v>03-2023</v>
      </c>
      <c r="D2159" s="2">
        <f t="shared" si="67"/>
        <v>13</v>
      </c>
      <c r="E2159" t="s">
        <v>22</v>
      </c>
      <c r="F2159" t="s">
        <v>23</v>
      </c>
      <c r="G2159" t="s">
        <v>20</v>
      </c>
      <c r="H2159" s="2">
        <v>47138</v>
      </c>
      <c r="I2159" s="2">
        <v>7</v>
      </c>
      <c r="J2159" s="2">
        <v>176687</v>
      </c>
      <c r="K2159" s="2">
        <v>64460</v>
      </c>
      <c r="L2159" s="2">
        <v>14</v>
      </c>
      <c r="M2159" t="str">
        <f>IF(Revv_bike_sales_data[[#This Row],[delivery_days]]&lt;=7, "Yes", "No")</f>
        <v>No</v>
      </c>
      <c r="N2159" t="s">
        <v>16</v>
      </c>
      <c r="O2159" s="2">
        <v>112227</v>
      </c>
    </row>
    <row r="2160" spans="1:15" x14ac:dyDescent="0.3">
      <c r="A2160" s="2">
        <v>2150</v>
      </c>
      <c r="B2160" s="1">
        <v>45016.541666666664</v>
      </c>
      <c r="C2160" s="1" t="str">
        <f t="shared" si="66"/>
        <v>03-2023</v>
      </c>
      <c r="D2160" s="2">
        <f t="shared" si="67"/>
        <v>13</v>
      </c>
      <c r="E2160" t="s">
        <v>13</v>
      </c>
      <c r="F2160" t="s">
        <v>14</v>
      </c>
      <c r="G2160" t="s">
        <v>20</v>
      </c>
      <c r="H2160" s="2">
        <v>11768</v>
      </c>
      <c r="I2160" s="2">
        <v>5</v>
      </c>
      <c r="J2160" s="2">
        <v>36164</v>
      </c>
      <c r="K2160" s="2">
        <v>85975</v>
      </c>
      <c r="L2160" s="2">
        <v>11</v>
      </c>
      <c r="M2160" t="str">
        <f>IF(Revv_bike_sales_data[[#This Row],[delivery_days]]&lt;=7, "Yes", "No")</f>
        <v>No</v>
      </c>
      <c r="N2160" t="s">
        <v>16</v>
      </c>
      <c r="O2160" s="2">
        <v>-49811</v>
      </c>
    </row>
    <row r="2161" spans="1:15" x14ac:dyDescent="0.3">
      <c r="A2161" s="2">
        <v>2151</v>
      </c>
      <c r="B2161" s="1">
        <v>45016.583333333336</v>
      </c>
      <c r="C2161" s="1" t="str">
        <f t="shared" si="66"/>
        <v>03-2023</v>
      </c>
      <c r="D2161" s="2">
        <f t="shared" si="67"/>
        <v>13</v>
      </c>
      <c r="E2161" t="s">
        <v>25</v>
      </c>
      <c r="F2161" t="s">
        <v>14</v>
      </c>
      <c r="G2161" t="s">
        <v>21</v>
      </c>
      <c r="H2161" s="2">
        <v>71103</v>
      </c>
      <c r="I2161" s="2">
        <v>3</v>
      </c>
      <c r="J2161" s="2">
        <v>64316</v>
      </c>
      <c r="K2161" s="2">
        <v>84843</v>
      </c>
      <c r="L2161" s="2">
        <v>6</v>
      </c>
      <c r="M2161" t="str">
        <f>IF(Revv_bike_sales_data[[#This Row],[delivery_days]]&lt;=7, "Yes", "No")</f>
        <v>Yes</v>
      </c>
      <c r="N2161" t="s">
        <v>16</v>
      </c>
      <c r="O2161" s="2">
        <v>-20527</v>
      </c>
    </row>
    <row r="2162" spans="1:15" x14ac:dyDescent="0.3">
      <c r="A2162" s="2">
        <v>2152</v>
      </c>
      <c r="B2162" s="1">
        <v>45016.625</v>
      </c>
      <c r="C2162" s="1" t="str">
        <f t="shared" si="66"/>
        <v>03-2023</v>
      </c>
      <c r="D2162" s="2">
        <f t="shared" si="67"/>
        <v>13</v>
      </c>
      <c r="E2162" t="s">
        <v>13</v>
      </c>
      <c r="F2162" t="s">
        <v>14</v>
      </c>
      <c r="G2162" t="s">
        <v>15</v>
      </c>
      <c r="H2162" s="2">
        <v>17545</v>
      </c>
      <c r="I2162" s="2">
        <v>0</v>
      </c>
      <c r="J2162" s="2">
        <v>87968</v>
      </c>
      <c r="K2162" s="2">
        <v>17364</v>
      </c>
      <c r="L2162" s="2">
        <v>7</v>
      </c>
      <c r="M2162" t="str">
        <f>IF(Revv_bike_sales_data[[#This Row],[delivery_days]]&lt;=7, "Yes", "No")</f>
        <v>Yes</v>
      </c>
      <c r="N2162" t="s">
        <v>16</v>
      </c>
      <c r="O2162" s="2">
        <v>70604</v>
      </c>
    </row>
    <row r="2163" spans="1:15" x14ac:dyDescent="0.3">
      <c r="A2163" s="2">
        <v>2153</v>
      </c>
      <c r="B2163" s="1">
        <v>45016.666666666664</v>
      </c>
      <c r="C2163" s="1" t="str">
        <f t="shared" si="66"/>
        <v>03-2023</v>
      </c>
      <c r="D2163" s="2">
        <f t="shared" si="67"/>
        <v>13</v>
      </c>
      <c r="E2163" t="s">
        <v>17</v>
      </c>
      <c r="F2163" t="s">
        <v>14</v>
      </c>
      <c r="G2163" t="s">
        <v>21</v>
      </c>
      <c r="H2163" s="2">
        <v>41241</v>
      </c>
      <c r="I2163" s="2">
        <v>6</v>
      </c>
      <c r="J2163" s="2">
        <v>165119</v>
      </c>
      <c r="K2163" s="2">
        <v>31568</v>
      </c>
      <c r="L2163" s="2">
        <v>10</v>
      </c>
      <c r="M2163" t="str">
        <f>IF(Revv_bike_sales_data[[#This Row],[delivery_days]]&lt;=7, "Yes", "No")</f>
        <v>No</v>
      </c>
      <c r="N2163" t="s">
        <v>16</v>
      </c>
      <c r="O2163" s="2">
        <v>133551</v>
      </c>
    </row>
    <row r="2164" spans="1:15" x14ac:dyDescent="0.3">
      <c r="A2164" s="2">
        <v>2154</v>
      </c>
      <c r="B2164" s="1">
        <v>45016.708333333336</v>
      </c>
      <c r="C2164" s="1" t="str">
        <f t="shared" si="66"/>
        <v>03-2023</v>
      </c>
      <c r="D2164" s="2">
        <f t="shared" si="67"/>
        <v>13</v>
      </c>
      <c r="E2164" t="s">
        <v>13</v>
      </c>
      <c r="F2164" t="s">
        <v>23</v>
      </c>
      <c r="G2164" t="s">
        <v>21</v>
      </c>
      <c r="H2164" s="2">
        <v>88806</v>
      </c>
      <c r="I2164" s="2">
        <v>7</v>
      </c>
      <c r="J2164" s="2">
        <v>162649</v>
      </c>
      <c r="K2164" s="2">
        <v>53092</v>
      </c>
      <c r="L2164" s="2">
        <v>5</v>
      </c>
      <c r="M2164" t="str">
        <f>IF(Revv_bike_sales_data[[#This Row],[delivery_days]]&lt;=7, "Yes", "No")</f>
        <v>Yes</v>
      </c>
      <c r="N2164" t="s">
        <v>16</v>
      </c>
      <c r="O2164" s="2">
        <v>109557</v>
      </c>
    </row>
    <row r="2165" spans="1:15" x14ac:dyDescent="0.3">
      <c r="A2165" s="2">
        <v>2155</v>
      </c>
      <c r="B2165" s="1">
        <v>45016.75</v>
      </c>
      <c r="C2165" s="1" t="str">
        <f t="shared" si="66"/>
        <v>03-2023</v>
      </c>
      <c r="D2165" s="2">
        <f t="shared" si="67"/>
        <v>13</v>
      </c>
      <c r="E2165" t="s">
        <v>13</v>
      </c>
      <c r="F2165" t="s">
        <v>14</v>
      </c>
      <c r="G2165" t="s">
        <v>20</v>
      </c>
      <c r="H2165" s="2">
        <v>43270</v>
      </c>
      <c r="I2165" s="2">
        <v>8</v>
      </c>
      <c r="J2165" s="2">
        <v>159942</v>
      </c>
      <c r="K2165" s="2">
        <v>86019</v>
      </c>
      <c r="L2165" s="2">
        <v>6</v>
      </c>
      <c r="M2165" t="str">
        <f>IF(Revv_bike_sales_data[[#This Row],[delivery_days]]&lt;=7, "Yes", "No")</f>
        <v>Yes</v>
      </c>
      <c r="N2165" t="s">
        <v>24</v>
      </c>
      <c r="O2165" s="2">
        <v>73923</v>
      </c>
    </row>
    <row r="2166" spans="1:15" x14ac:dyDescent="0.3">
      <c r="A2166" s="2">
        <v>2156</v>
      </c>
      <c r="B2166" s="1">
        <v>45016.791666666664</v>
      </c>
      <c r="C2166" s="1" t="str">
        <f t="shared" si="66"/>
        <v>03-2023</v>
      </c>
      <c r="D2166" s="2">
        <f t="shared" si="67"/>
        <v>13</v>
      </c>
      <c r="E2166" t="s">
        <v>13</v>
      </c>
      <c r="F2166" t="s">
        <v>14</v>
      </c>
      <c r="G2166" t="s">
        <v>21</v>
      </c>
      <c r="H2166" s="2">
        <v>8387</v>
      </c>
      <c r="I2166" s="2">
        <v>1</v>
      </c>
      <c r="J2166" s="2">
        <v>59094</v>
      </c>
      <c r="K2166" s="2">
        <v>77679</v>
      </c>
      <c r="L2166" s="2">
        <v>1</v>
      </c>
      <c r="M2166" t="str">
        <f>IF(Revv_bike_sales_data[[#This Row],[delivery_days]]&lt;=7, "Yes", "No")</f>
        <v>Yes</v>
      </c>
      <c r="N2166" t="s">
        <v>16</v>
      </c>
      <c r="O2166" s="2">
        <v>-18585</v>
      </c>
    </row>
    <row r="2167" spans="1:15" x14ac:dyDescent="0.3">
      <c r="A2167" s="2">
        <v>2157</v>
      </c>
      <c r="B2167" s="1">
        <v>45016.833333333336</v>
      </c>
      <c r="C2167" s="1" t="str">
        <f t="shared" si="66"/>
        <v>03-2023</v>
      </c>
      <c r="D2167" s="2">
        <f t="shared" si="67"/>
        <v>13</v>
      </c>
      <c r="E2167" t="s">
        <v>17</v>
      </c>
      <c r="F2167" t="s">
        <v>14</v>
      </c>
      <c r="G2167" t="s">
        <v>19</v>
      </c>
      <c r="H2167" s="2">
        <v>99218</v>
      </c>
      <c r="I2167" s="2">
        <v>0</v>
      </c>
      <c r="J2167" s="2">
        <v>80329</v>
      </c>
      <c r="K2167" s="2">
        <v>80781</v>
      </c>
      <c r="L2167" s="2">
        <v>1</v>
      </c>
      <c r="M2167" t="str">
        <f>IF(Revv_bike_sales_data[[#This Row],[delivery_days]]&lt;=7, "Yes", "No")</f>
        <v>Yes</v>
      </c>
      <c r="N2167" t="s">
        <v>16</v>
      </c>
      <c r="O2167" s="2">
        <v>-452</v>
      </c>
    </row>
    <row r="2168" spans="1:15" x14ac:dyDescent="0.3">
      <c r="A2168" s="2">
        <v>2158</v>
      </c>
      <c r="B2168" s="1">
        <v>45016.875</v>
      </c>
      <c r="C2168" s="1" t="str">
        <f t="shared" si="66"/>
        <v>03-2023</v>
      </c>
      <c r="D2168" s="2">
        <f t="shared" si="67"/>
        <v>13</v>
      </c>
      <c r="E2168" t="s">
        <v>13</v>
      </c>
      <c r="F2168" t="s">
        <v>14</v>
      </c>
      <c r="G2168" t="s">
        <v>21</v>
      </c>
      <c r="H2168" s="2">
        <v>98406</v>
      </c>
      <c r="I2168" s="2">
        <v>3</v>
      </c>
      <c r="J2168" s="2">
        <v>165289</v>
      </c>
      <c r="K2168" s="2">
        <v>23430</v>
      </c>
      <c r="L2168" s="2">
        <v>2</v>
      </c>
      <c r="M2168" t="str">
        <f>IF(Revv_bike_sales_data[[#This Row],[delivery_days]]&lt;=7, "Yes", "No")</f>
        <v>Yes</v>
      </c>
      <c r="N2168" t="s">
        <v>16</v>
      </c>
      <c r="O2168" s="2">
        <v>141859</v>
      </c>
    </row>
    <row r="2169" spans="1:15" x14ac:dyDescent="0.3">
      <c r="A2169" s="2">
        <v>2159</v>
      </c>
      <c r="B2169" s="1">
        <v>45016.916666666664</v>
      </c>
      <c r="C2169" s="1" t="str">
        <f t="shared" si="66"/>
        <v>03-2023</v>
      </c>
      <c r="D2169" s="2">
        <f t="shared" si="67"/>
        <v>13</v>
      </c>
      <c r="E2169" t="s">
        <v>22</v>
      </c>
      <c r="F2169" t="s">
        <v>14</v>
      </c>
      <c r="G2169" t="s">
        <v>21</v>
      </c>
      <c r="H2169" s="2">
        <v>25418</v>
      </c>
      <c r="I2169" s="2">
        <v>4</v>
      </c>
      <c r="J2169" s="2">
        <v>108138</v>
      </c>
      <c r="K2169" s="2">
        <v>88719</v>
      </c>
      <c r="L2169" s="2">
        <v>11</v>
      </c>
      <c r="M2169" t="str">
        <f>IF(Revv_bike_sales_data[[#This Row],[delivery_days]]&lt;=7, "Yes", "No")</f>
        <v>No</v>
      </c>
      <c r="N2169" t="s">
        <v>16</v>
      </c>
      <c r="O2169" s="2">
        <v>19419</v>
      </c>
    </row>
    <row r="2170" spans="1:15" x14ac:dyDescent="0.3">
      <c r="A2170" s="2">
        <v>2160</v>
      </c>
      <c r="B2170" s="1">
        <v>45016.958333333336</v>
      </c>
      <c r="C2170" s="1" t="str">
        <f t="shared" si="66"/>
        <v>03-2023</v>
      </c>
      <c r="D2170" s="2">
        <f t="shared" si="67"/>
        <v>13</v>
      </c>
      <c r="E2170" t="s">
        <v>17</v>
      </c>
      <c r="F2170" t="s">
        <v>14</v>
      </c>
      <c r="G2170" t="s">
        <v>20</v>
      </c>
      <c r="H2170" s="2">
        <v>35997</v>
      </c>
      <c r="I2170" s="2">
        <v>9</v>
      </c>
      <c r="J2170" s="2">
        <v>91141</v>
      </c>
      <c r="K2170" s="2">
        <v>53692</v>
      </c>
      <c r="L2170" s="2">
        <v>14</v>
      </c>
      <c r="M2170" t="str">
        <f>IF(Revv_bike_sales_data[[#This Row],[delivery_days]]&lt;=7, "Yes", "No")</f>
        <v>No</v>
      </c>
      <c r="N2170" t="s">
        <v>24</v>
      </c>
      <c r="O2170" s="2">
        <v>37449</v>
      </c>
    </row>
    <row r="2171" spans="1:15" x14ac:dyDescent="0.3">
      <c r="A2171" s="2">
        <v>2161</v>
      </c>
      <c r="B2171" s="1">
        <v>45017</v>
      </c>
      <c r="C2171" s="1" t="str">
        <f t="shared" si="66"/>
        <v>04-2023</v>
      </c>
      <c r="D2171" s="2">
        <f t="shared" si="67"/>
        <v>13</v>
      </c>
      <c r="E2171" t="s">
        <v>13</v>
      </c>
      <c r="F2171" t="s">
        <v>14</v>
      </c>
      <c r="G2171" t="s">
        <v>21</v>
      </c>
      <c r="H2171" s="2">
        <v>94062</v>
      </c>
      <c r="I2171" s="2">
        <v>0</v>
      </c>
      <c r="J2171" s="2">
        <v>178415</v>
      </c>
      <c r="K2171" s="2">
        <v>45086</v>
      </c>
      <c r="L2171" s="2">
        <v>4</v>
      </c>
      <c r="M2171" t="str">
        <f>IF(Revv_bike_sales_data[[#This Row],[delivery_days]]&lt;=7, "Yes", "No")</f>
        <v>Yes</v>
      </c>
      <c r="N2171" t="s">
        <v>16</v>
      </c>
      <c r="O2171" s="2">
        <v>133329</v>
      </c>
    </row>
    <row r="2172" spans="1:15" x14ac:dyDescent="0.3">
      <c r="A2172" s="2">
        <v>2162</v>
      </c>
      <c r="B2172" s="1">
        <v>45017.041666666664</v>
      </c>
      <c r="C2172" s="1" t="str">
        <f t="shared" si="66"/>
        <v>04-2023</v>
      </c>
      <c r="D2172" s="2">
        <f t="shared" si="67"/>
        <v>13</v>
      </c>
      <c r="E2172" t="s">
        <v>17</v>
      </c>
      <c r="F2172" t="s">
        <v>14</v>
      </c>
      <c r="G2172" t="s">
        <v>15</v>
      </c>
      <c r="H2172" s="2">
        <v>61509</v>
      </c>
      <c r="I2172" s="2">
        <v>4</v>
      </c>
      <c r="J2172" s="2">
        <v>153307</v>
      </c>
      <c r="K2172" s="2">
        <v>64671</v>
      </c>
      <c r="L2172" s="2">
        <v>11</v>
      </c>
      <c r="M2172" t="str">
        <f>IF(Revv_bike_sales_data[[#This Row],[delivery_days]]&lt;=7, "Yes", "No")</f>
        <v>No</v>
      </c>
      <c r="N2172" t="s">
        <v>24</v>
      </c>
      <c r="O2172" s="2">
        <v>88636</v>
      </c>
    </row>
    <row r="2173" spans="1:15" x14ac:dyDescent="0.3">
      <c r="A2173" s="2">
        <v>2163</v>
      </c>
      <c r="B2173" s="1">
        <v>45017.083333333336</v>
      </c>
      <c r="C2173" s="1" t="str">
        <f t="shared" si="66"/>
        <v>04-2023</v>
      </c>
      <c r="D2173" s="2">
        <f t="shared" si="67"/>
        <v>13</v>
      </c>
      <c r="E2173" t="s">
        <v>18</v>
      </c>
      <c r="F2173" t="s">
        <v>14</v>
      </c>
      <c r="G2173" t="s">
        <v>20</v>
      </c>
      <c r="H2173" s="2">
        <v>12429</v>
      </c>
      <c r="I2173" s="2">
        <v>5</v>
      </c>
      <c r="J2173" s="2">
        <v>169075</v>
      </c>
      <c r="K2173" s="2">
        <v>113262</v>
      </c>
      <c r="L2173" s="2">
        <v>9</v>
      </c>
      <c r="M2173" t="str">
        <f>IF(Revv_bike_sales_data[[#This Row],[delivery_days]]&lt;=7, "Yes", "No")</f>
        <v>No</v>
      </c>
      <c r="N2173" t="s">
        <v>16</v>
      </c>
      <c r="O2173" s="2">
        <v>55813</v>
      </c>
    </row>
    <row r="2174" spans="1:15" x14ac:dyDescent="0.3">
      <c r="A2174" s="2">
        <v>2164</v>
      </c>
      <c r="B2174" s="1">
        <v>45017.125</v>
      </c>
      <c r="C2174" s="1" t="str">
        <f t="shared" si="66"/>
        <v>04-2023</v>
      </c>
      <c r="D2174" s="2">
        <f t="shared" si="67"/>
        <v>13</v>
      </c>
      <c r="E2174" t="s">
        <v>22</v>
      </c>
      <c r="F2174" t="s">
        <v>14</v>
      </c>
      <c r="G2174" t="s">
        <v>21</v>
      </c>
      <c r="H2174" s="2">
        <v>62262</v>
      </c>
      <c r="I2174" s="2">
        <v>2</v>
      </c>
      <c r="J2174" s="2">
        <v>108197</v>
      </c>
      <c r="K2174" s="2">
        <v>28901</v>
      </c>
      <c r="L2174" s="2">
        <v>7</v>
      </c>
      <c r="M2174" t="str">
        <f>IF(Revv_bike_sales_data[[#This Row],[delivery_days]]&lt;=7, "Yes", "No")</f>
        <v>Yes</v>
      </c>
      <c r="N2174" t="s">
        <v>16</v>
      </c>
      <c r="O2174" s="2">
        <v>79296</v>
      </c>
    </row>
    <row r="2175" spans="1:15" x14ac:dyDescent="0.3">
      <c r="A2175" s="2">
        <v>2165</v>
      </c>
      <c r="B2175" s="1">
        <v>45017.166666666664</v>
      </c>
      <c r="C2175" s="1" t="str">
        <f t="shared" si="66"/>
        <v>04-2023</v>
      </c>
      <c r="D2175" s="2">
        <f t="shared" si="67"/>
        <v>13</v>
      </c>
      <c r="E2175" t="s">
        <v>13</v>
      </c>
      <c r="F2175" t="s">
        <v>14</v>
      </c>
      <c r="G2175" t="s">
        <v>19</v>
      </c>
      <c r="H2175" s="2">
        <v>79599</v>
      </c>
      <c r="I2175" s="2">
        <v>6</v>
      </c>
      <c r="J2175" s="2">
        <v>107318</v>
      </c>
      <c r="K2175" s="2">
        <v>18907</v>
      </c>
      <c r="L2175" s="2">
        <v>6</v>
      </c>
      <c r="M2175" t="str">
        <f>IF(Revv_bike_sales_data[[#This Row],[delivery_days]]&lt;=7, "Yes", "No")</f>
        <v>Yes</v>
      </c>
      <c r="N2175" t="s">
        <v>16</v>
      </c>
      <c r="O2175" s="2">
        <v>88411</v>
      </c>
    </row>
    <row r="2176" spans="1:15" x14ac:dyDescent="0.3">
      <c r="A2176" s="2">
        <v>2166</v>
      </c>
      <c r="B2176" s="1">
        <v>45017.208333333336</v>
      </c>
      <c r="C2176" s="1" t="str">
        <f t="shared" si="66"/>
        <v>04-2023</v>
      </c>
      <c r="D2176" s="2">
        <f t="shared" si="67"/>
        <v>13</v>
      </c>
      <c r="E2176" t="s">
        <v>18</v>
      </c>
      <c r="F2176" t="s">
        <v>14</v>
      </c>
      <c r="G2176" t="s">
        <v>19</v>
      </c>
      <c r="H2176" s="2">
        <v>29046</v>
      </c>
      <c r="I2176" s="2">
        <v>5</v>
      </c>
      <c r="J2176" s="2">
        <v>104023</v>
      </c>
      <c r="K2176" s="2">
        <v>113580</v>
      </c>
      <c r="L2176" s="2">
        <v>1</v>
      </c>
      <c r="M2176" t="str">
        <f>IF(Revv_bike_sales_data[[#This Row],[delivery_days]]&lt;=7, "Yes", "No")</f>
        <v>Yes</v>
      </c>
      <c r="N2176" t="s">
        <v>16</v>
      </c>
      <c r="O2176" s="2">
        <v>-9557</v>
      </c>
    </row>
    <row r="2177" spans="1:15" x14ac:dyDescent="0.3">
      <c r="A2177" s="2">
        <v>2167</v>
      </c>
      <c r="B2177" s="1">
        <v>45017.25</v>
      </c>
      <c r="C2177" s="1" t="str">
        <f t="shared" si="66"/>
        <v>04-2023</v>
      </c>
      <c r="D2177" s="2">
        <f t="shared" si="67"/>
        <v>13</v>
      </c>
      <c r="E2177" t="s">
        <v>18</v>
      </c>
      <c r="F2177" t="s">
        <v>14</v>
      </c>
      <c r="G2177" t="s">
        <v>20</v>
      </c>
      <c r="H2177" s="2">
        <v>78924</v>
      </c>
      <c r="I2177" s="2">
        <v>3</v>
      </c>
      <c r="J2177" s="2">
        <v>76962</v>
      </c>
      <c r="K2177" s="2">
        <v>43604</v>
      </c>
      <c r="L2177" s="2">
        <v>5</v>
      </c>
      <c r="M2177" t="str">
        <f>IF(Revv_bike_sales_data[[#This Row],[delivery_days]]&lt;=7, "Yes", "No")</f>
        <v>Yes</v>
      </c>
      <c r="N2177" t="s">
        <v>16</v>
      </c>
      <c r="O2177" s="2">
        <v>33358</v>
      </c>
    </row>
    <row r="2178" spans="1:15" x14ac:dyDescent="0.3">
      <c r="A2178" s="2">
        <v>2168</v>
      </c>
      <c r="B2178" s="1">
        <v>45017.291666666664</v>
      </c>
      <c r="C2178" s="1" t="str">
        <f t="shared" si="66"/>
        <v>04-2023</v>
      </c>
      <c r="D2178" s="2">
        <f t="shared" si="67"/>
        <v>13</v>
      </c>
      <c r="E2178" t="s">
        <v>17</v>
      </c>
      <c r="F2178" t="s">
        <v>14</v>
      </c>
      <c r="G2178" t="s">
        <v>20</v>
      </c>
      <c r="H2178" s="2">
        <v>37838</v>
      </c>
      <c r="I2178" s="2">
        <v>2</v>
      </c>
      <c r="J2178" s="2">
        <v>138037</v>
      </c>
      <c r="K2178" s="2">
        <v>52869</v>
      </c>
      <c r="L2178" s="2">
        <v>11</v>
      </c>
      <c r="M2178" t="str">
        <f>IF(Revv_bike_sales_data[[#This Row],[delivery_days]]&lt;=7, "Yes", "No")</f>
        <v>No</v>
      </c>
      <c r="N2178" t="s">
        <v>16</v>
      </c>
      <c r="O2178" s="2">
        <v>85168</v>
      </c>
    </row>
    <row r="2179" spans="1:15" x14ac:dyDescent="0.3">
      <c r="A2179" s="2">
        <v>2169</v>
      </c>
      <c r="B2179" s="1">
        <v>45017.333333333336</v>
      </c>
      <c r="C2179" s="1" t="str">
        <f t="shared" si="66"/>
        <v>04-2023</v>
      </c>
      <c r="D2179" s="2">
        <f t="shared" si="67"/>
        <v>13</v>
      </c>
      <c r="E2179" t="s">
        <v>18</v>
      </c>
      <c r="F2179" t="s">
        <v>14</v>
      </c>
      <c r="G2179" t="s">
        <v>21</v>
      </c>
      <c r="H2179" s="2">
        <v>34783</v>
      </c>
      <c r="I2179" s="2">
        <v>4</v>
      </c>
      <c r="J2179" s="2">
        <v>112601</v>
      </c>
      <c r="K2179" s="2">
        <v>29537</v>
      </c>
      <c r="L2179" s="2">
        <v>12</v>
      </c>
      <c r="M2179" t="str">
        <f>IF(Revv_bike_sales_data[[#This Row],[delivery_days]]&lt;=7, "Yes", "No")</f>
        <v>No</v>
      </c>
      <c r="N2179" t="s">
        <v>16</v>
      </c>
      <c r="O2179" s="2">
        <v>83064</v>
      </c>
    </row>
    <row r="2180" spans="1:15" x14ac:dyDescent="0.3">
      <c r="A2180" s="2">
        <v>2170</v>
      </c>
      <c r="B2180" s="1">
        <v>45017.375</v>
      </c>
      <c r="C2180" s="1" t="str">
        <f t="shared" si="66"/>
        <v>04-2023</v>
      </c>
      <c r="D2180" s="2">
        <f t="shared" si="67"/>
        <v>13</v>
      </c>
      <c r="E2180" t="s">
        <v>22</v>
      </c>
      <c r="F2180" t="s">
        <v>14</v>
      </c>
      <c r="G2180" t="s">
        <v>15</v>
      </c>
      <c r="H2180" s="2">
        <v>82994</v>
      </c>
      <c r="I2180" s="2">
        <v>2</v>
      </c>
      <c r="J2180" s="2">
        <v>109859</v>
      </c>
      <c r="K2180" s="2">
        <v>27501</v>
      </c>
      <c r="L2180" s="2">
        <v>13</v>
      </c>
      <c r="M2180" t="str">
        <f>IF(Revv_bike_sales_data[[#This Row],[delivery_days]]&lt;=7, "Yes", "No")</f>
        <v>No</v>
      </c>
      <c r="N2180" t="s">
        <v>16</v>
      </c>
      <c r="O2180" s="2">
        <v>82358</v>
      </c>
    </row>
    <row r="2181" spans="1:15" x14ac:dyDescent="0.3">
      <c r="A2181" s="2">
        <v>2171</v>
      </c>
      <c r="B2181" s="1">
        <v>45017.416666666664</v>
      </c>
      <c r="C2181" s="1" t="str">
        <f t="shared" si="66"/>
        <v>04-2023</v>
      </c>
      <c r="D2181" s="2">
        <f t="shared" si="67"/>
        <v>13</v>
      </c>
      <c r="E2181" t="s">
        <v>22</v>
      </c>
      <c r="F2181" t="s">
        <v>14</v>
      </c>
      <c r="G2181" t="s">
        <v>21</v>
      </c>
      <c r="H2181" s="2">
        <v>78670</v>
      </c>
      <c r="I2181" s="2">
        <v>9</v>
      </c>
      <c r="J2181" s="2">
        <v>115933</v>
      </c>
      <c r="K2181" s="2">
        <v>138485</v>
      </c>
      <c r="L2181" s="2">
        <v>4</v>
      </c>
      <c r="M2181" t="str">
        <f>IF(Revv_bike_sales_data[[#This Row],[delivery_days]]&lt;=7, "Yes", "No")</f>
        <v>Yes</v>
      </c>
      <c r="N2181" t="s">
        <v>16</v>
      </c>
      <c r="O2181" s="2">
        <v>-22552</v>
      </c>
    </row>
    <row r="2182" spans="1:15" x14ac:dyDescent="0.3">
      <c r="A2182" s="2">
        <v>2172</v>
      </c>
      <c r="B2182" s="1">
        <v>45017.458333333336</v>
      </c>
      <c r="C2182" s="1" t="str">
        <f t="shared" si="66"/>
        <v>04-2023</v>
      </c>
      <c r="D2182" s="2">
        <f t="shared" si="67"/>
        <v>13</v>
      </c>
      <c r="E2182" t="s">
        <v>25</v>
      </c>
      <c r="F2182" t="s">
        <v>14</v>
      </c>
      <c r="G2182" t="s">
        <v>19</v>
      </c>
      <c r="H2182" s="2">
        <v>85287</v>
      </c>
      <c r="I2182" s="2">
        <v>8</v>
      </c>
      <c r="J2182" s="2">
        <v>70957</v>
      </c>
      <c r="K2182" s="2">
        <v>134261</v>
      </c>
      <c r="L2182" s="2">
        <v>5</v>
      </c>
      <c r="M2182" t="str">
        <f>IF(Revv_bike_sales_data[[#This Row],[delivery_days]]&lt;=7, "Yes", "No")</f>
        <v>Yes</v>
      </c>
      <c r="N2182" t="s">
        <v>24</v>
      </c>
      <c r="O2182" s="2">
        <v>-63304</v>
      </c>
    </row>
    <row r="2183" spans="1:15" x14ac:dyDescent="0.3">
      <c r="A2183" s="2">
        <v>2173</v>
      </c>
      <c r="B2183" s="1">
        <v>45017.5</v>
      </c>
      <c r="C2183" s="1" t="str">
        <f t="shared" si="66"/>
        <v>04-2023</v>
      </c>
      <c r="D2183" s="2">
        <f t="shared" si="67"/>
        <v>13</v>
      </c>
      <c r="E2183" t="s">
        <v>22</v>
      </c>
      <c r="F2183" t="s">
        <v>14</v>
      </c>
      <c r="G2183" t="s">
        <v>15</v>
      </c>
      <c r="H2183" s="2">
        <v>47066</v>
      </c>
      <c r="I2183" s="2">
        <v>8</v>
      </c>
      <c r="J2183" s="2">
        <v>107864</v>
      </c>
      <c r="K2183" s="2">
        <v>52371</v>
      </c>
      <c r="L2183" s="2">
        <v>11</v>
      </c>
      <c r="M2183" t="str">
        <f>IF(Revv_bike_sales_data[[#This Row],[delivery_days]]&lt;=7, "Yes", "No")</f>
        <v>No</v>
      </c>
      <c r="N2183" t="s">
        <v>16</v>
      </c>
      <c r="O2183" s="2">
        <v>55493</v>
      </c>
    </row>
    <row r="2184" spans="1:15" x14ac:dyDescent="0.3">
      <c r="A2184" s="2">
        <v>2174</v>
      </c>
      <c r="B2184" s="1">
        <v>45017.541666666664</v>
      </c>
      <c r="C2184" s="1" t="str">
        <f t="shared" si="66"/>
        <v>04-2023</v>
      </c>
      <c r="D2184" s="2">
        <f t="shared" si="67"/>
        <v>13</v>
      </c>
      <c r="E2184" t="s">
        <v>18</v>
      </c>
      <c r="F2184" t="s">
        <v>14</v>
      </c>
      <c r="G2184" t="s">
        <v>15</v>
      </c>
      <c r="H2184" s="2">
        <v>85964</v>
      </c>
      <c r="I2184" s="2">
        <v>5</v>
      </c>
      <c r="J2184" s="2">
        <v>151358</v>
      </c>
      <c r="K2184" s="2">
        <v>129639</v>
      </c>
      <c r="L2184" s="2">
        <v>9</v>
      </c>
      <c r="M2184" t="str">
        <f>IF(Revv_bike_sales_data[[#This Row],[delivery_days]]&lt;=7, "Yes", "No")</f>
        <v>No</v>
      </c>
      <c r="N2184" t="s">
        <v>16</v>
      </c>
      <c r="O2184" s="2">
        <v>21719</v>
      </c>
    </row>
    <row r="2185" spans="1:15" x14ac:dyDescent="0.3">
      <c r="A2185" s="2">
        <v>2175</v>
      </c>
      <c r="B2185" s="1">
        <v>45017.583333333336</v>
      </c>
      <c r="C2185" s="1" t="str">
        <f t="shared" si="66"/>
        <v>04-2023</v>
      </c>
      <c r="D2185" s="2">
        <f t="shared" si="67"/>
        <v>13</v>
      </c>
      <c r="E2185" t="s">
        <v>22</v>
      </c>
      <c r="F2185" t="s">
        <v>14</v>
      </c>
      <c r="G2185" t="s">
        <v>15</v>
      </c>
      <c r="H2185" s="2">
        <v>82491</v>
      </c>
      <c r="I2185" s="2">
        <v>5</v>
      </c>
      <c r="J2185" s="2">
        <v>68739</v>
      </c>
      <c r="K2185" s="2">
        <v>126690</v>
      </c>
      <c r="L2185" s="2">
        <v>12</v>
      </c>
      <c r="M2185" t="str">
        <f>IF(Revv_bike_sales_data[[#This Row],[delivery_days]]&lt;=7, "Yes", "No")</f>
        <v>No</v>
      </c>
      <c r="N2185" t="s">
        <v>16</v>
      </c>
      <c r="O2185" s="2">
        <v>-57951</v>
      </c>
    </row>
    <row r="2186" spans="1:15" x14ac:dyDescent="0.3">
      <c r="A2186" s="2">
        <v>2176</v>
      </c>
      <c r="B2186" s="1">
        <v>45017.625</v>
      </c>
      <c r="C2186" s="1" t="str">
        <f t="shared" si="66"/>
        <v>04-2023</v>
      </c>
      <c r="D2186" s="2">
        <f t="shared" si="67"/>
        <v>13</v>
      </c>
      <c r="E2186" t="s">
        <v>17</v>
      </c>
      <c r="F2186" t="s">
        <v>14</v>
      </c>
      <c r="G2186" t="s">
        <v>21</v>
      </c>
      <c r="H2186" s="2">
        <v>93180</v>
      </c>
      <c r="I2186" s="2">
        <v>3</v>
      </c>
      <c r="J2186" s="2">
        <v>63733</v>
      </c>
      <c r="K2186" s="2">
        <v>51821</v>
      </c>
      <c r="L2186" s="2">
        <v>3</v>
      </c>
      <c r="M2186" t="str">
        <f>IF(Revv_bike_sales_data[[#This Row],[delivery_days]]&lt;=7, "Yes", "No")</f>
        <v>Yes</v>
      </c>
      <c r="N2186" t="s">
        <v>16</v>
      </c>
      <c r="O2186" s="2">
        <v>11912</v>
      </c>
    </row>
    <row r="2187" spans="1:15" x14ac:dyDescent="0.3">
      <c r="A2187" s="2">
        <v>2177</v>
      </c>
      <c r="B2187" s="1">
        <v>45017.666666666664</v>
      </c>
      <c r="C2187" s="1" t="str">
        <f t="shared" ref="C2187:C2250" si="68">TEXT(B2187,"mm-yyyy")</f>
        <v>04-2023</v>
      </c>
      <c r="D2187" s="2">
        <f t="shared" ref="D2187:D2250" si="69">WEEKNUM(B2187)</f>
        <v>13</v>
      </c>
      <c r="E2187" t="s">
        <v>25</v>
      </c>
      <c r="F2187" t="s">
        <v>23</v>
      </c>
      <c r="G2187" t="s">
        <v>19</v>
      </c>
      <c r="H2187" s="2">
        <v>28513</v>
      </c>
      <c r="I2187" s="2">
        <v>3</v>
      </c>
      <c r="J2187" s="2">
        <v>70389</v>
      </c>
      <c r="K2187" s="2">
        <v>103732</v>
      </c>
      <c r="L2187" s="2">
        <v>4</v>
      </c>
      <c r="M2187" t="str">
        <f>IF(Revv_bike_sales_data[[#This Row],[delivery_days]]&lt;=7, "Yes", "No")</f>
        <v>Yes</v>
      </c>
      <c r="N2187" t="s">
        <v>16</v>
      </c>
      <c r="O2187" s="2">
        <v>-33343</v>
      </c>
    </row>
    <row r="2188" spans="1:15" x14ac:dyDescent="0.3">
      <c r="A2188" s="2">
        <v>2178</v>
      </c>
      <c r="B2188" s="1">
        <v>45017.708333333336</v>
      </c>
      <c r="C2188" s="1" t="str">
        <f t="shared" si="68"/>
        <v>04-2023</v>
      </c>
      <c r="D2188" s="2">
        <f t="shared" si="69"/>
        <v>13</v>
      </c>
      <c r="E2188" t="s">
        <v>18</v>
      </c>
      <c r="F2188" t="s">
        <v>14</v>
      </c>
      <c r="G2188" t="s">
        <v>20</v>
      </c>
      <c r="H2188" s="2">
        <v>52632</v>
      </c>
      <c r="I2188" s="2">
        <v>1</v>
      </c>
      <c r="J2188" s="2">
        <v>81922</v>
      </c>
      <c r="K2188" s="2">
        <v>21073</v>
      </c>
      <c r="L2188" s="2">
        <v>8</v>
      </c>
      <c r="M2188" t="str">
        <f>IF(Revv_bike_sales_data[[#This Row],[delivery_days]]&lt;=7, "Yes", "No")</f>
        <v>No</v>
      </c>
      <c r="N2188" t="s">
        <v>16</v>
      </c>
      <c r="O2188" s="2">
        <v>60849</v>
      </c>
    </row>
    <row r="2189" spans="1:15" x14ac:dyDescent="0.3">
      <c r="A2189" s="2">
        <v>2179</v>
      </c>
      <c r="B2189" s="1">
        <v>45017.75</v>
      </c>
      <c r="C2189" s="1" t="str">
        <f t="shared" si="68"/>
        <v>04-2023</v>
      </c>
      <c r="D2189" s="2">
        <f t="shared" si="69"/>
        <v>13</v>
      </c>
      <c r="E2189" t="s">
        <v>25</v>
      </c>
      <c r="F2189" t="s">
        <v>14</v>
      </c>
      <c r="G2189" t="s">
        <v>21</v>
      </c>
      <c r="H2189" s="2">
        <v>87912</v>
      </c>
      <c r="I2189" s="2">
        <v>9</v>
      </c>
      <c r="J2189" s="2">
        <v>42580</v>
      </c>
      <c r="K2189" s="2">
        <v>129829</v>
      </c>
      <c r="L2189" s="2">
        <v>3</v>
      </c>
      <c r="M2189" t="str">
        <f>IF(Revv_bike_sales_data[[#This Row],[delivery_days]]&lt;=7, "Yes", "No")</f>
        <v>Yes</v>
      </c>
      <c r="N2189" t="s">
        <v>16</v>
      </c>
      <c r="O2189" s="2">
        <v>-87249</v>
      </c>
    </row>
    <row r="2190" spans="1:15" x14ac:dyDescent="0.3">
      <c r="A2190" s="2">
        <v>2180</v>
      </c>
      <c r="B2190" s="1">
        <v>45017.791666666664</v>
      </c>
      <c r="C2190" s="1" t="str">
        <f t="shared" si="68"/>
        <v>04-2023</v>
      </c>
      <c r="D2190" s="2">
        <f t="shared" si="69"/>
        <v>13</v>
      </c>
      <c r="E2190" t="s">
        <v>18</v>
      </c>
      <c r="F2190" t="s">
        <v>23</v>
      </c>
      <c r="G2190" t="s">
        <v>20</v>
      </c>
      <c r="H2190" s="2">
        <v>92998</v>
      </c>
      <c r="I2190" s="2">
        <v>3</v>
      </c>
      <c r="J2190" s="2">
        <v>140900</v>
      </c>
      <c r="K2190" s="2">
        <v>76005</v>
      </c>
      <c r="L2190" s="2">
        <v>13</v>
      </c>
      <c r="M2190" t="str">
        <f>IF(Revv_bike_sales_data[[#This Row],[delivery_days]]&lt;=7, "Yes", "No")</f>
        <v>No</v>
      </c>
      <c r="N2190" t="s">
        <v>16</v>
      </c>
      <c r="O2190" s="2">
        <v>64895</v>
      </c>
    </row>
    <row r="2191" spans="1:15" x14ac:dyDescent="0.3">
      <c r="A2191" s="2">
        <v>2181</v>
      </c>
      <c r="B2191" s="1">
        <v>45017.833333333336</v>
      </c>
      <c r="C2191" s="1" t="str">
        <f t="shared" si="68"/>
        <v>04-2023</v>
      </c>
      <c r="D2191" s="2">
        <f t="shared" si="69"/>
        <v>13</v>
      </c>
      <c r="E2191" t="s">
        <v>17</v>
      </c>
      <c r="F2191" t="s">
        <v>14</v>
      </c>
      <c r="G2191" t="s">
        <v>15</v>
      </c>
      <c r="H2191" s="2">
        <v>28584</v>
      </c>
      <c r="I2191" s="2">
        <v>7</v>
      </c>
      <c r="J2191" s="2">
        <v>156895</v>
      </c>
      <c r="K2191" s="2">
        <v>91097</v>
      </c>
      <c r="L2191" s="2">
        <v>3</v>
      </c>
      <c r="M2191" t="str">
        <f>IF(Revv_bike_sales_data[[#This Row],[delivery_days]]&lt;=7, "Yes", "No")</f>
        <v>Yes</v>
      </c>
      <c r="N2191" t="s">
        <v>16</v>
      </c>
      <c r="O2191" s="2">
        <v>65798</v>
      </c>
    </row>
    <row r="2192" spans="1:15" x14ac:dyDescent="0.3">
      <c r="A2192" s="2">
        <v>2182</v>
      </c>
      <c r="B2192" s="1">
        <v>45017.875</v>
      </c>
      <c r="C2192" s="1" t="str">
        <f t="shared" si="68"/>
        <v>04-2023</v>
      </c>
      <c r="D2192" s="2">
        <f t="shared" si="69"/>
        <v>13</v>
      </c>
      <c r="E2192" t="s">
        <v>25</v>
      </c>
      <c r="F2192" t="s">
        <v>14</v>
      </c>
      <c r="G2192" t="s">
        <v>15</v>
      </c>
      <c r="H2192" s="2">
        <v>21643</v>
      </c>
      <c r="I2192" s="2">
        <v>9</v>
      </c>
      <c r="J2192" s="2">
        <v>32084</v>
      </c>
      <c r="K2192" s="2">
        <v>33101</v>
      </c>
      <c r="L2192" s="2">
        <v>13</v>
      </c>
      <c r="M2192" t="str">
        <f>IF(Revv_bike_sales_data[[#This Row],[delivery_days]]&lt;=7, "Yes", "No")</f>
        <v>No</v>
      </c>
      <c r="N2192" t="s">
        <v>16</v>
      </c>
      <c r="O2192" s="2">
        <v>-1017</v>
      </c>
    </row>
    <row r="2193" spans="1:15" x14ac:dyDescent="0.3">
      <c r="A2193" s="2">
        <v>2183</v>
      </c>
      <c r="B2193" s="1">
        <v>45017.916666666664</v>
      </c>
      <c r="C2193" s="1" t="str">
        <f t="shared" si="68"/>
        <v>04-2023</v>
      </c>
      <c r="D2193" s="2">
        <f t="shared" si="69"/>
        <v>13</v>
      </c>
      <c r="E2193" t="s">
        <v>13</v>
      </c>
      <c r="F2193" t="s">
        <v>14</v>
      </c>
      <c r="G2193" t="s">
        <v>21</v>
      </c>
      <c r="H2193" s="2">
        <v>92127</v>
      </c>
      <c r="I2193" s="2">
        <v>1</v>
      </c>
      <c r="J2193" s="2">
        <v>102991</v>
      </c>
      <c r="K2193" s="2">
        <v>126052</v>
      </c>
      <c r="L2193" s="2">
        <v>9</v>
      </c>
      <c r="M2193" t="str">
        <f>IF(Revv_bike_sales_data[[#This Row],[delivery_days]]&lt;=7, "Yes", "No")</f>
        <v>No</v>
      </c>
      <c r="N2193" t="s">
        <v>16</v>
      </c>
      <c r="O2193" s="2">
        <v>-23061</v>
      </c>
    </row>
    <row r="2194" spans="1:15" x14ac:dyDescent="0.3">
      <c r="A2194" s="2">
        <v>2184</v>
      </c>
      <c r="B2194" s="1">
        <v>45017.958333333336</v>
      </c>
      <c r="C2194" s="1" t="str">
        <f t="shared" si="68"/>
        <v>04-2023</v>
      </c>
      <c r="D2194" s="2">
        <f t="shared" si="69"/>
        <v>13</v>
      </c>
      <c r="E2194" t="s">
        <v>18</v>
      </c>
      <c r="F2194" t="s">
        <v>14</v>
      </c>
      <c r="G2194" t="s">
        <v>19</v>
      </c>
      <c r="H2194" s="2">
        <v>14679</v>
      </c>
      <c r="I2194" s="2">
        <v>8</v>
      </c>
      <c r="J2194" s="2">
        <v>166679</v>
      </c>
      <c r="K2194" s="2">
        <v>46426</v>
      </c>
      <c r="L2194" s="2">
        <v>5</v>
      </c>
      <c r="M2194" t="str">
        <f>IF(Revv_bike_sales_data[[#This Row],[delivery_days]]&lt;=7, "Yes", "No")</f>
        <v>Yes</v>
      </c>
      <c r="N2194" t="s">
        <v>16</v>
      </c>
      <c r="O2194" s="2">
        <v>120253</v>
      </c>
    </row>
    <row r="2195" spans="1:15" x14ac:dyDescent="0.3">
      <c r="A2195" s="2">
        <v>2185</v>
      </c>
      <c r="B2195" s="1">
        <v>45018</v>
      </c>
      <c r="C2195" s="1" t="str">
        <f t="shared" si="68"/>
        <v>04-2023</v>
      </c>
      <c r="D2195" s="2">
        <f t="shared" si="69"/>
        <v>14</v>
      </c>
      <c r="E2195" t="s">
        <v>13</v>
      </c>
      <c r="F2195" t="s">
        <v>23</v>
      </c>
      <c r="G2195" t="s">
        <v>15</v>
      </c>
      <c r="H2195" s="2">
        <v>98843</v>
      </c>
      <c r="I2195" s="2">
        <v>0</v>
      </c>
      <c r="J2195" s="2">
        <v>107455</v>
      </c>
      <c r="K2195" s="2">
        <v>109877</v>
      </c>
      <c r="L2195" s="2">
        <v>10</v>
      </c>
      <c r="M2195" t="str">
        <f>IF(Revv_bike_sales_data[[#This Row],[delivery_days]]&lt;=7, "Yes", "No")</f>
        <v>No</v>
      </c>
      <c r="N2195" t="s">
        <v>16</v>
      </c>
      <c r="O2195" s="2">
        <v>-2422</v>
      </c>
    </row>
    <row r="2196" spans="1:15" x14ac:dyDescent="0.3">
      <c r="A2196" s="2">
        <v>2186</v>
      </c>
      <c r="B2196" s="1">
        <v>45018.041666666664</v>
      </c>
      <c r="C2196" s="1" t="str">
        <f t="shared" si="68"/>
        <v>04-2023</v>
      </c>
      <c r="D2196" s="2">
        <f t="shared" si="69"/>
        <v>14</v>
      </c>
      <c r="E2196" t="s">
        <v>25</v>
      </c>
      <c r="F2196" t="s">
        <v>23</v>
      </c>
      <c r="G2196" t="s">
        <v>20</v>
      </c>
      <c r="H2196" s="2">
        <v>59226</v>
      </c>
      <c r="I2196" s="2">
        <v>1</v>
      </c>
      <c r="J2196" s="2">
        <v>137540</v>
      </c>
      <c r="K2196" s="2">
        <v>22313</v>
      </c>
      <c r="L2196" s="2">
        <v>1</v>
      </c>
      <c r="M2196" t="str">
        <f>IF(Revv_bike_sales_data[[#This Row],[delivery_days]]&lt;=7, "Yes", "No")</f>
        <v>Yes</v>
      </c>
      <c r="N2196" t="s">
        <v>16</v>
      </c>
      <c r="O2196" s="2">
        <v>115227</v>
      </c>
    </row>
    <row r="2197" spans="1:15" x14ac:dyDescent="0.3">
      <c r="A2197" s="2">
        <v>2187</v>
      </c>
      <c r="B2197" s="1">
        <v>45018.083333333336</v>
      </c>
      <c r="C2197" s="1" t="str">
        <f t="shared" si="68"/>
        <v>04-2023</v>
      </c>
      <c r="D2197" s="2">
        <f t="shared" si="69"/>
        <v>14</v>
      </c>
      <c r="E2197" t="s">
        <v>13</v>
      </c>
      <c r="F2197" t="s">
        <v>14</v>
      </c>
      <c r="G2197" t="s">
        <v>20</v>
      </c>
      <c r="H2197" s="2">
        <v>10722</v>
      </c>
      <c r="I2197" s="2">
        <v>1</v>
      </c>
      <c r="J2197" s="2">
        <v>139540</v>
      </c>
      <c r="K2197" s="2">
        <v>45773</v>
      </c>
      <c r="L2197" s="2">
        <v>7</v>
      </c>
      <c r="M2197" t="str">
        <f>IF(Revv_bike_sales_data[[#This Row],[delivery_days]]&lt;=7, "Yes", "No")</f>
        <v>Yes</v>
      </c>
      <c r="N2197" t="s">
        <v>16</v>
      </c>
      <c r="O2197" s="2">
        <v>93767</v>
      </c>
    </row>
    <row r="2198" spans="1:15" x14ac:dyDescent="0.3">
      <c r="A2198" s="2">
        <v>2188</v>
      </c>
      <c r="B2198" s="1">
        <v>45018.125</v>
      </c>
      <c r="C2198" s="1" t="str">
        <f t="shared" si="68"/>
        <v>04-2023</v>
      </c>
      <c r="D2198" s="2">
        <f t="shared" si="69"/>
        <v>14</v>
      </c>
      <c r="E2198" t="s">
        <v>13</v>
      </c>
      <c r="F2198" t="s">
        <v>14</v>
      </c>
      <c r="G2198" t="s">
        <v>21</v>
      </c>
      <c r="H2198" s="2">
        <v>60465</v>
      </c>
      <c r="I2198" s="2">
        <v>5</v>
      </c>
      <c r="J2198" s="2">
        <v>168041</v>
      </c>
      <c r="K2198" s="2">
        <v>43003</v>
      </c>
      <c r="L2198" s="2">
        <v>7</v>
      </c>
      <c r="M2198" t="str">
        <f>IF(Revv_bike_sales_data[[#This Row],[delivery_days]]&lt;=7, "Yes", "No")</f>
        <v>Yes</v>
      </c>
      <c r="N2198" t="s">
        <v>16</v>
      </c>
      <c r="O2198" s="2">
        <v>125038</v>
      </c>
    </row>
    <row r="2199" spans="1:15" x14ac:dyDescent="0.3">
      <c r="A2199" s="2">
        <v>2189</v>
      </c>
      <c r="B2199" s="1">
        <v>45018.166666666664</v>
      </c>
      <c r="C2199" s="1" t="str">
        <f t="shared" si="68"/>
        <v>04-2023</v>
      </c>
      <c r="D2199" s="2">
        <f t="shared" si="69"/>
        <v>14</v>
      </c>
      <c r="E2199" t="s">
        <v>25</v>
      </c>
      <c r="F2199" t="s">
        <v>23</v>
      </c>
      <c r="G2199" t="s">
        <v>20</v>
      </c>
      <c r="H2199" s="2">
        <v>64568</v>
      </c>
      <c r="I2199" s="2">
        <v>6</v>
      </c>
      <c r="J2199" s="2">
        <v>42333</v>
      </c>
      <c r="K2199" s="2">
        <v>74668</v>
      </c>
      <c r="L2199" s="2">
        <v>6</v>
      </c>
      <c r="M2199" t="str">
        <f>IF(Revv_bike_sales_data[[#This Row],[delivery_days]]&lt;=7, "Yes", "No")</f>
        <v>Yes</v>
      </c>
      <c r="N2199" t="s">
        <v>16</v>
      </c>
      <c r="O2199" s="2">
        <v>-32335</v>
      </c>
    </row>
    <row r="2200" spans="1:15" x14ac:dyDescent="0.3">
      <c r="A2200" s="2">
        <v>2190</v>
      </c>
      <c r="B2200" s="1">
        <v>45018.208333333336</v>
      </c>
      <c r="C2200" s="1" t="str">
        <f t="shared" si="68"/>
        <v>04-2023</v>
      </c>
      <c r="D2200" s="2">
        <f t="shared" si="69"/>
        <v>14</v>
      </c>
      <c r="E2200" t="s">
        <v>17</v>
      </c>
      <c r="F2200" t="s">
        <v>14</v>
      </c>
      <c r="G2200" t="s">
        <v>19</v>
      </c>
      <c r="H2200" s="2">
        <v>24449</v>
      </c>
      <c r="I2200" s="2">
        <v>2</v>
      </c>
      <c r="J2200" s="2">
        <v>152182</v>
      </c>
      <c r="K2200" s="2">
        <v>106956</v>
      </c>
      <c r="L2200" s="2">
        <v>6</v>
      </c>
      <c r="M2200" t="str">
        <f>IF(Revv_bike_sales_data[[#This Row],[delivery_days]]&lt;=7, "Yes", "No")</f>
        <v>Yes</v>
      </c>
      <c r="N2200" t="s">
        <v>16</v>
      </c>
      <c r="O2200" s="2">
        <v>45226</v>
      </c>
    </row>
    <row r="2201" spans="1:15" x14ac:dyDescent="0.3">
      <c r="A2201" s="2">
        <v>2191</v>
      </c>
      <c r="B2201" s="1">
        <v>45018.25</v>
      </c>
      <c r="C2201" s="1" t="str">
        <f t="shared" si="68"/>
        <v>04-2023</v>
      </c>
      <c r="D2201" s="2">
        <f t="shared" si="69"/>
        <v>14</v>
      </c>
      <c r="E2201" t="s">
        <v>13</v>
      </c>
      <c r="F2201" t="s">
        <v>14</v>
      </c>
      <c r="G2201" t="s">
        <v>15</v>
      </c>
      <c r="H2201" s="2">
        <v>16616</v>
      </c>
      <c r="I2201" s="2">
        <v>8</v>
      </c>
      <c r="J2201" s="2">
        <v>61668</v>
      </c>
      <c r="K2201" s="2">
        <v>86250</v>
      </c>
      <c r="L2201" s="2">
        <v>3</v>
      </c>
      <c r="M2201" t="str">
        <f>IF(Revv_bike_sales_data[[#This Row],[delivery_days]]&lt;=7, "Yes", "No")</f>
        <v>Yes</v>
      </c>
      <c r="N2201" t="s">
        <v>16</v>
      </c>
      <c r="O2201" s="2">
        <v>-24582</v>
      </c>
    </row>
    <row r="2202" spans="1:15" x14ac:dyDescent="0.3">
      <c r="A2202" s="2">
        <v>2192</v>
      </c>
      <c r="B2202" s="1">
        <v>45018.291666666664</v>
      </c>
      <c r="C2202" s="1" t="str">
        <f t="shared" si="68"/>
        <v>04-2023</v>
      </c>
      <c r="D2202" s="2">
        <f t="shared" si="69"/>
        <v>14</v>
      </c>
      <c r="E2202" t="s">
        <v>13</v>
      </c>
      <c r="F2202" t="s">
        <v>23</v>
      </c>
      <c r="G2202" t="s">
        <v>20</v>
      </c>
      <c r="H2202" s="2">
        <v>51552</v>
      </c>
      <c r="I2202" s="2">
        <v>4</v>
      </c>
      <c r="J2202" s="2">
        <v>36945</v>
      </c>
      <c r="K2202" s="2">
        <v>130087</v>
      </c>
      <c r="L2202" s="2">
        <v>3</v>
      </c>
      <c r="M2202" t="str">
        <f>IF(Revv_bike_sales_data[[#This Row],[delivery_days]]&lt;=7, "Yes", "No")</f>
        <v>Yes</v>
      </c>
      <c r="N2202" t="s">
        <v>16</v>
      </c>
      <c r="O2202" s="2">
        <v>-93142</v>
      </c>
    </row>
    <row r="2203" spans="1:15" x14ac:dyDescent="0.3">
      <c r="A2203" s="2">
        <v>2193</v>
      </c>
      <c r="B2203" s="1">
        <v>45018.333333333336</v>
      </c>
      <c r="C2203" s="1" t="str">
        <f t="shared" si="68"/>
        <v>04-2023</v>
      </c>
      <c r="D2203" s="2">
        <f t="shared" si="69"/>
        <v>14</v>
      </c>
      <c r="E2203" t="s">
        <v>17</v>
      </c>
      <c r="F2203" t="s">
        <v>14</v>
      </c>
      <c r="G2203" t="s">
        <v>20</v>
      </c>
      <c r="H2203" s="2">
        <v>51869</v>
      </c>
      <c r="I2203" s="2">
        <v>4</v>
      </c>
      <c r="J2203" s="2">
        <v>127528</v>
      </c>
      <c r="K2203" s="2">
        <v>134451</v>
      </c>
      <c r="L2203" s="2">
        <v>10</v>
      </c>
      <c r="M2203" t="str">
        <f>IF(Revv_bike_sales_data[[#This Row],[delivery_days]]&lt;=7, "Yes", "No")</f>
        <v>No</v>
      </c>
      <c r="N2203" t="s">
        <v>16</v>
      </c>
      <c r="O2203" s="2">
        <v>-6923</v>
      </c>
    </row>
    <row r="2204" spans="1:15" x14ac:dyDescent="0.3">
      <c r="A2204" s="2">
        <v>2194</v>
      </c>
      <c r="B2204" s="1">
        <v>45018.375</v>
      </c>
      <c r="C2204" s="1" t="str">
        <f t="shared" si="68"/>
        <v>04-2023</v>
      </c>
      <c r="D2204" s="2">
        <f t="shared" si="69"/>
        <v>14</v>
      </c>
      <c r="E2204" t="s">
        <v>13</v>
      </c>
      <c r="F2204" t="s">
        <v>14</v>
      </c>
      <c r="G2204" t="s">
        <v>15</v>
      </c>
      <c r="H2204" s="2">
        <v>49317</v>
      </c>
      <c r="I2204" s="2">
        <v>3</v>
      </c>
      <c r="J2204" s="2">
        <v>71526</v>
      </c>
      <c r="K2204" s="2">
        <v>107675</v>
      </c>
      <c r="L2204" s="2">
        <v>11</v>
      </c>
      <c r="M2204" t="str">
        <f>IF(Revv_bike_sales_data[[#This Row],[delivery_days]]&lt;=7, "Yes", "No")</f>
        <v>No</v>
      </c>
      <c r="N2204" t="s">
        <v>16</v>
      </c>
      <c r="O2204" s="2">
        <v>-36149</v>
      </c>
    </row>
    <row r="2205" spans="1:15" x14ac:dyDescent="0.3">
      <c r="A2205" s="2">
        <v>2195</v>
      </c>
      <c r="B2205" s="1">
        <v>45018.416666666664</v>
      </c>
      <c r="C2205" s="1" t="str">
        <f t="shared" si="68"/>
        <v>04-2023</v>
      </c>
      <c r="D2205" s="2">
        <f t="shared" si="69"/>
        <v>14</v>
      </c>
      <c r="E2205" t="s">
        <v>13</v>
      </c>
      <c r="F2205" t="s">
        <v>14</v>
      </c>
      <c r="G2205" t="s">
        <v>21</v>
      </c>
      <c r="H2205" s="2">
        <v>83703</v>
      </c>
      <c r="I2205" s="2">
        <v>8</v>
      </c>
      <c r="J2205" s="2">
        <v>72717</v>
      </c>
      <c r="K2205" s="2">
        <v>106634</v>
      </c>
      <c r="L2205" s="2">
        <v>9</v>
      </c>
      <c r="M2205" t="str">
        <f>IF(Revv_bike_sales_data[[#This Row],[delivery_days]]&lt;=7, "Yes", "No")</f>
        <v>No</v>
      </c>
      <c r="N2205" t="s">
        <v>16</v>
      </c>
      <c r="O2205" s="2">
        <v>-33917</v>
      </c>
    </row>
    <row r="2206" spans="1:15" x14ac:dyDescent="0.3">
      <c r="A2206" s="2">
        <v>2196</v>
      </c>
      <c r="B2206" s="1">
        <v>45018.458333333336</v>
      </c>
      <c r="C2206" s="1" t="str">
        <f t="shared" si="68"/>
        <v>04-2023</v>
      </c>
      <c r="D2206" s="2">
        <f t="shared" si="69"/>
        <v>14</v>
      </c>
      <c r="E2206" t="s">
        <v>13</v>
      </c>
      <c r="F2206" t="s">
        <v>23</v>
      </c>
      <c r="G2206" t="s">
        <v>20</v>
      </c>
      <c r="H2206" s="2">
        <v>74811</v>
      </c>
      <c r="I2206" s="2">
        <v>7</v>
      </c>
      <c r="J2206" s="2">
        <v>115480</v>
      </c>
      <c r="K2206" s="2">
        <v>57294</v>
      </c>
      <c r="L2206" s="2">
        <v>1</v>
      </c>
      <c r="M2206" t="str">
        <f>IF(Revv_bike_sales_data[[#This Row],[delivery_days]]&lt;=7, "Yes", "No")</f>
        <v>Yes</v>
      </c>
      <c r="N2206" t="s">
        <v>16</v>
      </c>
      <c r="O2206" s="2">
        <v>58186</v>
      </c>
    </row>
    <row r="2207" spans="1:15" x14ac:dyDescent="0.3">
      <c r="A2207" s="2">
        <v>2197</v>
      </c>
      <c r="B2207" s="1">
        <v>45018.5</v>
      </c>
      <c r="C2207" s="1" t="str">
        <f t="shared" si="68"/>
        <v>04-2023</v>
      </c>
      <c r="D2207" s="2">
        <f t="shared" si="69"/>
        <v>14</v>
      </c>
      <c r="E2207" t="s">
        <v>22</v>
      </c>
      <c r="F2207" t="s">
        <v>14</v>
      </c>
      <c r="G2207" t="s">
        <v>21</v>
      </c>
      <c r="H2207" s="2">
        <v>30155</v>
      </c>
      <c r="I2207" s="2">
        <v>3</v>
      </c>
      <c r="J2207" s="2">
        <v>160673</v>
      </c>
      <c r="K2207" s="2">
        <v>28582</v>
      </c>
      <c r="L2207" s="2">
        <v>7</v>
      </c>
      <c r="M2207" t="str">
        <f>IF(Revv_bike_sales_data[[#This Row],[delivery_days]]&lt;=7, "Yes", "No")</f>
        <v>Yes</v>
      </c>
      <c r="N2207" t="s">
        <v>16</v>
      </c>
      <c r="O2207" s="2">
        <v>132091</v>
      </c>
    </row>
    <row r="2208" spans="1:15" x14ac:dyDescent="0.3">
      <c r="A2208" s="2">
        <v>2198</v>
      </c>
      <c r="B2208" s="1">
        <v>45018.541666666664</v>
      </c>
      <c r="C2208" s="1" t="str">
        <f t="shared" si="68"/>
        <v>04-2023</v>
      </c>
      <c r="D2208" s="2">
        <f t="shared" si="69"/>
        <v>14</v>
      </c>
      <c r="E2208" t="s">
        <v>17</v>
      </c>
      <c r="F2208" t="s">
        <v>14</v>
      </c>
      <c r="G2208" t="s">
        <v>21</v>
      </c>
      <c r="H2208" s="2">
        <v>58302</v>
      </c>
      <c r="I2208" s="2">
        <v>3</v>
      </c>
      <c r="J2208" s="2">
        <v>37930</v>
      </c>
      <c r="K2208" s="2">
        <v>124119</v>
      </c>
      <c r="L2208" s="2">
        <v>13</v>
      </c>
      <c r="M2208" t="str">
        <f>IF(Revv_bike_sales_data[[#This Row],[delivery_days]]&lt;=7, "Yes", "No")</f>
        <v>No</v>
      </c>
      <c r="N2208" t="s">
        <v>24</v>
      </c>
      <c r="O2208" s="2">
        <v>-86189</v>
      </c>
    </row>
    <row r="2209" spans="1:15" x14ac:dyDescent="0.3">
      <c r="A2209" s="2">
        <v>2199</v>
      </c>
      <c r="B2209" s="1">
        <v>45018.583333333336</v>
      </c>
      <c r="C2209" s="1" t="str">
        <f t="shared" si="68"/>
        <v>04-2023</v>
      </c>
      <c r="D2209" s="2">
        <f t="shared" si="69"/>
        <v>14</v>
      </c>
      <c r="E2209" t="s">
        <v>13</v>
      </c>
      <c r="F2209" t="s">
        <v>14</v>
      </c>
      <c r="G2209" t="s">
        <v>20</v>
      </c>
      <c r="H2209" s="2">
        <v>48132</v>
      </c>
      <c r="I2209" s="2">
        <v>1</v>
      </c>
      <c r="J2209" s="2">
        <v>29333</v>
      </c>
      <c r="K2209" s="2">
        <v>28760</v>
      </c>
      <c r="L2209" s="2">
        <v>12</v>
      </c>
      <c r="M2209" t="str">
        <f>IF(Revv_bike_sales_data[[#This Row],[delivery_days]]&lt;=7, "Yes", "No")</f>
        <v>No</v>
      </c>
      <c r="N2209" t="s">
        <v>16</v>
      </c>
      <c r="O2209" s="2">
        <v>573</v>
      </c>
    </row>
    <row r="2210" spans="1:15" x14ac:dyDescent="0.3">
      <c r="A2210" s="2">
        <v>2200</v>
      </c>
      <c r="B2210" s="1">
        <v>45018.625</v>
      </c>
      <c r="C2210" s="1" t="str">
        <f t="shared" si="68"/>
        <v>04-2023</v>
      </c>
      <c r="D2210" s="2">
        <f t="shared" si="69"/>
        <v>14</v>
      </c>
      <c r="E2210" t="s">
        <v>17</v>
      </c>
      <c r="F2210" t="s">
        <v>14</v>
      </c>
      <c r="G2210" t="s">
        <v>19</v>
      </c>
      <c r="H2210" s="2">
        <v>14693</v>
      </c>
      <c r="I2210" s="2">
        <v>8</v>
      </c>
      <c r="J2210" s="2">
        <v>145384</v>
      </c>
      <c r="K2210" s="2">
        <v>86791</v>
      </c>
      <c r="L2210" s="2">
        <v>11</v>
      </c>
      <c r="M2210" t="str">
        <f>IF(Revv_bike_sales_data[[#This Row],[delivery_days]]&lt;=7, "Yes", "No")</f>
        <v>No</v>
      </c>
      <c r="N2210" t="s">
        <v>16</v>
      </c>
      <c r="O2210" s="2">
        <v>58593</v>
      </c>
    </row>
    <row r="2211" spans="1:15" x14ac:dyDescent="0.3">
      <c r="A2211" s="2">
        <v>2201</v>
      </c>
      <c r="B2211" s="1">
        <v>45018.666666666664</v>
      </c>
      <c r="C2211" s="1" t="str">
        <f t="shared" si="68"/>
        <v>04-2023</v>
      </c>
      <c r="D2211" s="2">
        <f t="shared" si="69"/>
        <v>14</v>
      </c>
      <c r="E2211" t="s">
        <v>18</v>
      </c>
      <c r="F2211" t="s">
        <v>14</v>
      </c>
      <c r="G2211" t="s">
        <v>21</v>
      </c>
      <c r="H2211" s="2">
        <v>80712</v>
      </c>
      <c r="I2211" s="2">
        <v>2</v>
      </c>
      <c r="J2211" s="2">
        <v>42839</v>
      </c>
      <c r="K2211" s="2">
        <v>97158</v>
      </c>
      <c r="L2211" s="2">
        <v>10</v>
      </c>
      <c r="M2211" t="str">
        <f>IF(Revv_bike_sales_data[[#This Row],[delivery_days]]&lt;=7, "Yes", "No")</f>
        <v>No</v>
      </c>
      <c r="N2211" t="s">
        <v>16</v>
      </c>
      <c r="O2211" s="2">
        <v>-54319</v>
      </c>
    </row>
    <row r="2212" spans="1:15" x14ac:dyDescent="0.3">
      <c r="A2212" s="2">
        <v>2202</v>
      </c>
      <c r="B2212" s="1">
        <v>45018.708333333336</v>
      </c>
      <c r="C2212" s="1" t="str">
        <f t="shared" si="68"/>
        <v>04-2023</v>
      </c>
      <c r="D2212" s="2">
        <f t="shared" si="69"/>
        <v>14</v>
      </c>
      <c r="E2212" t="s">
        <v>18</v>
      </c>
      <c r="F2212" t="s">
        <v>14</v>
      </c>
      <c r="G2212" t="s">
        <v>20</v>
      </c>
      <c r="H2212" s="2">
        <v>31276</v>
      </c>
      <c r="I2212" s="2">
        <v>3</v>
      </c>
      <c r="J2212" s="2">
        <v>76337</v>
      </c>
      <c r="K2212" s="2">
        <v>50983</v>
      </c>
      <c r="L2212" s="2">
        <v>7</v>
      </c>
      <c r="M2212" t="str">
        <f>IF(Revv_bike_sales_data[[#This Row],[delivery_days]]&lt;=7, "Yes", "No")</f>
        <v>Yes</v>
      </c>
      <c r="N2212" t="s">
        <v>16</v>
      </c>
      <c r="O2212" s="2">
        <v>25354</v>
      </c>
    </row>
    <row r="2213" spans="1:15" x14ac:dyDescent="0.3">
      <c r="A2213" s="2">
        <v>2203</v>
      </c>
      <c r="B2213" s="1">
        <v>45018.75</v>
      </c>
      <c r="C2213" s="1" t="str">
        <f t="shared" si="68"/>
        <v>04-2023</v>
      </c>
      <c r="D2213" s="2">
        <f t="shared" si="69"/>
        <v>14</v>
      </c>
      <c r="E2213" t="s">
        <v>13</v>
      </c>
      <c r="F2213" t="s">
        <v>14</v>
      </c>
      <c r="G2213" t="s">
        <v>21</v>
      </c>
      <c r="H2213" s="2">
        <v>43725</v>
      </c>
      <c r="I2213" s="2">
        <v>6</v>
      </c>
      <c r="J2213" s="2">
        <v>45195</v>
      </c>
      <c r="K2213" s="2">
        <v>55309</v>
      </c>
      <c r="L2213" s="2">
        <v>8</v>
      </c>
      <c r="M2213" t="str">
        <f>IF(Revv_bike_sales_data[[#This Row],[delivery_days]]&lt;=7, "Yes", "No")</f>
        <v>No</v>
      </c>
      <c r="N2213" t="s">
        <v>16</v>
      </c>
      <c r="O2213" s="2">
        <v>-10114</v>
      </c>
    </row>
    <row r="2214" spans="1:15" x14ac:dyDescent="0.3">
      <c r="A2214" s="2">
        <v>2204</v>
      </c>
      <c r="B2214" s="1">
        <v>45018.791666666664</v>
      </c>
      <c r="C2214" s="1" t="str">
        <f t="shared" si="68"/>
        <v>04-2023</v>
      </c>
      <c r="D2214" s="2">
        <f t="shared" si="69"/>
        <v>14</v>
      </c>
      <c r="E2214" t="s">
        <v>17</v>
      </c>
      <c r="F2214" t="s">
        <v>14</v>
      </c>
      <c r="G2214" t="s">
        <v>15</v>
      </c>
      <c r="H2214" s="2">
        <v>60510</v>
      </c>
      <c r="I2214" s="2">
        <v>9</v>
      </c>
      <c r="J2214" s="2">
        <v>114229</v>
      </c>
      <c r="K2214" s="2">
        <v>44715</v>
      </c>
      <c r="L2214" s="2">
        <v>6</v>
      </c>
      <c r="M2214" t="str">
        <f>IF(Revv_bike_sales_data[[#This Row],[delivery_days]]&lt;=7, "Yes", "No")</f>
        <v>Yes</v>
      </c>
      <c r="N2214" t="s">
        <v>16</v>
      </c>
      <c r="O2214" s="2">
        <v>69514</v>
      </c>
    </row>
    <row r="2215" spans="1:15" x14ac:dyDescent="0.3">
      <c r="A2215" s="2">
        <v>2205</v>
      </c>
      <c r="B2215" s="1">
        <v>45018.833333333336</v>
      </c>
      <c r="C2215" s="1" t="str">
        <f t="shared" si="68"/>
        <v>04-2023</v>
      </c>
      <c r="D2215" s="2">
        <f t="shared" si="69"/>
        <v>14</v>
      </c>
      <c r="E2215" t="s">
        <v>17</v>
      </c>
      <c r="F2215" t="s">
        <v>23</v>
      </c>
      <c r="G2215" t="s">
        <v>19</v>
      </c>
      <c r="H2215" s="2">
        <v>83235</v>
      </c>
      <c r="I2215" s="2">
        <v>7</v>
      </c>
      <c r="J2215" s="2">
        <v>138251</v>
      </c>
      <c r="K2215" s="2">
        <v>51415</v>
      </c>
      <c r="L2215" s="2">
        <v>8</v>
      </c>
      <c r="M2215" t="str">
        <f>IF(Revv_bike_sales_data[[#This Row],[delivery_days]]&lt;=7, "Yes", "No")</f>
        <v>No</v>
      </c>
      <c r="N2215" t="s">
        <v>16</v>
      </c>
      <c r="O2215" s="2">
        <v>86836</v>
      </c>
    </row>
    <row r="2216" spans="1:15" x14ac:dyDescent="0.3">
      <c r="A2216" s="2">
        <v>2206</v>
      </c>
      <c r="B2216" s="1">
        <v>45018.875</v>
      </c>
      <c r="C2216" s="1" t="str">
        <f t="shared" si="68"/>
        <v>04-2023</v>
      </c>
      <c r="D2216" s="2">
        <f t="shared" si="69"/>
        <v>14</v>
      </c>
      <c r="E2216" t="s">
        <v>17</v>
      </c>
      <c r="F2216" t="s">
        <v>14</v>
      </c>
      <c r="G2216" t="s">
        <v>19</v>
      </c>
      <c r="H2216" s="2">
        <v>65951</v>
      </c>
      <c r="I2216" s="2">
        <v>7</v>
      </c>
      <c r="J2216" s="2">
        <v>137265</v>
      </c>
      <c r="K2216" s="2">
        <v>102328</v>
      </c>
      <c r="L2216" s="2">
        <v>1</v>
      </c>
      <c r="M2216" t="str">
        <f>IF(Revv_bike_sales_data[[#This Row],[delivery_days]]&lt;=7, "Yes", "No")</f>
        <v>Yes</v>
      </c>
      <c r="N2216" t="s">
        <v>16</v>
      </c>
      <c r="O2216" s="2">
        <v>34937</v>
      </c>
    </row>
    <row r="2217" spans="1:15" x14ac:dyDescent="0.3">
      <c r="A2217" s="2">
        <v>2207</v>
      </c>
      <c r="B2217" s="1">
        <v>45018.916666666664</v>
      </c>
      <c r="C2217" s="1" t="str">
        <f t="shared" si="68"/>
        <v>04-2023</v>
      </c>
      <c r="D2217" s="2">
        <f t="shared" si="69"/>
        <v>14</v>
      </c>
      <c r="E2217" t="s">
        <v>22</v>
      </c>
      <c r="F2217" t="s">
        <v>23</v>
      </c>
      <c r="G2217" t="s">
        <v>15</v>
      </c>
      <c r="H2217" s="2">
        <v>49312</v>
      </c>
      <c r="I2217" s="2">
        <v>3</v>
      </c>
      <c r="J2217" s="2">
        <v>126986</v>
      </c>
      <c r="K2217" s="2">
        <v>123112</v>
      </c>
      <c r="L2217" s="2">
        <v>1</v>
      </c>
      <c r="M2217" t="str">
        <f>IF(Revv_bike_sales_data[[#This Row],[delivery_days]]&lt;=7, "Yes", "No")</f>
        <v>Yes</v>
      </c>
      <c r="N2217" t="s">
        <v>16</v>
      </c>
      <c r="O2217" s="2">
        <v>3874</v>
      </c>
    </row>
    <row r="2218" spans="1:15" x14ac:dyDescent="0.3">
      <c r="A2218" s="2">
        <v>2208</v>
      </c>
      <c r="B2218" s="1">
        <v>45018.958333333336</v>
      </c>
      <c r="C2218" s="1" t="str">
        <f t="shared" si="68"/>
        <v>04-2023</v>
      </c>
      <c r="D2218" s="2">
        <f t="shared" si="69"/>
        <v>14</v>
      </c>
      <c r="E2218" t="s">
        <v>18</v>
      </c>
      <c r="F2218" t="s">
        <v>14</v>
      </c>
      <c r="G2218" t="s">
        <v>15</v>
      </c>
      <c r="H2218" s="2">
        <v>81102</v>
      </c>
      <c r="I2218" s="2">
        <v>6</v>
      </c>
      <c r="J2218" s="2">
        <v>75998</v>
      </c>
      <c r="K2218" s="2">
        <v>103260</v>
      </c>
      <c r="L2218" s="2">
        <v>9</v>
      </c>
      <c r="M2218" t="str">
        <f>IF(Revv_bike_sales_data[[#This Row],[delivery_days]]&lt;=7, "Yes", "No")</f>
        <v>No</v>
      </c>
      <c r="N2218" t="s">
        <v>16</v>
      </c>
      <c r="O2218" s="2">
        <v>-27262</v>
      </c>
    </row>
    <row r="2219" spans="1:15" x14ac:dyDescent="0.3">
      <c r="A2219" s="2">
        <v>2209</v>
      </c>
      <c r="B2219" s="1">
        <v>45019</v>
      </c>
      <c r="C2219" s="1" t="str">
        <f t="shared" si="68"/>
        <v>04-2023</v>
      </c>
      <c r="D2219" s="2">
        <f t="shared" si="69"/>
        <v>14</v>
      </c>
      <c r="E2219" t="s">
        <v>17</v>
      </c>
      <c r="F2219" t="s">
        <v>14</v>
      </c>
      <c r="G2219" t="s">
        <v>21</v>
      </c>
      <c r="H2219" s="2">
        <v>19395</v>
      </c>
      <c r="I2219" s="2">
        <v>9</v>
      </c>
      <c r="J2219" s="2">
        <v>56558</v>
      </c>
      <c r="K2219" s="2">
        <v>66581</v>
      </c>
      <c r="L2219" s="2">
        <v>12</v>
      </c>
      <c r="M2219" t="str">
        <f>IF(Revv_bike_sales_data[[#This Row],[delivery_days]]&lt;=7, "Yes", "No")</f>
        <v>No</v>
      </c>
      <c r="N2219" t="s">
        <v>16</v>
      </c>
      <c r="O2219" s="2">
        <v>-10023</v>
      </c>
    </row>
    <row r="2220" spans="1:15" x14ac:dyDescent="0.3">
      <c r="A2220" s="2">
        <v>2210</v>
      </c>
      <c r="B2220" s="1">
        <v>45019.041666666664</v>
      </c>
      <c r="C2220" s="1" t="str">
        <f t="shared" si="68"/>
        <v>04-2023</v>
      </c>
      <c r="D2220" s="2">
        <f t="shared" si="69"/>
        <v>14</v>
      </c>
      <c r="E2220" t="s">
        <v>17</v>
      </c>
      <c r="F2220" t="s">
        <v>14</v>
      </c>
      <c r="G2220" t="s">
        <v>15</v>
      </c>
      <c r="H2220" s="2">
        <v>66282</v>
      </c>
      <c r="I2220" s="2">
        <v>0</v>
      </c>
      <c r="J2220" s="2">
        <v>27985</v>
      </c>
      <c r="K2220" s="2">
        <v>18652</v>
      </c>
      <c r="L2220" s="2">
        <v>4</v>
      </c>
      <c r="M2220" t="str">
        <f>IF(Revv_bike_sales_data[[#This Row],[delivery_days]]&lt;=7, "Yes", "No")</f>
        <v>Yes</v>
      </c>
      <c r="N2220" t="s">
        <v>16</v>
      </c>
      <c r="O2220" s="2">
        <v>9333</v>
      </c>
    </row>
    <row r="2221" spans="1:15" x14ac:dyDescent="0.3">
      <c r="A2221" s="2">
        <v>2211</v>
      </c>
      <c r="B2221" s="1">
        <v>45019.083333333336</v>
      </c>
      <c r="C2221" s="1" t="str">
        <f t="shared" si="68"/>
        <v>04-2023</v>
      </c>
      <c r="D2221" s="2">
        <f t="shared" si="69"/>
        <v>14</v>
      </c>
      <c r="E2221" t="s">
        <v>22</v>
      </c>
      <c r="F2221" t="s">
        <v>14</v>
      </c>
      <c r="G2221" t="s">
        <v>19</v>
      </c>
      <c r="H2221" s="2">
        <v>21709</v>
      </c>
      <c r="I2221" s="2">
        <v>5</v>
      </c>
      <c r="J2221" s="2">
        <v>86794</v>
      </c>
      <c r="K2221" s="2">
        <v>41297</v>
      </c>
      <c r="L2221" s="2">
        <v>3</v>
      </c>
      <c r="M2221" t="str">
        <f>IF(Revv_bike_sales_data[[#This Row],[delivery_days]]&lt;=7, "Yes", "No")</f>
        <v>Yes</v>
      </c>
      <c r="N2221" t="s">
        <v>16</v>
      </c>
      <c r="O2221" s="2">
        <v>45497</v>
      </c>
    </row>
    <row r="2222" spans="1:15" x14ac:dyDescent="0.3">
      <c r="A2222" s="2">
        <v>2212</v>
      </c>
      <c r="B2222" s="1">
        <v>45019.125</v>
      </c>
      <c r="C2222" s="1" t="str">
        <f t="shared" si="68"/>
        <v>04-2023</v>
      </c>
      <c r="D2222" s="2">
        <f t="shared" si="69"/>
        <v>14</v>
      </c>
      <c r="E2222" t="s">
        <v>22</v>
      </c>
      <c r="F2222" t="s">
        <v>23</v>
      </c>
      <c r="G2222" t="s">
        <v>15</v>
      </c>
      <c r="H2222" s="2">
        <v>82836</v>
      </c>
      <c r="I2222" s="2">
        <v>5</v>
      </c>
      <c r="J2222" s="2">
        <v>68585</v>
      </c>
      <c r="K2222" s="2">
        <v>112958</v>
      </c>
      <c r="L2222" s="2">
        <v>6</v>
      </c>
      <c r="M2222" t="str">
        <f>IF(Revv_bike_sales_data[[#This Row],[delivery_days]]&lt;=7, "Yes", "No")</f>
        <v>Yes</v>
      </c>
      <c r="N2222" t="s">
        <v>16</v>
      </c>
      <c r="O2222" s="2">
        <v>-44373</v>
      </c>
    </row>
    <row r="2223" spans="1:15" x14ac:dyDescent="0.3">
      <c r="A2223" s="2">
        <v>2213</v>
      </c>
      <c r="B2223" s="1">
        <v>45019.166666666664</v>
      </c>
      <c r="C2223" s="1" t="str">
        <f t="shared" si="68"/>
        <v>04-2023</v>
      </c>
      <c r="D2223" s="2">
        <f t="shared" si="69"/>
        <v>14</v>
      </c>
      <c r="E2223" t="s">
        <v>17</v>
      </c>
      <c r="F2223" t="s">
        <v>14</v>
      </c>
      <c r="G2223" t="s">
        <v>20</v>
      </c>
      <c r="H2223" s="2">
        <v>62307</v>
      </c>
      <c r="I2223" s="2">
        <v>5</v>
      </c>
      <c r="J2223" s="2">
        <v>65264</v>
      </c>
      <c r="K2223" s="2">
        <v>29028</v>
      </c>
      <c r="L2223" s="2">
        <v>10</v>
      </c>
      <c r="M2223" t="str">
        <f>IF(Revv_bike_sales_data[[#This Row],[delivery_days]]&lt;=7, "Yes", "No")</f>
        <v>No</v>
      </c>
      <c r="N2223" t="s">
        <v>16</v>
      </c>
      <c r="O2223" s="2">
        <v>36236</v>
      </c>
    </row>
    <row r="2224" spans="1:15" x14ac:dyDescent="0.3">
      <c r="A2224" s="2">
        <v>2214</v>
      </c>
      <c r="B2224" s="1">
        <v>45019.208333333336</v>
      </c>
      <c r="C2224" s="1" t="str">
        <f t="shared" si="68"/>
        <v>04-2023</v>
      </c>
      <c r="D2224" s="2">
        <f t="shared" si="69"/>
        <v>14</v>
      </c>
      <c r="E2224" t="s">
        <v>25</v>
      </c>
      <c r="F2224" t="s">
        <v>14</v>
      </c>
      <c r="G2224" t="s">
        <v>20</v>
      </c>
      <c r="H2224" s="2">
        <v>23586</v>
      </c>
      <c r="I2224" s="2">
        <v>1</v>
      </c>
      <c r="J2224" s="2">
        <v>109816</v>
      </c>
      <c r="K2224" s="2">
        <v>28803</v>
      </c>
      <c r="L2224" s="2">
        <v>12</v>
      </c>
      <c r="M2224" t="str">
        <f>IF(Revv_bike_sales_data[[#This Row],[delivery_days]]&lt;=7, "Yes", "No")</f>
        <v>No</v>
      </c>
      <c r="N2224" t="s">
        <v>16</v>
      </c>
      <c r="O2224" s="2">
        <v>81013</v>
      </c>
    </row>
    <row r="2225" spans="1:15" x14ac:dyDescent="0.3">
      <c r="A2225" s="2">
        <v>2215</v>
      </c>
      <c r="B2225" s="1">
        <v>45019.25</v>
      </c>
      <c r="C2225" s="1" t="str">
        <f t="shared" si="68"/>
        <v>04-2023</v>
      </c>
      <c r="D2225" s="2">
        <f t="shared" si="69"/>
        <v>14</v>
      </c>
      <c r="E2225" t="s">
        <v>17</v>
      </c>
      <c r="F2225" t="s">
        <v>14</v>
      </c>
      <c r="G2225" t="s">
        <v>21</v>
      </c>
      <c r="H2225" s="2">
        <v>86137</v>
      </c>
      <c r="I2225" s="2">
        <v>7</v>
      </c>
      <c r="J2225" s="2">
        <v>59022</v>
      </c>
      <c r="K2225" s="2">
        <v>21307</v>
      </c>
      <c r="L2225" s="2">
        <v>13</v>
      </c>
      <c r="M2225" t="str">
        <f>IF(Revv_bike_sales_data[[#This Row],[delivery_days]]&lt;=7, "Yes", "No")</f>
        <v>No</v>
      </c>
      <c r="N2225" t="s">
        <v>24</v>
      </c>
      <c r="O2225" s="2">
        <v>37715</v>
      </c>
    </row>
    <row r="2226" spans="1:15" x14ac:dyDescent="0.3">
      <c r="A2226" s="2">
        <v>2216</v>
      </c>
      <c r="B2226" s="1">
        <v>45019.291666666664</v>
      </c>
      <c r="C2226" s="1" t="str">
        <f t="shared" si="68"/>
        <v>04-2023</v>
      </c>
      <c r="D2226" s="2">
        <f t="shared" si="69"/>
        <v>14</v>
      </c>
      <c r="E2226" t="s">
        <v>17</v>
      </c>
      <c r="F2226" t="s">
        <v>14</v>
      </c>
      <c r="G2226" t="s">
        <v>19</v>
      </c>
      <c r="H2226" s="2">
        <v>82527</v>
      </c>
      <c r="I2226" s="2">
        <v>4</v>
      </c>
      <c r="J2226" s="2">
        <v>171739</v>
      </c>
      <c r="K2226" s="2">
        <v>46325</v>
      </c>
      <c r="L2226" s="2">
        <v>12</v>
      </c>
      <c r="M2226" t="str">
        <f>IF(Revv_bike_sales_data[[#This Row],[delivery_days]]&lt;=7, "Yes", "No")</f>
        <v>No</v>
      </c>
      <c r="N2226" t="s">
        <v>16</v>
      </c>
      <c r="O2226" s="2">
        <v>125414</v>
      </c>
    </row>
    <row r="2227" spans="1:15" x14ac:dyDescent="0.3">
      <c r="A2227" s="2">
        <v>2217</v>
      </c>
      <c r="B2227" s="1">
        <v>45019.333333333336</v>
      </c>
      <c r="C2227" s="1" t="str">
        <f t="shared" si="68"/>
        <v>04-2023</v>
      </c>
      <c r="D2227" s="2">
        <f t="shared" si="69"/>
        <v>14</v>
      </c>
      <c r="E2227" t="s">
        <v>22</v>
      </c>
      <c r="F2227" t="s">
        <v>14</v>
      </c>
      <c r="G2227" t="s">
        <v>20</v>
      </c>
      <c r="H2227" s="2">
        <v>27707</v>
      </c>
      <c r="I2227" s="2">
        <v>4</v>
      </c>
      <c r="J2227" s="2">
        <v>43065</v>
      </c>
      <c r="K2227" s="2">
        <v>73616</v>
      </c>
      <c r="L2227" s="2">
        <v>9</v>
      </c>
      <c r="M2227" t="str">
        <f>IF(Revv_bike_sales_data[[#This Row],[delivery_days]]&lt;=7, "Yes", "No")</f>
        <v>No</v>
      </c>
      <c r="N2227" t="s">
        <v>16</v>
      </c>
      <c r="O2227" s="2">
        <v>-30551</v>
      </c>
    </row>
    <row r="2228" spans="1:15" x14ac:dyDescent="0.3">
      <c r="A2228" s="2">
        <v>2218</v>
      </c>
      <c r="B2228" s="1">
        <v>45019.375</v>
      </c>
      <c r="C2228" s="1" t="str">
        <f t="shared" si="68"/>
        <v>04-2023</v>
      </c>
      <c r="D2228" s="2">
        <f t="shared" si="69"/>
        <v>14</v>
      </c>
      <c r="E2228" t="s">
        <v>22</v>
      </c>
      <c r="F2228" t="s">
        <v>14</v>
      </c>
      <c r="G2228" t="s">
        <v>15</v>
      </c>
      <c r="H2228" s="2">
        <v>21397</v>
      </c>
      <c r="I2228" s="2">
        <v>1</v>
      </c>
      <c r="J2228" s="2">
        <v>139382</v>
      </c>
      <c r="K2228" s="2">
        <v>75483</v>
      </c>
      <c r="L2228" s="2">
        <v>10</v>
      </c>
      <c r="M2228" t="str">
        <f>IF(Revv_bike_sales_data[[#This Row],[delivery_days]]&lt;=7, "Yes", "No")</f>
        <v>No</v>
      </c>
      <c r="N2228" t="s">
        <v>24</v>
      </c>
      <c r="O2228" s="2">
        <v>63899</v>
      </c>
    </row>
    <row r="2229" spans="1:15" x14ac:dyDescent="0.3">
      <c r="A2229" s="2">
        <v>2219</v>
      </c>
      <c r="B2229" s="1">
        <v>45019.416666666664</v>
      </c>
      <c r="C2229" s="1" t="str">
        <f t="shared" si="68"/>
        <v>04-2023</v>
      </c>
      <c r="D2229" s="2">
        <f t="shared" si="69"/>
        <v>14</v>
      </c>
      <c r="E2229" t="s">
        <v>17</v>
      </c>
      <c r="F2229" t="s">
        <v>14</v>
      </c>
      <c r="G2229" t="s">
        <v>20</v>
      </c>
      <c r="H2229" s="2">
        <v>63583</v>
      </c>
      <c r="I2229" s="2">
        <v>3</v>
      </c>
      <c r="J2229" s="2">
        <v>153145</v>
      </c>
      <c r="K2229" s="2">
        <v>46574</v>
      </c>
      <c r="L2229" s="2">
        <v>11</v>
      </c>
      <c r="M2229" t="str">
        <f>IF(Revv_bike_sales_data[[#This Row],[delivery_days]]&lt;=7, "Yes", "No")</f>
        <v>No</v>
      </c>
      <c r="N2229" t="s">
        <v>16</v>
      </c>
      <c r="O2229" s="2">
        <v>106571</v>
      </c>
    </row>
    <row r="2230" spans="1:15" x14ac:dyDescent="0.3">
      <c r="A2230" s="2">
        <v>2220</v>
      </c>
      <c r="B2230" s="1">
        <v>45019.458333333336</v>
      </c>
      <c r="C2230" s="1" t="str">
        <f t="shared" si="68"/>
        <v>04-2023</v>
      </c>
      <c r="D2230" s="2">
        <f t="shared" si="69"/>
        <v>14</v>
      </c>
      <c r="E2230" t="s">
        <v>17</v>
      </c>
      <c r="F2230" t="s">
        <v>14</v>
      </c>
      <c r="G2230" t="s">
        <v>20</v>
      </c>
      <c r="H2230" s="2">
        <v>95528</v>
      </c>
      <c r="I2230" s="2">
        <v>8</v>
      </c>
      <c r="J2230" s="2">
        <v>112191</v>
      </c>
      <c r="K2230" s="2">
        <v>134828</v>
      </c>
      <c r="L2230" s="2">
        <v>4</v>
      </c>
      <c r="M2230" t="str">
        <f>IF(Revv_bike_sales_data[[#This Row],[delivery_days]]&lt;=7, "Yes", "No")</f>
        <v>Yes</v>
      </c>
      <c r="N2230" t="s">
        <v>16</v>
      </c>
      <c r="O2230" s="2">
        <v>-22637</v>
      </c>
    </row>
    <row r="2231" spans="1:15" x14ac:dyDescent="0.3">
      <c r="A2231" s="2">
        <v>2221</v>
      </c>
      <c r="B2231" s="1">
        <v>45019.5</v>
      </c>
      <c r="C2231" s="1" t="str">
        <f t="shared" si="68"/>
        <v>04-2023</v>
      </c>
      <c r="D2231" s="2">
        <f t="shared" si="69"/>
        <v>14</v>
      </c>
      <c r="E2231" t="s">
        <v>17</v>
      </c>
      <c r="F2231" t="s">
        <v>14</v>
      </c>
      <c r="G2231" t="s">
        <v>21</v>
      </c>
      <c r="H2231" s="2">
        <v>67457</v>
      </c>
      <c r="I2231" s="2">
        <v>8</v>
      </c>
      <c r="J2231" s="2">
        <v>166078</v>
      </c>
      <c r="K2231" s="2">
        <v>99798</v>
      </c>
      <c r="L2231" s="2">
        <v>9</v>
      </c>
      <c r="M2231" t="str">
        <f>IF(Revv_bike_sales_data[[#This Row],[delivery_days]]&lt;=7, "Yes", "No")</f>
        <v>No</v>
      </c>
      <c r="N2231" t="s">
        <v>16</v>
      </c>
      <c r="O2231" s="2">
        <v>66280</v>
      </c>
    </row>
    <row r="2232" spans="1:15" x14ac:dyDescent="0.3">
      <c r="A2232" s="2">
        <v>2222</v>
      </c>
      <c r="B2232" s="1">
        <v>45019.541666666664</v>
      </c>
      <c r="C2232" s="1" t="str">
        <f t="shared" si="68"/>
        <v>04-2023</v>
      </c>
      <c r="D2232" s="2">
        <f t="shared" si="69"/>
        <v>14</v>
      </c>
      <c r="E2232" t="s">
        <v>22</v>
      </c>
      <c r="F2232" t="s">
        <v>14</v>
      </c>
      <c r="G2232" t="s">
        <v>15</v>
      </c>
      <c r="H2232" s="2">
        <v>98051</v>
      </c>
      <c r="I2232" s="2">
        <v>5</v>
      </c>
      <c r="J2232" s="2">
        <v>96819</v>
      </c>
      <c r="K2232" s="2">
        <v>82071</v>
      </c>
      <c r="L2232" s="2">
        <v>5</v>
      </c>
      <c r="M2232" t="str">
        <f>IF(Revv_bike_sales_data[[#This Row],[delivery_days]]&lt;=7, "Yes", "No")</f>
        <v>Yes</v>
      </c>
      <c r="N2232" t="s">
        <v>16</v>
      </c>
      <c r="O2232" s="2">
        <v>14748</v>
      </c>
    </row>
    <row r="2233" spans="1:15" x14ac:dyDescent="0.3">
      <c r="A2233" s="2">
        <v>2223</v>
      </c>
      <c r="B2233" s="1">
        <v>45019.583333333336</v>
      </c>
      <c r="C2233" s="1" t="str">
        <f t="shared" si="68"/>
        <v>04-2023</v>
      </c>
      <c r="D2233" s="2">
        <f t="shared" si="69"/>
        <v>14</v>
      </c>
      <c r="E2233" t="s">
        <v>17</v>
      </c>
      <c r="F2233" t="s">
        <v>14</v>
      </c>
      <c r="G2233" t="s">
        <v>15</v>
      </c>
      <c r="H2233" s="2">
        <v>79006</v>
      </c>
      <c r="I2233" s="2">
        <v>8</v>
      </c>
      <c r="J2233" s="2">
        <v>132158</v>
      </c>
      <c r="K2233" s="2">
        <v>29932</v>
      </c>
      <c r="L2233" s="2">
        <v>13</v>
      </c>
      <c r="M2233" t="str">
        <f>IF(Revv_bike_sales_data[[#This Row],[delivery_days]]&lt;=7, "Yes", "No")</f>
        <v>No</v>
      </c>
      <c r="N2233" t="s">
        <v>16</v>
      </c>
      <c r="O2233" s="2">
        <v>102226</v>
      </c>
    </row>
    <row r="2234" spans="1:15" x14ac:dyDescent="0.3">
      <c r="A2234" s="2">
        <v>2224</v>
      </c>
      <c r="B2234" s="1">
        <v>45019.625</v>
      </c>
      <c r="C2234" s="1" t="str">
        <f t="shared" si="68"/>
        <v>04-2023</v>
      </c>
      <c r="D2234" s="2">
        <f t="shared" si="69"/>
        <v>14</v>
      </c>
      <c r="E2234" t="s">
        <v>17</v>
      </c>
      <c r="F2234" t="s">
        <v>14</v>
      </c>
      <c r="G2234" t="s">
        <v>15</v>
      </c>
      <c r="H2234" s="2">
        <v>7783</v>
      </c>
      <c r="I2234" s="2">
        <v>3</v>
      </c>
      <c r="J2234" s="2">
        <v>28143</v>
      </c>
      <c r="K2234" s="2">
        <v>30749</v>
      </c>
      <c r="L2234" s="2">
        <v>7</v>
      </c>
      <c r="M2234" t="str">
        <f>IF(Revv_bike_sales_data[[#This Row],[delivery_days]]&lt;=7, "Yes", "No")</f>
        <v>Yes</v>
      </c>
      <c r="N2234" t="s">
        <v>16</v>
      </c>
      <c r="O2234" s="2">
        <v>-2606</v>
      </c>
    </row>
    <row r="2235" spans="1:15" x14ac:dyDescent="0.3">
      <c r="A2235" s="2">
        <v>2225</v>
      </c>
      <c r="B2235" s="1">
        <v>45019.666666666664</v>
      </c>
      <c r="C2235" s="1" t="str">
        <f t="shared" si="68"/>
        <v>04-2023</v>
      </c>
      <c r="D2235" s="2">
        <f t="shared" si="69"/>
        <v>14</v>
      </c>
      <c r="E2235" t="s">
        <v>13</v>
      </c>
      <c r="F2235" t="s">
        <v>14</v>
      </c>
      <c r="G2235" t="s">
        <v>21</v>
      </c>
      <c r="H2235" s="2">
        <v>94524</v>
      </c>
      <c r="I2235" s="2">
        <v>0</v>
      </c>
      <c r="J2235" s="2">
        <v>82505</v>
      </c>
      <c r="K2235" s="2">
        <v>23727</v>
      </c>
      <c r="L2235" s="2">
        <v>3</v>
      </c>
      <c r="M2235" t="str">
        <f>IF(Revv_bike_sales_data[[#This Row],[delivery_days]]&lt;=7, "Yes", "No")</f>
        <v>Yes</v>
      </c>
      <c r="N2235" t="s">
        <v>16</v>
      </c>
      <c r="O2235" s="2">
        <v>58778</v>
      </c>
    </row>
    <row r="2236" spans="1:15" x14ac:dyDescent="0.3">
      <c r="A2236" s="2">
        <v>2226</v>
      </c>
      <c r="B2236" s="1">
        <v>45019.708333333336</v>
      </c>
      <c r="C2236" s="1" t="str">
        <f t="shared" si="68"/>
        <v>04-2023</v>
      </c>
      <c r="D2236" s="2">
        <f t="shared" si="69"/>
        <v>14</v>
      </c>
      <c r="E2236" t="s">
        <v>25</v>
      </c>
      <c r="F2236" t="s">
        <v>14</v>
      </c>
      <c r="G2236" t="s">
        <v>15</v>
      </c>
      <c r="H2236" s="2">
        <v>81981</v>
      </c>
      <c r="I2236" s="2">
        <v>1</v>
      </c>
      <c r="J2236" s="2">
        <v>168489</v>
      </c>
      <c r="K2236" s="2">
        <v>70406</v>
      </c>
      <c r="L2236" s="2">
        <v>3</v>
      </c>
      <c r="M2236" t="str">
        <f>IF(Revv_bike_sales_data[[#This Row],[delivery_days]]&lt;=7, "Yes", "No")</f>
        <v>Yes</v>
      </c>
      <c r="N2236" t="s">
        <v>16</v>
      </c>
      <c r="O2236" s="2">
        <v>98083</v>
      </c>
    </row>
    <row r="2237" spans="1:15" x14ac:dyDescent="0.3">
      <c r="A2237" s="2">
        <v>2227</v>
      </c>
      <c r="B2237" s="1">
        <v>45019.75</v>
      </c>
      <c r="C2237" s="1" t="str">
        <f t="shared" si="68"/>
        <v>04-2023</v>
      </c>
      <c r="D2237" s="2">
        <f t="shared" si="69"/>
        <v>14</v>
      </c>
      <c r="E2237" t="s">
        <v>18</v>
      </c>
      <c r="F2237" t="s">
        <v>14</v>
      </c>
      <c r="G2237" t="s">
        <v>15</v>
      </c>
      <c r="H2237" s="2">
        <v>755</v>
      </c>
      <c r="I2237" s="2">
        <v>0</v>
      </c>
      <c r="J2237" s="2">
        <v>53896</v>
      </c>
      <c r="K2237" s="2">
        <v>32332</v>
      </c>
      <c r="L2237" s="2">
        <v>12</v>
      </c>
      <c r="M2237" t="str">
        <f>IF(Revv_bike_sales_data[[#This Row],[delivery_days]]&lt;=7, "Yes", "No")</f>
        <v>No</v>
      </c>
      <c r="N2237" t="s">
        <v>16</v>
      </c>
      <c r="O2237" s="2">
        <v>21564</v>
      </c>
    </row>
    <row r="2238" spans="1:15" x14ac:dyDescent="0.3">
      <c r="A2238" s="2">
        <v>2228</v>
      </c>
      <c r="B2238" s="1">
        <v>45019.791666666664</v>
      </c>
      <c r="C2238" s="1" t="str">
        <f t="shared" si="68"/>
        <v>04-2023</v>
      </c>
      <c r="D2238" s="2">
        <f t="shared" si="69"/>
        <v>14</v>
      </c>
      <c r="E2238" t="s">
        <v>25</v>
      </c>
      <c r="F2238" t="s">
        <v>14</v>
      </c>
      <c r="G2238" t="s">
        <v>20</v>
      </c>
      <c r="H2238" s="2">
        <v>77055</v>
      </c>
      <c r="I2238" s="2">
        <v>7</v>
      </c>
      <c r="J2238" s="2">
        <v>75629</v>
      </c>
      <c r="K2238" s="2">
        <v>110070</v>
      </c>
      <c r="L2238" s="2">
        <v>3</v>
      </c>
      <c r="M2238" t="str">
        <f>IF(Revv_bike_sales_data[[#This Row],[delivery_days]]&lt;=7, "Yes", "No")</f>
        <v>Yes</v>
      </c>
      <c r="N2238" t="s">
        <v>16</v>
      </c>
      <c r="O2238" s="2">
        <v>-34441</v>
      </c>
    </row>
    <row r="2239" spans="1:15" x14ac:dyDescent="0.3">
      <c r="A2239" s="2">
        <v>2229</v>
      </c>
      <c r="B2239" s="1">
        <v>45019.833333333336</v>
      </c>
      <c r="C2239" s="1" t="str">
        <f t="shared" si="68"/>
        <v>04-2023</v>
      </c>
      <c r="D2239" s="2">
        <f t="shared" si="69"/>
        <v>14</v>
      </c>
      <c r="E2239" t="s">
        <v>13</v>
      </c>
      <c r="F2239" t="s">
        <v>23</v>
      </c>
      <c r="G2239" t="s">
        <v>20</v>
      </c>
      <c r="H2239" s="2">
        <v>15987</v>
      </c>
      <c r="I2239" s="2">
        <v>8</v>
      </c>
      <c r="J2239" s="2">
        <v>64916</v>
      </c>
      <c r="K2239" s="2">
        <v>25834</v>
      </c>
      <c r="L2239" s="2">
        <v>8</v>
      </c>
      <c r="M2239" t="str">
        <f>IF(Revv_bike_sales_data[[#This Row],[delivery_days]]&lt;=7, "Yes", "No")</f>
        <v>No</v>
      </c>
      <c r="N2239" t="s">
        <v>16</v>
      </c>
      <c r="O2239" s="2">
        <v>39082</v>
      </c>
    </row>
    <row r="2240" spans="1:15" x14ac:dyDescent="0.3">
      <c r="A2240" s="2">
        <v>2230</v>
      </c>
      <c r="B2240" s="1">
        <v>45019.875</v>
      </c>
      <c r="C2240" s="1" t="str">
        <f t="shared" si="68"/>
        <v>04-2023</v>
      </c>
      <c r="D2240" s="2">
        <f t="shared" si="69"/>
        <v>14</v>
      </c>
      <c r="E2240" t="s">
        <v>18</v>
      </c>
      <c r="F2240" t="s">
        <v>14</v>
      </c>
      <c r="G2240" t="s">
        <v>15</v>
      </c>
      <c r="H2240" s="2">
        <v>19846</v>
      </c>
      <c r="I2240" s="2">
        <v>9</v>
      </c>
      <c r="J2240" s="2">
        <v>86330</v>
      </c>
      <c r="K2240" s="2">
        <v>35325</v>
      </c>
      <c r="L2240" s="2">
        <v>14</v>
      </c>
      <c r="M2240" t="str">
        <f>IF(Revv_bike_sales_data[[#This Row],[delivery_days]]&lt;=7, "Yes", "No")</f>
        <v>No</v>
      </c>
      <c r="N2240" t="s">
        <v>16</v>
      </c>
      <c r="O2240" s="2">
        <v>51005</v>
      </c>
    </row>
    <row r="2241" spans="1:15" x14ac:dyDescent="0.3">
      <c r="A2241" s="2">
        <v>2231</v>
      </c>
      <c r="B2241" s="1">
        <v>45019.916666666664</v>
      </c>
      <c r="C2241" s="1" t="str">
        <f t="shared" si="68"/>
        <v>04-2023</v>
      </c>
      <c r="D2241" s="2">
        <f t="shared" si="69"/>
        <v>14</v>
      </c>
      <c r="E2241" t="s">
        <v>17</v>
      </c>
      <c r="F2241" t="s">
        <v>14</v>
      </c>
      <c r="G2241" t="s">
        <v>19</v>
      </c>
      <c r="H2241" s="2">
        <v>35550</v>
      </c>
      <c r="I2241" s="2">
        <v>5</v>
      </c>
      <c r="J2241" s="2">
        <v>32551</v>
      </c>
      <c r="K2241" s="2">
        <v>24213</v>
      </c>
      <c r="L2241" s="2">
        <v>6</v>
      </c>
      <c r="M2241" t="str">
        <f>IF(Revv_bike_sales_data[[#This Row],[delivery_days]]&lt;=7, "Yes", "No")</f>
        <v>Yes</v>
      </c>
      <c r="N2241" t="s">
        <v>16</v>
      </c>
      <c r="O2241" s="2">
        <v>8338</v>
      </c>
    </row>
    <row r="2242" spans="1:15" x14ac:dyDescent="0.3">
      <c r="A2242" s="2">
        <v>2232</v>
      </c>
      <c r="B2242" s="1">
        <v>45019.958333333336</v>
      </c>
      <c r="C2242" s="1" t="str">
        <f t="shared" si="68"/>
        <v>04-2023</v>
      </c>
      <c r="D2242" s="2">
        <f t="shared" si="69"/>
        <v>14</v>
      </c>
      <c r="E2242" t="s">
        <v>13</v>
      </c>
      <c r="F2242" t="s">
        <v>23</v>
      </c>
      <c r="G2242" t="s">
        <v>19</v>
      </c>
      <c r="H2242" s="2">
        <v>9244</v>
      </c>
      <c r="I2242" s="2">
        <v>1</v>
      </c>
      <c r="J2242" s="2">
        <v>125972</v>
      </c>
      <c r="K2242" s="2">
        <v>136291</v>
      </c>
      <c r="L2242" s="2">
        <v>9</v>
      </c>
      <c r="M2242" t="str">
        <f>IF(Revv_bike_sales_data[[#This Row],[delivery_days]]&lt;=7, "Yes", "No")</f>
        <v>No</v>
      </c>
      <c r="N2242" t="s">
        <v>16</v>
      </c>
      <c r="O2242" s="2">
        <v>-10319</v>
      </c>
    </row>
    <row r="2243" spans="1:15" x14ac:dyDescent="0.3">
      <c r="A2243" s="2">
        <v>2233</v>
      </c>
      <c r="B2243" s="1">
        <v>45020</v>
      </c>
      <c r="C2243" s="1" t="str">
        <f t="shared" si="68"/>
        <v>04-2023</v>
      </c>
      <c r="D2243" s="2">
        <f t="shared" si="69"/>
        <v>14</v>
      </c>
      <c r="E2243" t="s">
        <v>17</v>
      </c>
      <c r="F2243" t="s">
        <v>14</v>
      </c>
      <c r="G2243" t="s">
        <v>15</v>
      </c>
      <c r="H2243" s="2">
        <v>25256</v>
      </c>
      <c r="I2243" s="2">
        <v>5</v>
      </c>
      <c r="J2243" s="2">
        <v>144623</v>
      </c>
      <c r="K2243" s="2">
        <v>128741</v>
      </c>
      <c r="L2243" s="2">
        <v>9</v>
      </c>
      <c r="M2243" t="str">
        <f>IF(Revv_bike_sales_data[[#This Row],[delivery_days]]&lt;=7, "Yes", "No")</f>
        <v>No</v>
      </c>
      <c r="N2243" t="s">
        <v>16</v>
      </c>
      <c r="O2243" s="2">
        <v>15882</v>
      </c>
    </row>
    <row r="2244" spans="1:15" x14ac:dyDescent="0.3">
      <c r="A2244" s="2">
        <v>2234</v>
      </c>
      <c r="B2244" s="1">
        <v>45020.041666666664</v>
      </c>
      <c r="C2244" s="1" t="str">
        <f t="shared" si="68"/>
        <v>04-2023</v>
      </c>
      <c r="D2244" s="2">
        <f t="shared" si="69"/>
        <v>14</v>
      </c>
      <c r="E2244" t="s">
        <v>22</v>
      </c>
      <c r="F2244" t="s">
        <v>14</v>
      </c>
      <c r="G2244" t="s">
        <v>19</v>
      </c>
      <c r="H2244" s="2">
        <v>62096</v>
      </c>
      <c r="I2244" s="2">
        <v>8</v>
      </c>
      <c r="J2244" s="2">
        <v>138216</v>
      </c>
      <c r="K2244" s="2">
        <v>138313</v>
      </c>
      <c r="L2244" s="2">
        <v>8</v>
      </c>
      <c r="M2244" t="str">
        <f>IF(Revv_bike_sales_data[[#This Row],[delivery_days]]&lt;=7, "Yes", "No")</f>
        <v>No</v>
      </c>
      <c r="N2244" t="s">
        <v>24</v>
      </c>
      <c r="O2244" s="2">
        <v>-97</v>
      </c>
    </row>
    <row r="2245" spans="1:15" x14ac:dyDescent="0.3">
      <c r="A2245" s="2">
        <v>2235</v>
      </c>
      <c r="B2245" s="1">
        <v>45020.083333333336</v>
      </c>
      <c r="C2245" s="1" t="str">
        <f t="shared" si="68"/>
        <v>04-2023</v>
      </c>
      <c r="D2245" s="2">
        <f t="shared" si="69"/>
        <v>14</v>
      </c>
      <c r="E2245" t="s">
        <v>13</v>
      </c>
      <c r="F2245" t="s">
        <v>23</v>
      </c>
      <c r="G2245" t="s">
        <v>21</v>
      </c>
      <c r="H2245" s="2">
        <v>83897</v>
      </c>
      <c r="I2245" s="2">
        <v>2</v>
      </c>
      <c r="J2245" s="2">
        <v>92782</v>
      </c>
      <c r="K2245" s="2">
        <v>16403</v>
      </c>
      <c r="L2245" s="2">
        <v>1</v>
      </c>
      <c r="M2245" t="str">
        <f>IF(Revv_bike_sales_data[[#This Row],[delivery_days]]&lt;=7, "Yes", "No")</f>
        <v>Yes</v>
      </c>
      <c r="N2245" t="s">
        <v>24</v>
      </c>
      <c r="O2245" s="2">
        <v>76379</v>
      </c>
    </row>
    <row r="2246" spans="1:15" x14ac:dyDescent="0.3">
      <c r="A2246" s="2">
        <v>2236</v>
      </c>
      <c r="B2246" s="1">
        <v>45020.125</v>
      </c>
      <c r="C2246" s="1" t="str">
        <f t="shared" si="68"/>
        <v>04-2023</v>
      </c>
      <c r="D2246" s="2">
        <f t="shared" si="69"/>
        <v>14</v>
      </c>
      <c r="E2246" t="s">
        <v>22</v>
      </c>
      <c r="F2246" t="s">
        <v>14</v>
      </c>
      <c r="G2246" t="s">
        <v>20</v>
      </c>
      <c r="H2246" s="2">
        <v>25646</v>
      </c>
      <c r="I2246" s="2">
        <v>8</v>
      </c>
      <c r="J2246" s="2">
        <v>90391</v>
      </c>
      <c r="K2246" s="2">
        <v>71971</v>
      </c>
      <c r="L2246" s="2">
        <v>6</v>
      </c>
      <c r="M2246" t="str">
        <f>IF(Revv_bike_sales_data[[#This Row],[delivery_days]]&lt;=7, "Yes", "No")</f>
        <v>Yes</v>
      </c>
      <c r="N2246" t="s">
        <v>16</v>
      </c>
      <c r="O2246" s="2">
        <v>18420</v>
      </c>
    </row>
    <row r="2247" spans="1:15" x14ac:dyDescent="0.3">
      <c r="A2247" s="2">
        <v>2237</v>
      </c>
      <c r="B2247" s="1">
        <v>45020.166666666664</v>
      </c>
      <c r="C2247" s="1" t="str">
        <f t="shared" si="68"/>
        <v>04-2023</v>
      </c>
      <c r="D2247" s="2">
        <f t="shared" si="69"/>
        <v>14</v>
      </c>
      <c r="E2247" t="s">
        <v>13</v>
      </c>
      <c r="F2247" t="s">
        <v>14</v>
      </c>
      <c r="G2247" t="s">
        <v>21</v>
      </c>
      <c r="H2247" s="2">
        <v>55532</v>
      </c>
      <c r="I2247" s="2">
        <v>1</v>
      </c>
      <c r="J2247" s="2">
        <v>129957</v>
      </c>
      <c r="K2247" s="2">
        <v>133199</v>
      </c>
      <c r="L2247" s="2">
        <v>4</v>
      </c>
      <c r="M2247" t="str">
        <f>IF(Revv_bike_sales_data[[#This Row],[delivery_days]]&lt;=7, "Yes", "No")</f>
        <v>Yes</v>
      </c>
      <c r="N2247" t="s">
        <v>16</v>
      </c>
      <c r="O2247" s="2">
        <v>-3242</v>
      </c>
    </row>
    <row r="2248" spans="1:15" x14ac:dyDescent="0.3">
      <c r="A2248" s="2">
        <v>2238</v>
      </c>
      <c r="B2248" s="1">
        <v>45020.208333333336</v>
      </c>
      <c r="C2248" s="1" t="str">
        <f t="shared" si="68"/>
        <v>04-2023</v>
      </c>
      <c r="D2248" s="2">
        <f t="shared" si="69"/>
        <v>14</v>
      </c>
      <c r="E2248" t="s">
        <v>13</v>
      </c>
      <c r="F2248" t="s">
        <v>14</v>
      </c>
      <c r="G2248" t="s">
        <v>20</v>
      </c>
      <c r="H2248" s="2">
        <v>43187</v>
      </c>
      <c r="I2248" s="2">
        <v>4</v>
      </c>
      <c r="J2248" s="2">
        <v>148546</v>
      </c>
      <c r="K2248" s="2">
        <v>132623</v>
      </c>
      <c r="L2248" s="2">
        <v>4</v>
      </c>
      <c r="M2248" t="str">
        <f>IF(Revv_bike_sales_data[[#This Row],[delivery_days]]&lt;=7, "Yes", "No")</f>
        <v>Yes</v>
      </c>
      <c r="N2248" t="s">
        <v>16</v>
      </c>
      <c r="O2248" s="2">
        <v>15923</v>
      </c>
    </row>
    <row r="2249" spans="1:15" x14ac:dyDescent="0.3">
      <c r="A2249" s="2">
        <v>2239</v>
      </c>
      <c r="B2249" s="1">
        <v>45020.25</v>
      </c>
      <c r="C2249" s="1" t="str">
        <f t="shared" si="68"/>
        <v>04-2023</v>
      </c>
      <c r="D2249" s="2">
        <f t="shared" si="69"/>
        <v>14</v>
      </c>
      <c r="E2249" t="s">
        <v>22</v>
      </c>
      <c r="F2249" t="s">
        <v>14</v>
      </c>
      <c r="G2249" t="s">
        <v>19</v>
      </c>
      <c r="H2249" s="2">
        <v>46603</v>
      </c>
      <c r="I2249" s="2">
        <v>1</v>
      </c>
      <c r="J2249" s="2">
        <v>150006</v>
      </c>
      <c r="K2249" s="2">
        <v>69030</v>
      </c>
      <c r="L2249" s="2">
        <v>3</v>
      </c>
      <c r="M2249" t="str">
        <f>IF(Revv_bike_sales_data[[#This Row],[delivery_days]]&lt;=7, "Yes", "No")</f>
        <v>Yes</v>
      </c>
      <c r="N2249" t="s">
        <v>16</v>
      </c>
      <c r="O2249" s="2">
        <v>80976</v>
      </c>
    </row>
    <row r="2250" spans="1:15" x14ac:dyDescent="0.3">
      <c r="A2250" s="2">
        <v>2240</v>
      </c>
      <c r="B2250" s="1">
        <v>45020.291666666664</v>
      </c>
      <c r="C2250" s="1" t="str">
        <f t="shared" si="68"/>
        <v>04-2023</v>
      </c>
      <c r="D2250" s="2">
        <f t="shared" si="69"/>
        <v>14</v>
      </c>
      <c r="E2250" t="s">
        <v>18</v>
      </c>
      <c r="F2250" t="s">
        <v>14</v>
      </c>
      <c r="G2250" t="s">
        <v>19</v>
      </c>
      <c r="H2250" s="2">
        <v>22476</v>
      </c>
      <c r="I2250" s="2">
        <v>6</v>
      </c>
      <c r="J2250" s="2">
        <v>88411</v>
      </c>
      <c r="K2250" s="2">
        <v>88042</v>
      </c>
      <c r="L2250" s="2">
        <v>12</v>
      </c>
      <c r="M2250" t="str">
        <f>IF(Revv_bike_sales_data[[#This Row],[delivery_days]]&lt;=7, "Yes", "No")</f>
        <v>No</v>
      </c>
      <c r="N2250" t="s">
        <v>24</v>
      </c>
      <c r="O2250" s="2">
        <v>369</v>
      </c>
    </row>
    <row r="2251" spans="1:15" x14ac:dyDescent="0.3">
      <c r="A2251" s="2">
        <v>2241</v>
      </c>
      <c r="B2251" s="1">
        <v>45020.333333333336</v>
      </c>
      <c r="C2251" s="1" t="str">
        <f t="shared" ref="C2251:C2314" si="70">TEXT(B2251,"mm-yyyy")</f>
        <v>04-2023</v>
      </c>
      <c r="D2251" s="2">
        <f t="shared" ref="D2251:D2314" si="71">WEEKNUM(B2251)</f>
        <v>14</v>
      </c>
      <c r="E2251" t="s">
        <v>25</v>
      </c>
      <c r="F2251" t="s">
        <v>14</v>
      </c>
      <c r="G2251" t="s">
        <v>15</v>
      </c>
      <c r="H2251" s="2">
        <v>63363</v>
      </c>
      <c r="I2251" s="2">
        <v>9</v>
      </c>
      <c r="J2251" s="2">
        <v>98185</v>
      </c>
      <c r="K2251" s="2">
        <v>110195</v>
      </c>
      <c r="L2251" s="2">
        <v>9</v>
      </c>
      <c r="M2251" t="str">
        <f>IF(Revv_bike_sales_data[[#This Row],[delivery_days]]&lt;=7, "Yes", "No")</f>
        <v>No</v>
      </c>
      <c r="N2251" t="s">
        <v>16</v>
      </c>
      <c r="O2251" s="2">
        <v>-12010</v>
      </c>
    </row>
    <row r="2252" spans="1:15" x14ac:dyDescent="0.3">
      <c r="A2252" s="2">
        <v>2242</v>
      </c>
      <c r="B2252" s="1">
        <v>45020.375</v>
      </c>
      <c r="C2252" s="1" t="str">
        <f t="shared" si="70"/>
        <v>04-2023</v>
      </c>
      <c r="D2252" s="2">
        <f t="shared" si="71"/>
        <v>14</v>
      </c>
      <c r="E2252" t="s">
        <v>17</v>
      </c>
      <c r="F2252" t="s">
        <v>14</v>
      </c>
      <c r="G2252" t="s">
        <v>19</v>
      </c>
      <c r="H2252" s="2">
        <v>1091</v>
      </c>
      <c r="I2252" s="2">
        <v>8</v>
      </c>
      <c r="J2252" s="2">
        <v>156960</v>
      </c>
      <c r="K2252" s="2">
        <v>22591</v>
      </c>
      <c r="L2252" s="2">
        <v>2</v>
      </c>
      <c r="M2252" t="str">
        <f>IF(Revv_bike_sales_data[[#This Row],[delivery_days]]&lt;=7, "Yes", "No")</f>
        <v>Yes</v>
      </c>
      <c r="N2252" t="s">
        <v>16</v>
      </c>
      <c r="O2252" s="2">
        <v>134369</v>
      </c>
    </row>
    <row r="2253" spans="1:15" x14ac:dyDescent="0.3">
      <c r="A2253" s="2">
        <v>2243</v>
      </c>
      <c r="B2253" s="1">
        <v>45020.416666666664</v>
      </c>
      <c r="C2253" s="1" t="str">
        <f t="shared" si="70"/>
        <v>04-2023</v>
      </c>
      <c r="D2253" s="2">
        <f t="shared" si="71"/>
        <v>14</v>
      </c>
      <c r="E2253" t="s">
        <v>13</v>
      </c>
      <c r="F2253" t="s">
        <v>14</v>
      </c>
      <c r="G2253" t="s">
        <v>19</v>
      </c>
      <c r="H2253" s="2">
        <v>6777</v>
      </c>
      <c r="I2253" s="2">
        <v>6</v>
      </c>
      <c r="J2253" s="2">
        <v>152574</v>
      </c>
      <c r="K2253" s="2">
        <v>27996</v>
      </c>
      <c r="L2253" s="2">
        <v>1</v>
      </c>
      <c r="M2253" t="str">
        <f>IF(Revv_bike_sales_data[[#This Row],[delivery_days]]&lt;=7, "Yes", "No")</f>
        <v>Yes</v>
      </c>
      <c r="N2253" t="s">
        <v>16</v>
      </c>
      <c r="O2253" s="2">
        <v>124578</v>
      </c>
    </row>
    <row r="2254" spans="1:15" x14ac:dyDescent="0.3">
      <c r="A2254" s="2">
        <v>2244</v>
      </c>
      <c r="B2254" s="1">
        <v>45020.458333333336</v>
      </c>
      <c r="C2254" s="1" t="str">
        <f t="shared" si="70"/>
        <v>04-2023</v>
      </c>
      <c r="D2254" s="2">
        <f t="shared" si="71"/>
        <v>14</v>
      </c>
      <c r="E2254" t="s">
        <v>17</v>
      </c>
      <c r="F2254" t="s">
        <v>23</v>
      </c>
      <c r="G2254" t="s">
        <v>15</v>
      </c>
      <c r="H2254" s="2">
        <v>62360</v>
      </c>
      <c r="I2254" s="2">
        <v>4</v>
      </c>
      <c r="J2254" s="2">
        <v>54424</v>
      </c>
      <c r="K2254" s="2">
        <v>118364</v>
      </c>
      <c r="L2254" s="2">
        <v>14</v>
      </c>
      <c r="M2254" t="str">
        <f>IF(Revv_bike_sales_data[[#This Row],[delivery_days]]&lt;=7, "Yes", "No")</f>
        <v>No</v>
      </c>
      <c r="N2254" t="s">
        <v>16</v>
      </c>
      <c r="O2254" s="2">
        <v>-63940</v>
      </c>
    </row>
    <row r="2255" spans="1:15" x14ac:dyDescent="0.3">
      <c r="A2255" s="2">
        <v>2245</v>
      </c>
      <c r="B2255" s="1">
        <v>45020.5</v>
      </c>
      <c r="C2255" s="1" t="str">
        <f t="shared" si="70"/>
        <v>04-2023</v>
      </c>
      <c r="D2255" s="2">
        <f t="shared" si="71"/>
        <v>14</v>
      </c>
      <c r="E2255" t="s">
        <v>22</v>
      </c>
      <c r="F2255" t="s">
        <v>14</v>
      </c>
      <c r="G2255" t="s">
        <v>15</v>
      </c>
      <c r="H2255" s="2">
        <v>2760</v>
      </c>
      <c r="I2255" s="2">
        <v>3</v>
      </c>
      <c r="J2255" s="2">
        <v>66559</v>
      </c>
      <c r="K2255" s="2">
        <v>67485</v>
      </c>
      <c r="L2255" s="2">
        <v>10</v>
      </c>
      <c r="M2255" t="str">
        <f>IF(Revv_bike_sales_data[[#This Row],[delivery_days]]&lt;=7, "Yes", "No")</f>
        <v>No</v>
      </c>
      <c r="N2255" t="s">
        <v>16</v>
      </c>
      <c r="O2255" s="2">
        <v>-926</v>
      </c>
    </row>
    <row r="2256" spans="1:15" x14ac:dyDescent="0.3">
      <c r="A2256" s="2">
        <v>2246</v>
      </c>
      <c r="B2256" s="1">
        <v>45020.541666666664</v>
      </c>
      <c r="C2256" s="1" t="str">
        <f t="shared" si="70"/>
        <v>04-2023</v>
      </c>
      <c r="D2256" s="2">
        <f t="shared" si="71"/>
        <v>14</v>
      </c>
      <c r="E2256" t="s">
        <v>17</v>
      </c>
      <c r="F2256" t="s">
        <v>23</v>
      </c>
      <c r="G2256" t="s">
        <v>20</v>
      </c>
      <c r="H2256" s="2">
        <v>66383</v>
      </c>
      <c r="I2256" s="2">
        <v>3</v>
      </c>
      <c r="J2256" s="2">
        <v>36075</v>
      </c>
      <c r="K2256" s="2">
        <v>62830</v>
      </c>
      <c r="L2256" s="2">
        <v>3</v>
      </c>
      <c r="M2256" t="str">
        <f>IF(Revv_bike_sales_data[[#This Row],[delivery_days]]&lt;=7, "Yes", "No")</f>
        <v>Yes</v>
      </c>
      <c r="N2256" t="s">
        <v>16</v>
      </c>
      <c r="O2256" s="2">
        <v>-26755</v>
      </c>
    </row>
    <row r="2257" spans="1:15" x14ac:dyDescent="0.3">
      <c r="A2257" s="2">
        <v>2247</v>
      </c>
      <c r="B2257" s="1">
        <v>45020.583333333336</v>
      </c>
      <c r="C2257" s="1" t="str">
        <f t="shared" si="70"/>
        <v>04-2023</v>
      </c>
      <c r="D2257" s="2">
        <f t="shared" si="71"/>
        <v>14</v>
      </c>
      <c r="E2257" t="s">
        <v>22</v>
      </c>
      <c r="F2257" t="s">
        <v>23</v>
      </c>
      <c r="G2257" t="s">
        <v>19</v>
      </c>
      <c r="H2257" s="2">
        <v>25241</v>
      </c>
      <c r="I2257" s="2">
        <v>9</v>
      </c>
      <c r="J2257" s="2">
        <v>178771</v>
      </c>
      <c r="K2257" s="2">
        <v>49370</v>
      </c>
      <c r="L2257" s="2">
        <v>13</v>
      </c>
      <c r="M2257" t="str">
        <f>IF(Revv_bike_sales_data[[#This Row],[delivery_days]]&lt;=7, "Yes", "No")</f>
        <v>No</v>
      </c>
      <c r="N2257" t="s">
        <v>16</v>
      </c>
      <c r="O2257" s="2">
        <v>129401</v>
      </c>
    </row>
    <row r="2258" spans="1:15" x14ac:dyDescent="0.3">
      <c r="A2258" s="2">
        <v>2248</v>
      </c>
      <c r="B2258" s="1">
        <v>45020.625</v>
      </c>
      <c r="C2258" s="1" t="str">
        <f t="shared" si="70"/>
        <v>04-2023</v>
      </c>
      <c r="D2258" s="2">
        <f t="shared" si="71"/>
        <v>14</v>
      </c>
      <c r="E2258" t="s">
        <v>17</v>
      </c>
      <c r="F2258" t="s">
        <v>14</v>
      </c>
      <c r="G2258" t="s">
        <v>20</v>
      </c>
      <c r="H2258" s="2">
        <v>37711</v>
      </c>
      <c r="I2258" s="2">
        <v>7</v>
      </c>
      <c r="J2258" s="2">
        <v>34950</v>
      </c>
      <c r="K2258" s="2">
        <v>72572</v>
      </c>
      <c r="L2258" s="2">
        <v>4</v>
      </c>
      <c r="M2258" t="str">
        <f>IF(Revv_bike_sales_data[[#This Row],[delivery_days]]&lt;=7, "Yes", "No")</f>
        <v>Yes</v>
      </c>
      <c r="N2258" t="s">
        <v>16</v>
      </c>
      <c r="O2258" s="2">
        <v>-37622</v>
      </c>
    </row>
    <row r="2259" spans="1:15" x14ac:dyDescent="0.3">
      <c r="A2259" s="2">
        <v>2249</v>
      </c>
      <c r="B2259" s="1">
        <v>45020.666666666664</v>
      </c>
      <c r="C2259" s="1" t="str">
        <f t="shared" si="70"/>
        <v>04-2023</v>
      </c>
      <c r="D2259" s="2">
        <f t="shared" si="71"/>
        <v>14</v>
      </c>
      <c r="E2259" t="s">
        <v>25</v>
      </c>
      <c r="F2259" t="s">
        <v>14</v>
      </c>
      <c r="G2259" t="s">
        <v>20</v>
      </c>
      <c r="H2259" s="2">
        <v>42042</v>
      </c>
      <c r="I2259" s="2">
        <v>9</v>
      </c>
      <c r="J2259" s="2">
        <v>161485</v>
      </c>
      <c r="K2259" s="2">
        <v>94008</v>
      </c>
      <c r="L2259" s="2">
        <v>4</v>
      </c>
      <c r="M2259" t="str">
        <f>IF(Revv_bike_sales_data[[#This Row],[delivery_days]]&lt;=7, "Yes", "No")</f>
        <v>Yes</v>
      </c>
      <c r="N2259" t="s">
        <v>16</v>
      </c>
      <c r="O2259" s="2">
        <v>67477</v>
      </c>
    </row>
    <row r="2260" spans="1:15" x14ac:dyDescent="0.3">
      <c r="A2260" s="2">
        <v>2250</v>
      </c>
      <c r="B2260" s="1">
        <v>45020.708333333336</v>
      </c>
      <c r="C2260" s="1" t="str">
        <f t="shared" si="70"/>
        <v>04-2023</v>
      </c>
      <c r="D2260" s="2">
        <f t="shared" si="71"/>
        <v>14</v>
      </c>
      <c r="E2260" t="s">
        <v>25</v>
      </c>
      <c r="F2260" t="s">
        <v>14</v>
      </c>
      <c r="G2260" t="s">
        <v>21</v>
      </c>
      <c r="H2260" s="2">
        <v>7369</v>
      </c>
      <c r="I2260" s="2">
        <v>9</v>
      </c>
      <c r="J2260" s="2">
        <v>64305</v>
      </c>
      <c r="K2260" s="2">
        <v>44098</v>
      </c>
      <c r="L2260" s="2">
        <v>6</v>
      </c>
      <c r="M2260" t="str">
        <f>IF(Revv_bike_sales_data[[#This Row],[delivery_days]]&lt;=7, "Yes", "No")</f>
        <v>Yes</v>
      </c>
      <c r="N2260" t="s">
        <v>16</v>
      </c>
      <c r="O2260" s="2">
        <v>20207</v>
      </c>
    </row>
    <row r="2261" spans="1:15" x14ac:dyDescent="0.3">
      <c r="A2261" s="2">
        <v>2251</v>
      </c>
      <c r="B2261" s="1">
        <v>45020.75</v>
      </c>
      <c r="C2261" s="1" t="str">
        <f t="shared" si="70"/>
        <v>04-2023</v>
      </c>
      <c r="D2261" s="2">
        <f t="shared" si="71"/>
        <v>14</v>
      </c>
      <c r="E2261" t="s">
        <v>25</v>
      </c>
      <c r="F2261" t="s">
        <v>23</v>
      </c>
      <c r="G2261" t="s">
        <v>19</v>
      </c>
      <c r="H2261" s="2">
        <v>94118</v>
      </c>
      <c r="I2261" s="2">
        <v>9</v>
      </c>
      <c r="J2261" s="2">
        <v>28569</v>
      </c>
      <c r="K2261" s="2">
        <v>76561</v>
      </c>
      <c r="L2261" s="2">
        <v>1</v>
      </c>
      <c r="M2261" t="str">
        <f>IF(Revv_bike_sales_data[[#This Row],[delivery_days]]&lt;=7, "Yes", "No")</f>
        <v>Yes</v>
      </c>
      <c r="N2261" t="s">
        <v>16</v>
      </c>
      <c r="O2261" s="2">
        <v>-47992</v>
      </c>
    </row>
    <row r="2262" spans="1:15" x14ac:dyDescent="0.3">
      <c r="A2262" s="2">
        <v>2252</v>
      </c>
      <c r="B2262" s="1">
        <v>45020.791666666664</v>
      </c>
      <c r="C2262" s="1" t="str">
        <f t="shared" si="70"/>
        <v>04-2023</v>
      </c>
      <c r="D2262" s="2">
        <f t="shared" si="71"/>
        <v>14</v>
      </c>
      <c r="E2262" t="s">
        <v>25</v>
      </c>
      <c r="F2262" t="s">
        <v>14</v>
      </c>
      <c r="G2262" t="s">
        <v>19</v>
      </c>
      <c r="H2262" s="2">
        <v>88116</v>
      </c>
      <c r="I2262" s="2">
        <v>9</v>
      </c>
      <c r="J2262" s="2">
        <v>91778</v>
      </c>
      <c r="K2262" s="2">
        <v>17196</v>
      </c>
      <c r="L2262" s="2">
        <v>1</v>
      </c>
      <c r="M2262" t="str">
        <f>IF(Revv_bike_sales_data[[#This Row],[delivery_days]]&lt;=7, "Yes", "No")</f>
        <v>Yes</v>
      </c>
      <c r="N2262" t="s">
        <v>16</v>
      </c>
      <c r="O2262" s="2">
        <v>74582</v>
      </c>
    </row>
    <row r="2263" spans="1:15" x14ac:dyDescent="0.3">
      <c r="A2263" s="2">
        <v>2253</v>
      </c>
      <c r="B2263" s="1">
        <v>45020.833333333336</v>
      </c>
      <c r="C2263" s="1" t="str">
        <f t="shared" si="70"/>
        <v>04-2023</v>
      </c>
      <c r="D2263" s="2">
        <f t="shared" si="71"/>
        <v>14</v>
      </c>
      <c r="E2263" t="s">
        <v>25</v>
      </c>
      <c r="F2263" t="s">
        <v>14</v>
      </c>
      <c r="G2263" t="s">
        <v>21</v>
      </c>
      <c r="H2263" s="2">
        <v>65232</v>
      </c>
      <c r="I2263" s="2">
        <v>9</v>
      </c>
      <c r="J2263" s="2">
        <v>127633</v>
      </c>
      <c r="K2263" s="2">
        <v>26091</v>
      </c>
      <c r="L2263" s="2">
        <v>2</v>
      </c>
      <c r="M2263" t="str">
        <f>IF(Revv_bike_sales_data[[#This Row],[delivery_days]]&lt;=7, "Yes", "No")</f>
        <v>Yes</v>
      </c>
      <c r="N2263" t="s">
        <v>16</v>
      </c>
      <c r="O2263" s="2">
        <v>101542</v>
      </c>
    </row>
    <row r="2264" spans="1:15" x14ac:dyDescent="0.3">
      <c r="A2264" s="2">
        <v>2254</v>
      </c>
      <c r="B2264" s="1">
        <v>45020.875</v>
      </c>
      <c r="C2264" s="1" t="str">
        <f t="shared" si="70"/>
        <v>04-2023</v>
      </c>
      <c r="D2264" s="2">
        <f t="shared" si="71"/>
        <v>14</v>
      </c>
      <c r="E2264" t="s">
        <v>25</v>
      </c>
      <c r="F2264" t="s">
        <v>14</v>
      </c>
      <c r="G2264" t="s">
        <v>20</v>
      </c>
      <c r="H2264" s="2">
        <v>95015</v>
      </c>
      <c r="I2264" s="2">
        <v>0</v>
      </c>
      <c r="J2264" s="2">
        <v>55085</v>
      </c>
      <c r="K2264" s="2">
        <v>95576</v>
      </c>
      <c r="L2264" s="2">
        <v>4</v>
      </c>
      <c r="M2264" t="str">
        <f>IF(Revv_bike_sales_data[[#This Row],[delivery_days]]&lt;=7, "Yes", "No")</f>
        <v>Yes</v>
      </c>
      <c r="N2264" t="s">
        <v>16</v>
      </c>
      <c r="O2264" s="2">
        <v>-40491</v>
      </c>
    </row>
    <row r="2265" spans="1:15" x14ac:dyDescent="0.3">
      <c r="A2265" s="2">
        <v>2255</v>
      </c>
      <c r="B2265" s="1">
        <v>45020.916666666664</v>
      </c>
      <c r="C2265" s="1" t="str">
        <f t="shared" si="70"/>
        <v>04-2023</v>
      </c>
      <c r="D2265" s="2">
        <f t="shared" si="71"/>
        <v>14</v>
      </c>
      <c r="E2265" t="s">
        <v>22</v>
      </c>
      <c r="F2265" t="s">
        <v>14</v>
      </c>
      <c r="G2265" t="s">
        <v>19</v>
      </c>
      <c r="H2265" s="2">
        <v>19922</v>
      </c>
      <c r="I2265" s="2">
        <v>4</v>
      </c>
      <c r="J2265" s="2">
        <v>121307</v>
      </c>
      <c r="K2265" s="2">
        <v>80254</v>
      </c>
      <c r="L2265" s="2">
        <v>7</v>
      </c>
      <c r="M2265" t="str">
        <f>IF(Revv_bike_sales_data[[#This Row],[delivery_days]]&lt;=7, "Yes", "No")</f>
        <v>Yes</v>
      </c>
      <c r="N2265" t="s">
        <v>16</v>
      </c>
      <c r="O2265" s="2">
        <v>41053</v>
      </c>
    </row>
    <row r="2266" spans="1:15" x14ac:dyDescent="0.3">
      <c r="A2266" s="2">
        <v>2256</v>
      </c>
      <c r="B2266" s="1">
        <v>45020.958333333336</v>
      </c>
      <c r="C2266" s="1" t="str">
        <f t="shared" si="70"/>
        <v>04-2023</v>
      </c>
      <c r="D2266" s="2">
        <f t="shared" si="71"/>
        <v>14</v>
      </c>
      <c r="E2266" t="s">
        <v>13</v>
      </c>
      <c r="F2266" t="s">
        <v>14</v>
      </c>
      <c r="G2266" t="s">
        <v>20</v>
      </c>
      <c r="H2266" s="2">
        <v>36113</v>
      </c>
      <c r="I2266" s="2">
        <v>1</v>
      </c>
      <c r="J2266" s="2">
        <v>117174</v>
      </c>
      <c r="K2266" s="2">
        <v>64262</v>
      </c>
      <c r="L2266" s="2">
        <v>6</v>
      </c>
      <c r="M2266" t="str">
        <f>IF(Revv_bike_sales_data[[#This Row],[delivery_days]]&lt;=7, "Yes", "No")</f>
        <v>Yes</v>
      </c>
      <c r="N2266" t="s">
        <v>16</v>
      </c>
      <c r="O2266" s="2">
        <v>52912</v>
      </c>
    </row>
    <row r="2267" spans="1:15" x14ac:dyDescent="0.3">
      <c r="A2267" s="2">
        <v>2257</v>
      </c>
      <c r="B2267" s="1">
        <v>45021</v>
      </c>
      <c r="C2267" s="1" t="str">
        <f t="shared" si="70"/>
        <v>04-2023</v>
      </c>
      <c r="D2267" s="2">
        <f t="shared" si="71"/>
        <v>14</v>
      </c>
      <c r="E2267" t="s">
        <v>17</v>
      </c>
      <c r="F2267" t="s">
        <v>14</v>
      </c>
      <c r="G2267" t="s">
        <v>21</v>
      </c>
      <c r="H2267" s="2">
        <v>57516</v>
      </c>
      <c r="I2267" s="2">
        <v>8</v>
      </c>
      <c r="J2267" s="2">
        <v>61163</v>
      </c>
      <c r="K2267" s="2">
        <v>129320</v>
      </c>
      <c r="L2267" s="2">
        <v>11</v>
      </c>
      <c r="M2267" t="str">
        <f>IF(Revv_bike_sales_data[[#This Row],[delivery_days]]&lt;=7, "Yes", "No")</f>
        <v>No</v>
      </c>
      <c r="N2267" t="s">
        <v>16</v>
      </c>
      <c r="O2267" s="2">
        <v>-68157</v>
      </c>
    </row>
    <row r="2268" spans="1:15" x14ac:dyDescent="0.3">
      <c r="A2268" s="2">
        <v>2258</v>
      </c>
      <c r="B2268" s="1">
        <v>45021.041666666664</v>
      </c>
      <c r="C2268" s="1" t="str">
        <f t="shared" si="70"/>
        <v>04-2023</v>
      </c>
      <c r="D2268" s="2">
        <f t="shared" si="71"/>
        <v>14</v>
      </c>
      <c r="E2268" t="s">
        <v>25</v>
      </c>
      <c r="F2268" t="s">
        <v>14</v>
      </c>
      <c r="G2268" t="s">
        <v>15</v>
      </c>
      <c r="H2268" s="2">
        <v>60610</v>
      </c>
      <c r="I2268" s="2">
        <v>6</v>
      </c>
      <c r="J2268" s="2">
        <v>74592</v>
      </c>
      <c r="K2268" s="2">
        <v>139124</v>
      </c>
      <c r="L2268" s="2">
        <v>9</v>
      </c>
      <c r="M2268" t="str">
        <f>IF(Revv_bike_sales_data[[#This Row],[delivery_days]]&lt;=7, "Yes", "No")</f>
        <v>No</v>
      </c>
      <c r="N2268" t="s">
        <v>16</v>
      </c>
      <c r="O2268" s="2">
        <v>-64532</v>
      </c>
    </row>
    <row r="2269" spans="1:15" x14ac:dyDescent="0.3">
      <c r="A2269" s="2">
        <v>2259</v>
      </c>
      <c r="B2269" s="1">
        <v>45021.083333333336</v>
      </c>
      <c r="C2269" s="1" t="str">
        <f t="shared" si="70"/>
        <v>04-2023</v>
      </c>
      <c r="D2269" s="2">
        <f t="shared" si="71"/>
        <v>14</v>
      </c>
      <c r="E2269" t="s">
        <v>22</v>
      </c>
      <c r="F2269" t="s">
        <v>14</v>
      </c>
      <c r="G2269" t="s">
        <v>20</v>
      </c>
      <c r="H2269" s="2">
        <v>89029</v>
      </c>
      <c r="I2269" s="2">
        <v>9</v>
      </c>
      <c r="J2269" s="2">
        <v>142431</v>
      </c>
      <c r="K2269" s="2">
        <v>21023</v>
      </c>
      <c r="L2269" s="2">
        <v>7</v>
      </c>
      <c r="M2269" t="str">
        <f>IF(Revv_bike_sales_data[[#This Row],[delivery_days]]&lt;=7, "Yes", "No")</f>
        <v>Yes</v>
      </c>
      <c r="N2269" t="s">
        <v>16</v>
      </c>
      <c r="O2269" s="2">
        <v>121408</v>
      </c>
    </row>
    <row r="2270" spans="1:15" x14ac:dyDescent="0.3">
      <c r="A2270" s="2">
        <v>2260</v>
      </c>
      <c r="B2270" s="1">
        <v>45021.125</v>
      </c>
      <c r="C2270" s="1" t="str">
        <f t="shared" si="70"/>
        <v>04-2023</v>
      </c>
      <c r="D2270" s="2">
        <f t="shared" si="71"/>
        <v>14</v>
      </c>
      <c r="E2270" t="s">
        <v>22</v>
      </c>
      <c r="F2270" t="s">
        <v>23</v>
      </c>
      <c r="G2270" t="s">
        <v>19</v>
      </c>
      <c r="H2270" s="2">
        <v>78422</v>
      </c>
      <c r="I2270" s="2">
        <v>7</v>
      </c>
      <c r="J2270" s="2">
        <v>33039</v>
      </c>
      <c r="K2270" s="2">
        <v>35543</v>
      </c>
      <c r="L2270" s="2">
        <v>12</v>
      </c>
      <c r="M2270" t="str">
        <f>IF(Revv_bike_sales_data[[#This Row],[delivery_days]]&lt;=7, "Yes", "No")</f>
        <v>No</v>
      </c>
      <c r="N2270" t="s">
        <v>16</v>
      </c>
      <c r="O2270" s="2">
        <v>-2504</v>
      </c>
    </row>
    <row r="2271" spans="1:15" x14ac:dyDescent="0.3">
      <c r="A2271" s="2">
        <v>2261</v>
      </c>
      <c r="B2271" s="1">
        <v>45021.166666666664</v>
      </c>
      <c r="C2271" s="1" t="str">
        <f t="shared" si="70"/>
        <v>04-2023</v>
      </c>
      <c r="D2271" s="2">
        <f t="shared" si="71"/>
        <v>14</v>
      </c>
      <c r="E2271" t="s">
        <v>22</v>
      </c>
      <c r="F2271" t="s">
        <v>14</v>
      </c>
      <c r="G2271" t="s">
        <v>15</v>
      </c>
      <c r="H2271" s="2">
        <v>34533</v>
      </c>
      <c r="I2271" s="2">
        <v>5</v>
      </c>
      <c r="J2271" s="2">
        <v>164270</v>
      </c>
      <c r="K2271" s="2">
        <v>75029</v>
      </c>
      <c r="L2271" s="2">
        <v>5</v>
      </c>
      <c r="M2271" t="str">
        <f>IF(Revv_bike_sales_data[[#This Row],[delivery_days]]&lt;=7, "Yes", "No")</f>
        <v>Yes</v>
      </c>
      <c r="N2271" t="s">
        <v>16</v>
      </c>
      <c r="O2271" s="2">
        <v>89241</v>
      </c>
    </row>
    <row r="2272" spans="1:15" x14ac:dyDescent="0.3">
      <c r="A2272" s="2">
        <v>2262</v>
      </c>
      <c r="B2272" s="1">
        <v>45021.208333333336</v>
      </c>
      <c r="C2272" s="1" t="str">
        <f t="shared" si="70"/>
        <v>04-2023</v>
      </c>
      <c r="D2272" s="2">
        <f t="shared" si="71"/>
        <v>14</v>
      </c>
      <c r="E2272" t="s">
        <v>13</v>
      </c>
      <c r="F2272" t="s">
        <v>23</v>
      </c>
      <c r="G2272" t="s">
        <v>20</v>
      </c>
      <c r="H2272" s="2">
        <v>45713</v>
      </c>
      <c r="I2272" s="2">
        <v>8</v>
      </c>
      <c r="J2272" s="2">
        <v>28824</v>
      </c>
      <c r="K2272" s="2">
        <v>108913</v>
      </c>
      <c r="L2272" s="2">
        <v>6</v>
      </c>
      <c r="M2272" t="str">
        <f>IF(Revv_bike_sales_data[[#This Row],[delivery_days]]&lt;=7, "Yes", "No")</f>
        <v>Yes</v>
      </c>
      <c r="N2272" t="s">
        <v>16</v>
      </c>
      <c r="O2272" s="2">
        <v>-80089</v>
      </c>
    </row>
    <row r="2273" spans="1:15" x14ac:dyDescent="0.3">
      <c r="A2273" s="2">
        <v>2263</v>
      </c>
      <c r="B2273" s="1">
        <v>45021.25</v>
      </c>
      <c r="C2273" s="1" t="str">
        <f t="shared" si="70"/>
        <v>04-2023</v>
      </c>
      <c r="D2273" s="2">
        <f t="shared" si="71"/>
        <v>14</v>
      </c>
      <c r="E2273" t="s">
        <v>17</v>
      </c>
      <c r="F2273" t="s">
        <v>14</v>
      </c>
      <c r="G2273" t="s">
        <v>20</v>
      </c>
      <c r="H2273" s="2">
        <v>62493</v>
      </c>
      <c r="I2273" s="2">
        <v>5</v>
      </c>
      <c r="J2273" s="2">
        <v>75420</v>
      </c>
      <c r="K2273" s="2">
        <v>117171</v>
      </c>
      <c r="L2273" s="2">
        <v>10</v>
      </c>
      <c r="M2273" t="str">
        <f>IF(Revv_bike_sales_data[[#This Row],[delivery_days]]&lt;=7, "Yes", "No")</f>
        <v>No</v>
      </c>
      <c r="N2273" t="s">
        <v>16</v>
      </c>
      <c r="O2273" s="2">
        <v>-41751</v>
      </c>
    </row>
    <row r="2274" spans="1:15" x14ac:dyDescent="0.3">
      <c r="A2274" s="2">
        <v>2264</v>
      </c>
      <c r="B2274" s="1">
        <v>45021.291666666664</v>
      </c>
      <c r="C2274" s="1" t="str">
        <f t="shared" si="70"/>
        <v>04-2023</v>
      </c>
      <c r="D2274" s="2">
        <f t="shared" si="71"/>
        <v>14</v>
      </c>
      <c r="E2274" t="s">
        <v>13</v>
      </c>
      <c r="F2274" t="s">
        <v>14</v>
      </c>
      <c r="G2274" t="s">
        <v>15</v>
      </c>
      <c r="H2274" s="2">
        <v>13438</v>
      </c>
      <c r="I2274" s="2">
        <v>6</v>
      </c>
      <c r="J2274" s="2">
        <v>114535</v>
      </c>
      <c r="K2274" s="2">
        <v>57337</v>
      </c>
      <c r="L2274" s="2">
        <v>9</v>
      </c>
      <c r="M2274" t="str">
        <f>IF(Revv_bike_sales_data[[#This Row],[delivery_days]]&lt;=7, "Yes", "No")</f>
        <v>No</v>
      </c>
      <c r="N2274" t="s">
        <v>16</v>
      </c>
      <c r="O2274" s="2">
        <v>57198</v>
      </c>
    </row>
    <row r="2275" spans="1:15" x14ac:dyDescent="0.3">
      <c r="A2275" s="2">
        <v>2265</v>
      </c>
      <c r="B2275" s="1">
        <v>45021.333333333336</v>
      </c>
      <c r="C2275" s="1" t="str">
        <f t="shared" si="70"/>
        <v>04-2023</v>
      </c>
      <c r="D2275" s="2">
        <f t="shared" si="71"/>
        <v>14</v>
      </c>
      <c r="E2275" t="s">
        <v>18</v>
      </c>
      <c r="F2275" t="s">
        <v>14</v>
      </c>
      <c r="G2275" t="s">
        <v>15</v>
      </c>
      <c r="H2275" s="2">
        <v>77195</v>
      </c>
      <c r="I2275" s="2">
        <v>6</v>
      </c>
      <c r="J2275" s="2">
        <v>28436</v>
      </c>
      <c r="K2275" s="2">
        <v>55409</v>
      </c>
      <c r="L2275" s="2">
        <v>1</v>
      </c>
      <c r="M2275" t="str">
        <f>IF(Revv_bike_sales_data[[#This Row],[delivery_days]]&lt;=7, "Yes", "No")</f>
        <v>Yes</v>
      </c>
      <c r="N2275" t="s">
        <v>16</v>
      </c>
      <c r="O2275" s="2">
        <v>-26973</v>
      </c>
    </row>
    <row r="2276" spans="1:15" x14ac:dyDescent="0.3">
      <c r="A2276" s="2">
        <v>2266</v>
      </c>
      <c r="B2276" s="1">
        <v>45021.375</v>
      </c>
      <c r="C2276" s="1" t="str">
        <f t="shared" si="70"/>
        <v>04-2023</v>
      </c>
      <c r="D2276" s="2">
        <f t="shared" si="71"/>
        <v>14</v>
      </c>
      <c r="E2276" t="s">
        <v>22</v>
      </c>
      <c r="F2276" t="s">
        <v>14</v>
      </c>
      <c r="G2276" t="s">
        <v>15</v>
      </c>
      <c r="H2276" s="2">
        <v>2774</v>
      </c>
      <c r="I2276" s="2">
        <v>8</v>
      </c>
      <c r="J2276" s="2">
        <v>118550</v>
      </c>
      <c r="K2276" s="2">
        <v>85540</v>
      </c>
      <c r="L2276" s="2">
        <v>11</v>
      </c>
      <c r="M2276" t="str">
        <f>IF(Revv_bike_sales_data[[#This Row],[delivery_days]]&lt;=7, "Yes", "No")</f>
        <v>No</v>
      </c>
      <c r="N2276" t="s">
        <v>16</v>
      </c>
      <c r="O2276" s="2">
        <v>33010</v>
      </c>
    </row>
    <row r="2277" spans="1:15" x14ac:dyDescent="0.3">
      <c r="A2277" s="2">
        <v>2267</v>
      </c>
      <c r="B2277" s="1">
        <v>45021.416666666664</v>
      </c>
      <c r="C2277" s="1" t="str">
        <f t="shared" si="70"/>
        <v>04-2023</v>
      </c>
      <c r="D2277" s="2">
        <f t="shared" si="71"/>
        <v>14</v>
      </c>
      <c r="E2277" t="s">
        <v>18</v>
      </c>
      <c r="F2277" t="s">
        <v>23</v>
      </c>
      <c r="G2277" t="s">
        <v>19</v>
      </c>
      <c r="H2277" s="2">
        <v>84890</v>
      </c>
      <c r="I2277" s="2">
        <v>7</v>
      </c>
      <c r="J2277" s="2">
        <v>41057</v>
      </c>
      <c r="K2277" s="2">
        <v>24963</v>
      </c>
      <c r="L2277" s="2">
        <v>9</v>
      </c>
      <c r="M2277" t="str">
        <f>IF(Revv_bike_sales_data[[#This Row],[delivery_days]]&lt;=7, "Yes", "No")</f>
        <v>No</v>
      </c>
      <c r="N2277" t="s">
        <v>16</v>
      </c>
      <c r="O2277" s="2">
        <v>16094</v>
      </c>
    </row>
    <row r="2278" spans="1:15" x14ac:dyDescent="0.3">
      <c r="A2278" s="2">
        <v>2268</v>
      </c>
      <c r="B2278" s="1">
        <v>45021.458333333336</v>
      </c>
      <c r="C2278" s="1" t="str">
        <f t="shared" si="70"/>
        <v>04-2023</v>
      </c>
      <c r="D2278" s="2">
        <f t="shared" si="71"/>
        <v>14</v>
      </c>
      <c r="E2278" t="s">
        <v>25</v>
      </c>
      <c r="F2278" t="s">
        <v>14</v>
      </c>
      <c r="G2278" t="s">
        <v>19</v>
      </c>
      <c r="H2278" s="2">
        <v>32315</v>
      </c>
      <c r="I2278" s="2">
        <v>0</v>
      </c>
      <c r="J2278" s="2">
        <v>26310</v>
      </c>
      <c r="K2278" s="2">
        <v>28796</v>
      </c>
      <c r="L2278" s="2">
        <v>6</v>
      </c>
      <c r="M2278" t="str">
        <f>IF(Revv_bike_sales_data[[#This Row],[delivery_days]]&lt;=7, "Yes", "No")</f>
        <v>Yes</v>
      </c>
      <c r="N2278" t="s">
        <v>16</v>
      </c>
      <c r="O2278" s="2">
        <v>-2486</v>
      </c>
    </row>
    <row r="2279" spans="1:15" x14ac:dyDescent="0.3">
      <c r="A2279" s="2">
        <v>2269</v>
      </c>
      <c r="B2279" s="1">
        <v>45021.5</v>
      </c>
      <c r="C2279" s="1" t="str">
        <f t="shared" si="70"/>
        <v>04-2023</v>
      </c>
      <c r="D2279" s="2">
        <f t="shared" si="71"/>
        <v>14</v>
      </c>
      <c r="E2279" t="s">
        <v>25</v>
      </c>
      <c r="F2279" t="s">
        <v>23</v>
      </c>
      <c r="G2279" t="s">
        <v>20</v>
      </c>
      <c r="H2279" s="2">
        <v>76518</v>
      </c>
      <c r="I2279" s="2">
        <v>3</v>
      </c>
      <c r="J2279" s="2">
        <v>151913</v>
      </c>
      <c r="K2279" s="2">
        <v>55972</v>
      </c>
      <c r="L2279" s="2">
        <v>12</v>
      </c>
      <c r="M2279" t="str">
        <f>IF(Revv_bike_sales_data[[#This Row],[delivery_days]]&lt;=7, "Yes", "No")</f>
        <v>No</v>
      </c>
      <c r="N2279" t="s">
        <v>16</v>
      </c>
      <c r="O2279" s="2">
        <v>95941</v>
      </c>
    </row>
    <row r="2280" spans="1:15" x14ac:dyDescent="0.3">
      <c r="A2280" s="2">
        <v>2270</v>
      </c>
      <c r="B2280" s="1">
        <v>45021.541666666664</v>
      </c>
      <c r="C2280" s="1" t="str">
        <f t="shared" si="70"/>
        <v>04-2023</v>
      </c>
      <c r="D2280" s="2">
        <f t="shared" si="71"/>
        <v>14</v>
      </c>
      <c r="E2280" t="s">
        <v>13</v>
      </c>
      <c r="F2280" t="s">
        <v>14</v>
      </c>
      <c r="G2280" t="s">
        <v>20</v>
      </c>
      <c r="H2280" s="2">
        <v>19461</v>
      </c>
      <c r="I2280" s="2">
        <v>6</v>
      </c>
      <c r="J2280" s="2">
        <v>91013</v>
      </c>
      <c r="K2280" s="2">
        <v>87613</v>
      </c>
      <c r="L2280" s="2">
        <v>4</v>
      </c>
      <c r="M2280" t="str">
        <f>IF(Revv_bike_sales_data[[#This Row],[delivery_days]]&lt;=7, "Yes", "No")</f>
        <v>Yes</v>
      </c>
      <c r="N2280" t="s">
        <v>16</v>
      </c>
      <c r="O2280" s="2">
        <v>3400</v>
      </c>
    </row>
    <row r="2281" spans="1:15" x14ac:dyDescent="0.3">
      <c r="A2281" s="2">
        <v>2271</v>
      </c>
      <c r="B2281" s="1">
        <v>45021.583333333336</v>
      </c>
      <c r="C2281" s="1" t="str">
        <f t="shared" si="70"/>
        <v>04-2023</v>
      </c>
      <c r="D2281" s="2">
        <f t="shared" si="71"/>
        <v>14</v>
      </c>
      <c r="E2281" t="s">
        <v>17</v>
      </c>
      <c r="F2281" t="s">
        <v>14</v>
      </c>
      <c r="G2281" t="s">
        <v>21</v>
      </c>
      <c r="H2281" s="2">
        <v>20544</v>
      </c>
      <c r="I2281" s="2">
        <v>7</v>
      </c>
      <c r="J2281" s="2">
        <v>85022</v>
      </c>
      <c r="K2281" s="2">
        <v>110384</v>
      </c>
      <c r="L2281" s="2">
        <v>12</v>
      </c>
      <c r="M2281" t="str">
        <f>IF(Revv_bike_sales_data[[#This Row],[delivery_days]]&lt;=7, "Yes", "No")</f>
        <v>No</v>
      </c>
      <c r="N2281" t="s">
        <v>24</v>
      </c>
      <c r="O2281" s="2">
        <v>-25362</v>
      </c>
    </row>
    <row r="2282" spans="1:15" x14ac:dyDescent="0.3">
      <c r="A2282" s="2">
        <v>2272</v>
      </c>
      <c r="B2282" s="1">
        <v>45021.625</v>
      </c>
      <c r="C2282" s="1" t="str">
        <f t="shared" si="70"/>
        <v>04-2023</v>
      </c>
      <c r="D2282" s="2">
        <f t="shared" si="71"/>
        <v>14</v>
      </c>
      <c r="E2282" t="s">
        <v>18</v>
      </c>
      <c r="F2282" t="s">
        <v>14</v>
      </c>
      <c r="G2282" t="s">
        <v>19</v>
      </c>
      <c r="H2282" s="2">
        <v>99872</v>
      </c>
      <c r="I2282" s="2">
        <v>6</v>
      </c>
      <c r="J2282" s="2">
        <v>164978</v>
      </c>
      <c r="K2282" s="2">
        <v>93062</v>
      </c>
      <c r="L2282" s="2">
        <v>5</v>
      </c>
      <c r="M2282" t="str">
        <f>IF(Revv_bike_sales_data[[#This Row],[delivery_days]]&lt;=7, "Yes", "No")</f>
        <v>Yes</v>
      </c>
      <c r="N2282" t="s">
        <v>16</v>
      </c>
      <c r="O2282" s="2">
        <v>71916</v>
      </c>
    </row>
    <row r="2283" spans="1:15" x14ac:dyDescent="0.3">
      <c r="A2283" s="2">
        <v>2273</v>
      </c>
      <c r="B2283" s="1">
        <v>45021.666666666664</v>
      </c>
      <c r="C2283" s="1" t="str">
        <f t="shared" si="70"/>
        <v>04-2023</v>
      </c>
      <c r="D2283" s="2">
        <f t="shared" si="71"/>
        <v>14</v>
      </c>
      <c r="E2283" t="s">
        <v>17</v>
      </c>
      <c r="F2283" t="s">
        <v>14</v>
      </c>
      <c r="G2283" t="s">
        <v>20</v>
      </c>
      <c r="H2283" s="2">
        <v>22475</v>
      </c>
      <c r="I2283" s="2">
        <v>2</v>
      </c>
      <c r="J2283" s="2">
        <v>165940</v>
      </c>
      <c r="K2283" s="2">
        <v>18261</v>
      </c>
      <c r="L2283" s="2">
        <v>13</v>
      </c>
      <c r="M2283" t="str">
        <f>IF(Revv_bike_sales_data[[#This Row],[delivery_days]]&lt;=7, "Yes", "No")</f>
        <v>No</v>
      </c>
      <c r="N2283" t="s">
        <v>16</v>
      </c>
      <c r="O2283" s="2">
        <v>147679</v>
      </c>
    </row>
    <row r="2284" spans="1:15" x14ac:dyDescent="0.3">
      <c r="A2284" s="2">
        <v>2274</v>
      </c>
      <c r="B2284" s="1">
        <v>45021.708333333336</v>
      </c>
      <c r="C2284" s="1" t="str">
        <f t="shared" si="70"/>
        <v>04-2023</v>
      </c>
      <c r="D2284" s="2">
        <f t="shared" si="71"/>
        <v>14</v>
      </c>
      <c r="E2284" t="s">
        <v>13</v>
      </c>
      <c r="F2284" t="s">
        <v>14</v>
      </c>
      <c r="G2284" t="s">
        <v>15</v>
      </c>
      <c r="H2284" s="2">
        <v>15206</v>
      </c>
      <c r="I2284" s="2">
        <v>3</v>
      </c>
      <c r="J2284" s="2">
        <v>43546</v>
      </c>
      <c r="K2284" s="2">
        <v>32046</v>
      </c>
      <c r="L2284" s="2">
        <v>1</v>
      </c>
      <c r="M2284" t="str">
        <f>IF(Revv_bike_sales_data[[#This Row],[delivery_days]]&lt;=7, "Yes", "No")</f>
        <v>Yes</v>
      </c>
      <c r="N2284" t="s">
        <v>16</v>
      </c>
      <c r="O2284" s="2">
        <v>11500</v>
      </c>
    </row>
    <row r="2285" spans="1:15" x14ac:dyDescent="0.3">
      <c r="A2285" s="2">
        <v>2275</v>
      </c>
      <c r="B2285" s="1">
        <v>45021.75</v>
      </c>
      <c r="C2285" s="1" t="str">
        <f t="shared" si="70"/>
        <v>04-2023</v>
      </c>
      <c r="D2285" s="2">
        <f t="shared" si="71"/>
        <v>14</v>
      </c>
      <c r="E2285" t="s">
        <v>25</v>
      </c>
      <c r="F2285" t="s">
        <v>23</v>
      </c>
      <c r="G2285" t="s">
        <v>15</v>
      </c>
      <c r="H2285" s="2">
        <v>6474</v>
      </c>
      <c r="I2285" s="2">
        <v>6</v>
      </c>
      <c r="J2285" s="2">
        <v>123812</v>
      </c>
      <c r="K2285" s="2">
        <v>28397</v>
      </c>
      <c r="L2285" s="2">
        <v>7</v>
      </c>
      <c r="M2285" t="str">
        <f>IF(Revv_bike_sales_data[[#This Row],[delivery_days]]&lt;=7, "Yes", "No")</f>
        <v>Yes</v>
      </c>
      <c r="N2285" t="s">
        <v>16</v>
      </c>
      <c r="O2285" s="2">
        <v>95415</v>
      </c>
    </row>
    <row r="2286" spans="1:15" x14ac:dyDescent="0.3">
      <c r="A2286" s="2">
        <v>2276</v>
      </c>
      <c r="B2286" s="1">
        <v>45021.791666666664</v>
      </c>
      <c r="C2286" s="1" t="str">
        <f t="shared" si="70"/>
        <v>04-2023</v>
      </c>
      <c r="D2286" s="2">
        <f t="shared" si="71"/>
        <v>14</v>
      </c>
      <c r="E2286" t="s">
        <v>17</v>
      </c>
      <c r="F2286" t="s">
        <v>14</v>
      </c>
      <c r="G2286" t="s">
        <v>19</v>
      </c>
      <c r="H2286" s="2">
        <v>76964</v>
      </c>
      <c r="I2286" s="2">
        <v>7</v>
      </c>
      <c r="J2286" s="2">
        <v>97855</v>
      </c>
      <c r="K2286" s="2">
        <v>75436</v>
      </c>
      <c r="L2286" s="2">
        <v>13</v>
      </c>
      <c r="M2286" t="str">
        <f>IF(Revv_bike_sales_data[[#This Row],[delivery_days]]&lt;=7, "Yes", "No")</f>
        <v>No</v>
      </c>
      <c r="N2286" t="s">
        <v>16</v>
      </c>
      <c r="O2286" s="2">
        <v>22419</v>
      </c>
    </row>
    <row r="2287" spans="1:15" x14ac:dyDescent="0.3">
      <c r="A2287" s="2">
        <v>2277</v>
      </c>
      <c r="B2287" s="1">
        <v>45021.833333333336</v>
      </c>
      <c r="C2287" s="1" t="str">
        <f t="shared" si="70"/>
        <v>04-2023</v>
      </c>
      <c r="D2287" s="2">
        <f t="shared" si="71"/>
        <v>14</v>
      </c>
      <c r="E2287" t="s">
        <v>17</v>
      </c>
      <c r="F2287" t="s">
        <v>14</v>
      </c>
      <c r="G2287" t="s">
        <v>15</v>
      </c>
      <c r="H2287" s="2">
        <v>21713</v>
      </c>
      <c r="I2287" s="2">
        <v>6</v>
      </c>
      <c r="J2287" s="2">
        <v>58149</v>
      </c>
      <c r="K2287" s="2">
        <v>105805</v>
      </c>
      <c r="L2287" s="2">
        <v>13</v>
      </c>
      <c r="M2287" t="str">
        <f>IF(Revv_bike_sales_data[[#This Row],[delivery_days]]&lt;=7, "Yes", "No")</f>
        <v>No</v>
      </c>
      <c r="N2287" t="s">
        <v>16</v>
      </c>
      <c r="O2287" s="2">
        <v>-47656</v>
      </c>
    </row>
    <row r="2288" spans="1:15" x14ac:dyDescent="0.3">
      <c r="A2288" s="2">
        <v>2278</v>
      </c>
      <c r="B2288" s="1">
        <v>45021.875</v>
      </c>
      <c r="C2288" s="1" t="str">
        <f t="shared" si="70"/>
        <v>04-2023</v>
      </c>
      <c r="D2288" s="2">
        <f t="shared" si="71"/>
        <v>14</v>
      </c>
      <c r="E2288" t="s">
        <v>25</v>
      </c>
      <c r="F2288" t="s">
        <v>14</v>
      </c>
      <c r="G2288" t="s">
        <v>21</v>
      </c>
      <c r="H2288" s="2">
        <v>2450</v>
      </c>
      <c r="I2288" s="2">
        <v>5</v>
      </c>
      <c r="J2288" s="2">
        <v>138591</v>
      </c>
      <c r="K2288" s="2">
        <v>116694</v>
      </c>
      <c r="L2288" s="2">
        <v>8</v>
      </c>
      <c r="M2288" t="str">
        <f>IF(Revv_bike_sales_data[[#This Row],[delivery_days]]&lt;=7, "Yes", "No")</f>
        <v>No</v>
      </c>
      <c r="N2288" t="s">
        <v>24</v>
      </c>
      <c r="O2288" s="2">
        <v>21897</v>
      </c>
    </row>
    <row r="2289" spans="1:15" x14ac:dyDescent="0.3">
      <c r="A2289" s="2">
        <v>2279</v>
      </c>
      <c r="B2289" s="1">
        <v>45021.916666666664</v>
      </c>
      <c r="C2289" s="1" t="str">
        <f t="shared" si="70"/>
        <v>04-2023</v>
      </c>
      <c r="D2289" s="2">
        <f t="shared" si="71"/>
        <v>14</v>
      </c>
      <c r="E2289" t="s">
        <v>18</v>
      </c>
      <c r="F2289" t="s">
        <v>14</v>
      </c>
      <c r="G2289" t="s">
        <v>20</v>
      </c>
      <c r="H2289" s="2">
        <v>85513</v>
      </c>
      <c r="I2289" s="2">
        <v>8</v>
      </c>
      <c r="J2289" s="2">
        <v>179756</v>
      </c>
      <c r="K2289" s="2">
        <v>40757</v>
      </c>
      <c r="L2289" s="2">
        <v>11</v>
      </c>
      <c r="M2289" t="str">
        <f>IF(Revv_bike_sales_data[[#This Row],[delivery_days]]&lt;=7, "Yes", "No")</f>
        <v>No</v>
      </c>
      <c r="N2289" t="s">
        <v>16</v>
      </c>
      <c r="O2289" s="2">
        <v>138999</v>
      </c>
    </row>
    <row r="2290" spans="1:15" x14ac:dyDescent="0.3">
      <c r="A2290" s="2">
        <v>2280</v>
      </c>
      <c r="B2290" s="1">
        <v>45021.958333333336</v>
      </c>
      <c r="C2290" s="1" t="str">
        <f t="shared" si="70"/>
        <v>04-2023</v>
      </c>
      <c r="D2290" s="2">
        <f t="shared" si="71"/>
        <v>14</v>
      </c>
      <c r="E2290" t="s">
        <v>25</v>
      </c>
      <c r="F2290" t="s">
        <v>14</v>
      </c>
      <c r="G2290" t="s">
        <v>20</v>
      </c>
      <c r="H2290" s="2">
        <v>10911</v>
      </c>
      <c r="I2290" s="2">
        <v>8</v>
      </c>
      <c r="J2290" s="2">
        <v>54858</v>
      </c>
      <c r="K2290" s="2">
        <v>132706</v>
      </c>
      <c r="L2290" s="2">
        <v>5</v>
      </c>
      <c r="M2290" t="str">
        <f>IF(Revv_bike_sales_data[[#This Row],[delivery_days]]&lt;=7, "Yes", "No")</f>
        <v>Yes</v>
      </c>
      <c r="N2290" t="s">
        <v>16</v>
      </c>
      <c r="O2290" s="2">
        <v>-77848</v>
      </c>
    </row>
    <row r="2291" spans="1:15" x14ac:dyDescent="0.3">
      <c r="A2291" s="2">
        <v>2281</v>
      </c>
      <c r="B2291" s="1">
        <v>45022</v>
      </c>
      <c r="C2291" s="1" t="str">
        <f t="shared" si="70"/>
        <v>04-2023</v>
      </c>
      <c r="D2291" s="2">
        <f t="shared" si="71"/>
        <v>14</v>
      </c>
      <c r="E2291" t="s">
        <v>17</v>
      </c>
      <c r="F2291" t="s">
        <v>14</v>
      </c>
      <c r="G2291" t="s">
        <v>20</v>
      </c>
      <c r="H2291" s="2">
        <v>87731</v>
      </c>
      <c r="I2291" s="2">
        <v>6</v>
      </c>
      <c r="J2291" s="2">
        <v>70330</v>
      </c>
      <c r="K2291" s="2">
        <v>30299</v>
      </c>
      <c r="L2291" s="2">
        <v>2</v>
      </c>
      <c r="M2291" t="str">
        <f>IF(Revv_bike_sales_data[[#This Row],[delivery_days]]&lt;=7, "Yes", "No")</f>
        <v>Yes</v>
      </c>
      <c r="N2291" t="s">
        <v>16</v>
      </c>
      <c r="O2291" s="2">
        <v>40031</v>
      </c>
    </row>
    <row r="2292" spans="1:15" x14ac:dyDescent="0.3">
      <c r="A2292" s="2">
        <v>2282</v>
      </c>
      <c r="B2292" s="1">
        <v>45022.041666666664</v>
      </c>
      <c r="C2292" s="1" t="str">
        <f t="shared" si="70"/>
        <v>04-2023</v>
      </c>
      <c r="D2292" s="2">
        <f t="shared" si="71"/>
        <v>14</v>
      </c>
      <c r="E2292" t="s">
        <v>18</v>
      </c>
      <c r="F2292" t="s">
        <v>14</v>
      </c>
      <c r="G2292" t="s">
        <v>19</v>
      </c>
      <c r="H2292" s="2">
        <v>46656</v>
      </c>
      <c r="I2292" s="2">
        <v>7</v>
      </c>
      <c r="J2292" s="2">
        <v>117203</v>
      </c>
      <c r="K2292" s="2">
        <v>139384</v>
      </c>
      <c r="L2292" s="2">
        <v>8</v>
      </c>
      <c r="M2292" t="str">
        <f>IF(Revv_bike_sales_data[[#This Row],[delivery_days]]&lt;=7, "Yes", "No")</f>
        <v>No</v>
      </c>
      <c r="N2292" t="s">
        <v>16</v>
      </c>
      <c r="O2292" s="2">
        <v>-22181</v>
      </c>
    </row>
    <row r="2293" spans="1:15" x14ac:dyDescent="0.3">
      <c r="A2293" s="2">
        <v>2283</v>
      </c>
      <c r="B2293" s="1">
        <v>45022.083333333336</v>
      </c>
      <c r="C2293" s="1" t="str">
        <f t="shared" si="70"/>
        <v>04-2023</v>
      </c>
      <c r="D2293" s="2">
        <f t="shared" si="71"/>
        <v>14</v>
      </c>
      <c r="E2293" t="s">
        <v>18</v>
      </c>
      <c r="F2293" t="s">
        <v>14</v>
      </c>
      <c r="G2293" t="s">
        <v>15</v>
      </c>
      <c r="H2293" s="2">
        <v>63244</v>
      </c>
      <c r="I2293" s="2">
        <v>5</v>
      </c>
      <c r="J2293" s="2">
        <v>50293</v>
      </c>
      <c r="K2293" s="2">
        <v>16902</v>
      </c>
      <c r="L2293" s="2">
        <v>10</v>
      </c>
      <c r="M2293" t="str">
        <f>IF(Revv_bike_sales_data[[#This Row],[delivery_days]]&lt;=7, "Yes", "No")</f>
        <v>No</v>
      </c>
      <c r="N2293" t="s">
        <v>16</v>
      </c>
      <c r="O2293" s="2">
        <v>33391</v>
      </c>
    </row>
    <row r="2294" spans="1:15" x14ac:dyDescent="0.3">
      <c r="A2294" s="2">
        <v>2284</v>
      </c>
      <c r="B2294" s="1">
        <v>45022.125</v>
      </c>
      <c r="C2294" s="1" t="str">
        <f t="shared" si="70"/>
        <v>04-2023</v>
      </c>
      <c r="D2294" s="2">
        <f t="shared" si="71"/>
        <v>14</v>
      </c>
      <c r="E2294" t="s">
        <v>25</v>
      </c>
      <c r="F2294" t="s">
        <v>14</v>
      </c>
      <c r="G2294" t="s">
        <v>21</v>
      </c>
      <c r="H2294" s="2">
        <v>18271</v>
      </c>
      <c r="I2294" s="2">
        <v>0</v>
      </c>
      <c r="J2294" s="2">
        <v>81869</v>
      </c>
      <c r="K2294" s="2">
        <v>133859</v>
      </c>
      <c r="L2294" s="2">
        <v>7</v>
      </c>
      <c r="M2294" t="str">
        <f>IF(Revv_bike_sales_data[[#This Row],[delivery_days]]&lt;=7, "Yes", "No")</f>
        <v>Yes</v>
      </c>
      <c r="N2294" t="s">
        <v>24</v>
      </c>
      <c r="O2294" s="2">
        <v>-51990</v>
      </c>
    </row>
    <row r="2295" spans="1:15" x14ac:dyDescent="0.3">
      <c r="A2295" s="2">
        <v>2285</v>
      </c>
      <c r="B2295" s="1">
        <v>45022.166666666664</v>
      </c>
      <c r="C2295" s="1" t="str">
        <f t="shared" si="70"/>
        <v>04-2023</v>
      </c>
      <c r="D2295" s="2">
        <f t="shared" si="71"/>
        <v>14</v>
      </c>
      <c r="E2295" t="s">
        <v>17</v>
      </c>
      <c r="F2295" t="s">
        <v>14</v>
      </c>
      <c r="G2295" t="s">
        <v>19</v>
      </c>
      <c r="H2295" s="2">
        <v>70310</v>
      </c>
      <c r="I2295" s="2">
        <v>0</v>
      </c>
      <c r="J2295" s="2">
        <v>115429</v>
      </c>
      <c r="K2295" s="2">
        <v>130016</v>
      </c>
      <c r="L2295" s="2">
        <v>10</v>
      </c>
      <c r="M2295" t="str">
        <f>IF(Revv_bike_sales_data[[#This Row],[delivery_days]]&lt;=7, "Yes", "No")</f>
        <v>No</v>
      </c>
      <c r="N2295" t="s">
        <v>24</v>
      </c>
      <c r="O2295" s="2">
        <v>-14587</v>
      </c>
    </row>
    <row r="2296" spans="1:15" x14ac:dyDescent="0.3">
      <c r="A2296" s="2">
        <v>2286</v>
      </c>
      <c r="B2296" s="1">
        <v>45022.208333333336</v>
      </c>
      <c r="C2296" s="1" t="str">
        <f t="shared" si="70"/>
        <v>04-2023</v>
      </c>
      <c r="D2296" s="2">
        <f t="shared" si="71"/>
        <v>14</v>
      </c>
      <c r="E2296" t="s">
        <v>13</v>
      </c>
      <c r="F2296" t="s">
        <v>14</v>
      </c>
      <c r="G2296" t="s">
        <v>20</v>
      </c>
      <c r="H2296" s="2">
        <v>35553</v>
      </c>
      <c r="I2296" s="2">
        <v>5</v>
      </c>
      <c r="J2296" s="2">
        <v>160701</v>
      </c>
      <c r="K2296" s="2">
        <v>57399</v>
      </c>
      <c r="L2296" s="2">
        <v>9</v>
      </c>
      <c r="M2296" t="str">
        <f>IF(Revv_bike_sales_data[[#This Row],[delivery_days]]&lt;=7, "Yes", "No")</f>
        <v>No</v>
      </c>
      <c r="N2296" t="s">
        <v>16</v>
      </c>
      <c r="O2296" s="2">
        <v>103302</v>
      </c>
    </row>
    <row r="2297" spans="1:15" x14ac:dyDescent="0.3">
      <c r="A2297" s="2">
        <v>2287</v>
      </c>
      <c r="B2297" s="1">
        <v>45022.25</v>
      </c>
      <c r="C2297" s="1" t="str">
        <f t="shared" si="70"/>
        <v>04-2023</v>
      </c>
      <c r="D2297" s="2">
        <f t="shared" si="71"/>
        <v>14</v>
      </c>
      <c r="E2297" t="s">
        <v>17</v>
      </c>
      <c r="F2297" t="s">
        <v>14</v>
      </c>
      <c r="G2297" t="s">
        <v>21</v>
      </c>
      <c r="H2297" s="2">
        <v>52576</v>
      </c>
      <c r="I2297" s="2">
        <v>1</v>
      </c>
      <c r="J2297" s="2">
        <v>30704</v>
      </c>
      <c r="K2297" s="2">
        <v>63330</v>
      </c>
      <c r="L2297" s="2">
        <v>4</v>
      </c>
      <c r="M2297" t="str">
        <f>IF(Revv_bike_sales_data[[#This Row],[delivery_days]]&lt;=7, "Yes", "No")</f>
        <v>Yes</v>
      </c>
      <c r="N2297" t="s">
        <v>16</v>
      </c>
      <c r="O2297" s="2">
        <v>-32626</v>
      </c>
    </row>
    <row r="2298" spans="1:15" x14ac:dyDescent="0.3">
      <c r="A2298" s="2">
        <v>2288</v>
      </c>
      <c r="B2298" s="1">
        <v>45022.291666666664</v>
      </c>
      <c r="C2298" s="1" t="str">
        <f t="shared" si="70"/>
        <v>04-2023</v>
      </c>
      <c r="D2298" s="2">
        <f t="shared" si="71"/>
        <v>14</v>
      </c>
      <c r="E2298" t="s">
        <v>22</v>
      </c>
      <c r="F2298" t="s">
        <v>14</v>
      </c>
      <c r="G2298" t="s">
        <v>20</v>
      </c>
      <c r="H2298" s="2">
        <v>7545</v>
      </c>
      <c r="I2298" s="2">
        <v>7</v>
      </c>
      <c r="J2298" s="2">
        <v>157848</v>
      </c>
      <c r="K2298" s="2">
        <v>61308</v>
      </c>
      <c r="L2298" s="2">
        <v>11</v>
      </c>
      <c r="M2298" t="str">
        <f>IF(Revv_bike_sales_data[[#This Row],[delivery_days]]&lt;=7, "Yes", "No")</f>
        <v>No</v>
      </c>
      <c r="N2298" t="s">
        <v>16</v>
      </c>
      <c r="O2298" s="2">
        <v>96540</v>
      </c>
    </row>
    <row r="2299" spans="1:15" x14ac:dyDescent="0.3">
      <c r="A2299" s="2">
        <v>2289</v>
      </c>
      <c r="B2299" s="1">
        <v>45022.333333333336</v>
      </c>
      <c r="C2299" s="1" t="str">
        <f t="shared" si="70"/>
        <v>04-2023</v>
      </c>
      <c r="D2299" s="2">
        <f t="shared" si="71"/>
        <v>14</v>
      </c>
      <c r="E2299" t="s">
        <v>13</v>
      </c>
      <c r="F2299" t="s">
        <v>14</v>
      </c>
      <c r="G2299" t="s">
        <v>20</v>
      </c>
      <c r="H2299" s="2">
        <v>58123</v>
      </c>
      <c r="I2299" s="2">
        <v>0</v>
      </c>
      <c r="J2299" s="2">
        <v>73281</v>
      </c>
      <c r="K2299" s="2">
        <v>135983</v>
      </c>
      <c r="L2299" s="2">
        <v>9</v>
      </c>
      <c r="M2299" t="str">
        <f>IF(Revv_bike_sales_data[[#This Row],[delivery_days]]&lt;=7, "Yes", "No")</f>
        <v>No</v>
      </c>
      <c r="N2299" t="s">
        <v>16</v>
      </c>
      <c r="O2299" s="2">
        <v>-62702</v>
      </c>
    </row>
    <row r="2300" spans="1:15" x14ac:dyDescent="0.3">
      <c r="A2300" s="2">
        <v>2290</v>
      </c>
      <c r="B2300" s="1">
        <v>45022.375</v>
      </c>
      <c r="C2300" s="1" t="str">
        <f t="shared" si="70"/>
        <v>04-2023</v>
      </c>
      <c r="D2300" s="2">
        <f t="shared" si="71"/>
        <v>14</v>
      </c>
      <c r="E2300" t="s">
        <v>18</v>
      </c>
      <c r="F2300" t="s">
        <v>14</v>
      </c>
      <c r="G2300" t="s">
        <v>19</v>
      </c>
      <c r="H2300" s="2">
        <v>30214</v>
      </c>
      <c r="I2300" s="2">
        <v>1</v>
      </c>
      <c r="J2300" s="2">
        <v>141972</v>
      </c>
      <c r="K2300" s="2">
        <v>18846</v>
      </c>
      <c r="L2300" s="2">
        <v>4</v>
      </c>
      <c r="M2300" t="str">
        <f>IF(Revv_bike_sales_data[[#This Row],[delivery_days]]&lt;=7, "Yes", "No")</f>
        <v>Yes</v>
      </c>
      <c r="N2300" t="s">
        <v>16</v>
      </c>
      <c r="O2300" s="2">
        <v>123126</v>
      </c>
    </row>
    <row r="2301" spans="1:15" x14ac:dyDescent="0.3">
      <c r="A2301" s="2">
        <v>2291</v>
      </c>
      <c r="B2301" s="1">
        <v>45022.416666666664</v>
      </c>
      <c r="C2301" s="1" t="str">
        <f t="shared" si="70"/>
        <v>04-2023</v>
      </c>
      <c r="D2301" s="2">
        <f t="shared" si="71"/>
        <v>14</v>
      </c>
      <c r="E2301" t="s">
        <v>13</v>
      </c>
      <c r="F2301" t="s">
        <v>14</v>
      </c>
      <c r="G2301" t="s">
        <v>20</v>
      </c>
      <c r="H2301" s="2">
        <v>34886</v>
      </c>
      <c r="I2301" s="2">
        <v>7</v>
      </c>
      <c r="J2301" s="2">
        <v>138532</v>
      </c>
      <c r="K2301" s="2">
        <v>27359</v>
      </c>
      <c r="L2301" s="2">
        <v>3</v>
      </c>
      <c r="M2301" t="str">
        <f>IF(Revv_bike_sales_data[[#This Row],[delivery_days]]&lt;=7, "Yes", "No")</f>
        <v>Yes</v>
      </c>
      <c r="N2301" t="s">
        <v>16</v>
      </c>
      <c r="O2301" s="2">
        <v>111173</v>
      </c>
    </row>
    <row r="2302" spans="1:15" x14ac:dyDescent="0.3">
      <c r="A2302" s="2">
        <v>2292</v>
      </c>
      <c r="B2302" s="1">
        <v>45022.458333333336</v>
      </c>
      <c r="C2302" s="1" t="str">
        <f t="shared" si="70"/>
        <v>04-2023</v>
      </c>
      <c r="D2302" s="2">
        <f t="shared" si="71"/>
        <v>14</v>
      </c>
      <c r="E2302" t="s">
        <v>18</v>
      </c>
      <c r="F2302" t="s">
        <v>14</v>
      </c>
      <c r="G2302" t="s">
        <v>21</v>
      </c>
      <c r="H2302" s="2">
        <v>9062</v>
      </c>
      <c r="I2302" s="2">
        <v>5</v>
      </c>
      <c r="J2302" s="2">
        <v>91780</v>
      </c>
      <c r="K2302" s="2">
        <v>64376</v>
      </c>
      <c r="L2302" s="2">
        <v>11</v>
      </c>
      <c r="M2302" t="str">
        <f>IF(Revv_bike_sales_data[[#This Row],[delivery_days]]&lt;=7, "Yes", "No")</f>
        <v>No</v>
      </c>
      <c r="N2302" t="s">
        <v>16</v>
      </c>
      <c r="O2302" s="2">
        <v>27404</v>
      </c>
    </row>
    <row r="2303" spans="1:15" x14ac:dyDescent="0.3">
      <c r="A2303" s="2">
        <v>2293</v>
      </c>
      <c r="B2303" s="1">
        <v>45022.5</v>
      </c>
      <c r="C2303" s="1" t="str">
        <f t="shared" si="70"/>
        <v>04-2023</v>
      </c>
      <c r="D2303" s="2">
        <f t="shared" si="71"/>
        <v>14</v>
      </c>
      <c r="E2303" t="s">
        <v>18</v>
      </c>
      <c r="F2303" t="s">
        <v>14</v>
      </c>
      <c r="G2303" t="s">
        <v>20</v>
      </c>
      <c r="H2303" s="2">
        <v>55548</v>
      </c>
      <c r="I2303" s="2">
        <v>9</v>
      </c>
      <c r="J2303" s="2">
        <v>157405</v>
      </c>
      <c r="K2303" s="2">
        <v>83056</v>
      </c>
      <c r="L2303" s="2">
        <v>3</v>
      </c>
      <c r="M2303" t="str">
        <f>IF(Revv_bike_sales_data[[#This Row],[delivery_days]]&lt;=7, "Yes", "No")</f>
        <v>Yes</v>
      </c>
      <c r="N2303" t="s">
        <v>16</v>
      </c>
      <c r="O2303" s="2">
        <v>74349</v>
      </c>
    </row>
    <row r="2304" spans="1:15" x14ac:dyDescent="0.3">
      <c r="A2304" s="2">
        <v>2294</v>
      </c>
      <c r="B2304" s="1">
        <v>45022.541666666664</v>
      </c>
      <c r="C2304" s="1" t="str">
        <f t="shared" si="70"/>
        <v>04-2023</v>
      </c>
      <c r="D2304" s="2">
        <f t="shared" si="71"/>
        <v>14</v>
      </c>
      <c r="E2304" t="s">
        <v>13</v>
      </c>
      <c r="F2304" t="s">
        <v>14</v>
      </c>
      <c r="G2304" t="s">
        <v>15</v>
      </c>
      <c r="H2304" s="2">
        <v>93795</v>
      </c>
      <c r="I2304" s="2">
        <v>1</v>
      </c>
      <c r="J2304" s="2">
        <v>80333</v>
      </c>
      <c r="K2304" s="2">
        <v>55832</v>
      </c>
      <c r="L2304" s="2">
        <v>10</v>
      </c>
      <c r="M2304" t="str">
        <f>IF(Revv_bike_sales_data[[#This Row],[delivery_days]]&lt;=7, "Yes", "No")</f>
        <v>No</v>
      </c>
      <c r="N2304" t="s">
        <v>16</v>
      </c>
      <c r="O2304" s="2">
        <v>24501</v>
      </c>
    </row>
    <row r="2305" spans="1:15" x14ac:dyDescent="0.3">
      <c r="A2305" s="2">
        <v>2295</v>
      </c>
      <c r="B2305" s="1">
        <v>45022.583333333336</v>
      </c>
      <c r="C2305" s="1" t="str">
        <f t="shared" si="70"/>
        <v>04-2023</v>
      </c>
      <c r="D2305" s="2">
        <f t="shared" si="71"/>
        <v>14</v>
      </c>
      <c r="E2305" t="s">
        <v>18</v>
      </c>
      <c r="F2305" t="s">
        <v>14</v>
      </c>
      <c r="G2305" t="s">
        <v>20</v>
      </c>
      <c r="H2305" s="2">
        <v>12526</v>
      </c>
      <c r="I2305" s="2">
        <v>1</v>
      </c>
      <c r="J2305" s="2">
        <v>158005</v>
      </c>
      <c r="K2305" s="2">
        <v>35098</v>
      </c>
      <c r="L2305" s="2">
        <v>2</v>
      </c>
      <c r="M2305" t="str">
        <f>IF(Revv_bike_sales_data[[#This Row],[delivery_days]]&lt;=7, "Yes", "No")</f>
        <v>Yes</v>
      </c>
      <c r="N2305" t="s">
        <v>16</v>
      </c>
      <c r="O2305" s="2">
        <v>122907</v>
      </c>
    </row>
    <row r="2306" spans="1:15" x14ac:dyDescent="0.3">
      <c r="A2306" s="2">
        <v>2296</v>
      </c>
      <c r="B2306" s="1">
        <v>45022.625</v>
      </c>
      <c r="C2306" s="1" t="str">
        <f t="shared" si="70"/>
        <v>04-2023</v>
      </c>
      <c r="D2306" s="2">
        <f t="shared" si="71"/>
        <v>14</v>
      </c>
      <c r="E2306" t="s">
        <v>18</v>
      </c>
      <c r="F2306" t="s">
        <v>14</v>
      </c>
      <c r="G2306" t="s">
        <v>19</v>
      </c>
      <c r="H2306" s="2">
        <v>32089</v>
      </c>
      <c r="I2306" s="2">
        <v>6</v>
      </c>
      <c r="J2306" s="2">
        <v>114893</v>
      </c>
      <c r="K2306" s="2">
        <v>132095</v>
      </c>
      <c r="L2306" s="2">
        <v>10</v>
      </c>
      <c r="M2306" t="str">
        <f>IF(Revv_bike_sales_data[[#This Row],[delivery_days]]&lt;=7, "Yes", "No")</f>
        <v>No</v>
      </c>
      <c r="N2306" t="s">
        <v>16</v>
      </c>
      <c r="O2306" s="2">
        <v>-17202</v>
      </c>
    </row>
    <row r="2307" spans="1:15" x14ac:dyDescent="0.3">
      <c r="A2307" s="2">
        <v>2297</v>
      </c>
      <c r="B2307" s="1">
        <v>45022.666666666664</v>
      </c>
      <c r="C2307" s="1" t="str">
        <f t="shared" si="70"/>
        <v>04-2023</v>
      </c>
      <c r="D2307" s="2">
        <f t="shared" si="71"/>
        <v>14</v>
      </c>
      <c r="E2307" t="s">
        <v>22</v>
      </c>
      <c r="F2307" t="s">
        <v>14</v>
      </c>
      <c r="G2307" t="s">
        <v>21</v>
      </c>
      <c r="H2307" s="2">
        <v>97774</v>
      </c>
      <c r="I2307" s="2">
        <v>4</v>
      </c>
      <c r="J2307" s="2">
        <v>87958</v>
      </c>
      <c r="K2307" s="2">
        <v>119987</v>
      </c>
      <c r="L2307" s="2">
        <v>3</v>
      </c>
      <c r="M2307" t="str">
        <f>IF(Revv_bike_sales_data[[#This Row],[delivery_days]]&lt;=7, "Yes", "No")</f>
        <v>Yes</v>
      </c>
      <c r="N2307" t="s">
        <v>16</v>
      </c>
      <c r="O2307" s="2">
        <v>-32029</v>
      </c>
    </row>
    <row r="2308" spans="1:15" x14ac:dyDescent="0.3">
      <c r="A2308" s="2">
        <v>2298</v>
      </c>
      <c r="B2308" s="1">
        <v>45022.708333333336</v>
      </c>
      <c r="C2308" s="1" t="str">
        <f t="shared" si="70"/>
        <v>04-2023</v>
      </c>
      <c r="D2308" s="2">
        <f t="shared" si="71"/>
        <v>14</v>
      </c>
      <c r="E2308" t="s">
        <v>17</v>
      </c>
      <c r="F2308" t="s">
        <v>23</v>
      </c>
      <c r="G2308" t="s">
        <v>19</v>
      </c>
      <c r="H2308" s="2">
        <v>27344</v>
      </c>
      <c r="I2308" s="2">
        <v>4</v>
      </c>
      <c r="J2308" s="2">
        <v>162899</v>
      </c>
      <c r="K2308" s="2">
        <v>64962</v>
      </c>
      <c r="L2308" s="2">
        <v>14</v>
      </c>
      <c r="M2308" t="str">
        <f>IF(Revv_bike_sales_data[[#This Row],[delivery_days]]&lt;=7, "Yes", "No")</f>
        <v>No</v>
      </c>
      <c r="N2308" t="s">
        <v>16</v>
      </c>
      <c r="O2308" s="2">
        <v>97937</v>
      </c>
    </row>
    <row r="2309" spans="1:15" x14ac:dyDescent="0.3">
      <c r="A2309" s="2">
        <v>2299</v>
      </c>
      <c r="B2309" s="1">
        <v>45022.75</v>
      </c>
      <c r="C2309" s="1" t="str">
        <f t="shared" si="70"/>
        <v>04-2023</v>
      </c>
      <c r="D2309" s="2">
        <f t="shared" si="71"/>
        <v>14</v>
      </c>
      <c r="E2309" t="s">
        <v>17</v>
      </c>
      <c r="F2309" t="s">
        <v>14</v>
      </c>
      <c r="G2309" t="s">
        <v>15</v>
      </c>
      <c r="H2309" s="2">
        <v>23947</v>
      </c>
      <c r="I2309" s="2">
        <v>7</v>
      </c>
      <c r="J2309" s="2">
        <v>55844</v>
      </c>
      <c r="K2309" s="2">
        <v>103672</v>
      </c>
      <c r="L2309" s="2">
        <v>8</v>
      </c>
      <c r="M2309" t="str">
        <f>IF(Revv_bike_sales_data[[#This Row],[delivery_days]]&lt;=7, "Yes", "No")</f>
        <v>No</v>
      </c>
      <c r="N2309" t="s">
        <v>16</v>
      </c>
      <c r="O2309" s="2">
        <v>-47828</v>
      </c>
    </row>
    <row r="2310" spans="1:15" x14ac:dyDescent="0.3">
      <c r="A2310" s="2">
        <v>2300</v>
      </c>
      <c r="B2310" s="1">
        <v>45022.791666666664</v>
      </c>
      <c r="C2310" s="1" t="str">
        <f t="shared" si="70"/>
        <v>04-2023</v>
      </c>
      <c r="D2310" s="2">
        <f t="shared" si="71"/>
        <v>14</v>
      </c>
      <c r="E2310" t="s">
        <v>22</v>
      </c>
      <c r="F2310" t="s">
        <v>14</v>
      </c>
      <c r="G2310" t="s">
        <v>20</v>
      </c>
      <c r="H2310" s="2">
        <v>90915</v>
      </c>
      <c r="I2310" s="2">
        <v>6</v>
      </c>
      <c r="J2310" s="2">
        <v>139501</v>
      </c>
      <c r="K2310" s="2">
        <v>50885</v>
      </c>
      <c r="L2310" s="2">
        <v>11</v>
      </c>
      <c r="M2310" t="str">
        <f>IF(Revv_bike_sales_data[[#This Row],[delivery_days]]&lt;=7, "Yes", "No")</f>
        <v>No</v>
      </c>
      <c r="N2310" t="s">
        <v>16</v>
      </c>
      <c r="O2310" s="2">
        <v>88616</v>
      </c>
    </row>
    <row r="2311" spans="1:15" x14ac:dyDescent="0.3">
      <c r="A2311" s="2">
        <v>2301</v>
      </c>
      <c r="B2311" s="1">
        <v>45022.833333333336</v>
      </c>
      <c r="C2311" s="1" t="str">
        <f t="shared" si="70"/>
        <v>04-2023</v>
      </c>
      <c r="D2311" s="2">
        <f t="shared" si="71"/>
        <v>14</v>
      </c>
      <c r="E2311" t="s">
        <v>13</v>
      </c>
      <c r="F2311" t="s">
        <v>14</v>
      </c>
      <c r="G2311" t="s">
        <v>19</v>
      </c>
      <c r="H2311" s="2">
        <v>78002</v>
      </c>
      <c r="I2311" s="2">
        <v>8</v>
      </c>
      <c r="J2311" s="2">
        <v>116200</v>
      </c>
      <c r="K2311" s="2">
        <v>111256</v>
      </c>
      <c r="L2311" s="2">
        <v>8</v>
      </c>
      <c r="M2311" t="str">
        <f>IF(Revv_bike_sales_data[[#This Row],[delivery_days]]&lt;=7, "Yes", "No")</f>
        <v>No</v>
      </c>
      <c r="N2311" t="s">
        <v>16</v>
      </c>
      <c r="O2311" s="2">
        <v>4944</v>
      </c>
    </row>
    <row r="2312" spans="1:15" x14ac:dyDescent="0.3">
      <c r="A2312" s="2">
        <v>2302</v>
      </c>
      <c r="B2312" s="1">
        <v>45022.875</v>
      </c>
      <c r="C2312" s="1" t="str">
        <f t="shared" si="70"/>
        <v>04-2023</v>
      </c>
      <c r="D2312" s="2">
        <f t="shared" si="71"/>
        <v>14</v>
      </c>
      <c r="E2312" t="s">
        <v>25</v>
      </c>
      <c r="F2312" t="s">
        <v>23</v>
      </c>
      <c r="G2312" t="s">
        <v>19</v>
      </c>
      <c r="H2312" s="2">
        <v>83768</v>
      </c>
      <c r="I2312" s="2">
        <v>3</v>
      </c>
      <c r="J2312" s="2">
        <v>25792</v>
      </c>
      <c r="K2312" s="2">
        <v>36157</v>
      </c>
      <c r="L2312" s="2">
        <v>2</v>
      </c>
      <c r="M2312" t="str">
        <f>IF(Revv_bike_sales_data[[#This Row],[delivery_days]]&lt;=7, "Yes", "No")</f>
        <v>Yes</v>
      </c>
      <c r="N2312" t="s">
        <v>16</v>
      </c>
      <c r="O2312" s="2">
        <v>-10365</v>
      </c>
    </row>
    <row r="2313" spans="1:15" x14ac:dyDescent="0.3">
      <c r="A2313" s="2">
        <v>2303</v>
      </c>
      <c r="B2313" s="1">
        <v>45022.916666666664</v>
      </c>
      <c r="C2313" s="1" t="str">
        <f t="shared" si="70"/>
        <v>04-2023</v>
      </c>
      <c r="D2313" s="2">
        <f t="shared" si="71"/>
        <v>14</v>
      </c>
      <c r="E2313" t="s">
        <v>25</v>
      </c>
      <c r="F2313" t="s">
        <v>14</v>
      </c>
      <c r="G2313" t="s">
        <v>19</v>
      </c>
      <c r="H2313" s="2">
        <v>55208</v>
      </c>
      <c r="I2313" s="2">
        <v>9</v>
      </c>
      <c r="J2313" s="2">
        <v>108187</v>
      </c>
      <c r="K2313" s="2">
        <v>63372</v>
      </c>
      <c r="L2313" s="2">
        <v>11</v>
      </c>
      <c r="M2313" t="str">
        <f>IF(Revv_bike_sales_data[[#This Row],[delivery_days]]&lt;=7, "Yes", "No")</f>
        <v>No</v>
      </c>
      <c r="N2313" t="s">
        <v>16</v>
      </c>
      <c r="O2313" s="2">
        <v>44815</v>
      </c>
    </row>
    <row r="2314" spans="1:15" x14ac:dyDescent="0.3">
      <c r="A2314" s="2">
        <v>2304</v>
      </c>
      <c r="B2314" s="1">
        <v>45022.958333333336</v>
      </c>
      <c r="C2314" s="1" t="str">
        <f t="shared" si="70"/>
        <v>04-2023</v>
      </c>
      <c r="D2314" s="2">
        <f t="shared" si="71"/>
        <v>14</v>
      </c>
      <c r="E2314" t="s">
        <v>25</v>
      </c>
      <c r="F2314" t="s">
        <v>23</v>
      </c>
      <c r="G2314" t="s">
        <v>19</v>
      </c>
      <c r="H2314" s="2">
        <v>64425</v>
      </c>
      <c r="I2314" s="2">
        <v>3</v>
      </c>
      <c r="J2314" s="2">
        <v>67510</v>
      </c>
      <c r="K2314" s="2">
        <v>34674</v>
      </c>
      <c r="L2314" s="2">
        <v>2</v>
      </c>
      <c r="M2314" t="str">
        <f>IF(Revv_bike_sales_data[[#This Row],[delivery_days]]&lt;=7, "Yes", "No")</f>
        <v>Yes</v>
      </c>
      <c r="N2314" t="s">
        <v>16</v>
      </c>
      <c r="O2314" s="2">
        <v>32836</v>
      </c>
    </row>
    <row r="2315" spans="1:15" x14ac:dyDescent="0.3">
      <c r="A2315" s="2">
        <v>2305</v>
      </c>
      <c r="B2315" s="1">
        <v>45023</v>
      </c>
      <c r="C2315" s="1" t="str">
        <f t="shared" ref="C2315:C2378" si="72">TEXT(B2315,"mm-yyyy")</f>
        <v>04-2023</v>
      </c>
      <c r="D2315" s="2">
        <f t="shared" ref="D2315:D2378" si="73">WEEKNUM(B2315)</f>
        <v>14</v>
      </c>
      <c r="E2315" t="s">
        <v>22</v>
      </c>
      <c r="F2315" t="s">
        <v>14</v>
      </c>
      <c r="G2315" t="s">
        <v>15</v>
      </c>
      <c r="H2315" s="2">
        <v>71325</v>
      </c>
      <c r="I2315" s="2">
        <v>1</v>
      </c>
      <c r="J2315" s="2">
        <v>138104</v>
      </c>
      <c r="K2315" s="2">
        <v>47357</v>
      </c>
      <c r="L2315" s="2">
        <v>2</v>
      </c>
      <c r="M2315" t="str">
        <f>IF(Revv_bike_sales_data[[#This Row],[delivery_days]]&lt;=7, "Yes", "No")</f>
        <v>Yes</v>
      </c>
      <c r="N2315" t="s">
        <v>16</v>
      </c>
      <c r="O2315" s="2">
        <v>90747</v>
      </c>
    </row>
    <row r="2316" spans="1:15" x14ac:dyDescent="0.3">
      <c r="A2316" s="2">
        <v>2306</v>
      </c>
      <c r="B2316" s="1">
        <v>45023.041666666664</v>
      </c>
      <c r="C2316" s="1" t="str">
        <f t="shared" si="72"/>
        <v>04-2023</v>
      </c>
      <c r="D2316" s="2">
        <f t="shared" si="73"/>
        <v>14</v>
      </c>
      <c r="E2316" t="s">
        <v>22</v>
      </c>
      <c r="F2316" t="s">
        <v>14</v>
      </c>
      <c r="G2316" t="s">
        <v>15</v>
      </c>
      <c r="H2316" s="2">
        <v>52074</v>
      </c>
      <c r="I2316" s="2">
        <v>2</v>
      </c>
      <c r="J2316" s="2">
        <v>64632</v>
      </c>
      <c r="K2316" s="2">
        <v>27578</v>
      </c>
      <c r="L2316" s="2">
        <v>10</v>
      </c>
      <c r="M2316" t="str">
        <f>IF(Revv_bike_sales_data[[#This Row],[delivery_days]]&lt;=7, "Yes", "No")</f>
        <v>No</v>
      </c>
      <c r="N2316" t="s">
        <v>16</v>
      </c>
      <c r="O2316" s="2">
        <v>37054</v>
      </c>
    </row>
    <row r="2317" spans="1:15" x14ac:dyDescent="0.3">
      <c r="A2317" s="2">
        <v>2307</v>
      </c>
      <c r="B2317" s="1">
        <v>45023.083333333336</v>
      </c>
      <c r="C2317" s="1" t="str">
        <f t="shared" si="72"/>
        <v>04-2023</v>
      </c>
      <c r="D2317" s="2">
        <f t="shared" si="73"/>
        <v>14</v>
      </c>
      <c r="E2317" t="s">
        <v>18</v>
      </c>
      <c r="F2317" t="s">
        <v>14</v>
      </c>
      <c r="G2317" t="s">
        <v>20</v>
      </c>
      <c r="H2317" s="2">
        <v>86048</v>
      </c>
      <c r="I2317" s="2">
        <v>0</v>
      </c>
      <c r="J2317" s="2">
        <v>108568</v>
      </c>
      <c r="K2317" s="2">
        <v>17251</v>
      </c>
      <c r="L2317" s="2">
        <v>7</v>
      </c>
      <c r="M2317" t="str">
        <f>IF(Revv_bike_sales_data[[#This Row],[delivery_days]]&lt;=7, "Yes", "No")</f>
        <v>Yes</v>
      </c>
      <c r="N2317" t="s">
        <v>16</v>
      </c>
      <c r="O2317" s="2">
        <v>91317</v>
      </c>
    </row>
    <row r="2318" spans="1:15" x14ac:dyDescent="0.3">
      <c r="A2318" s="2">
        <v>2308</v>
      </c>
      <c r="B2318" s="1">
        <v>45023.125</v>
      </c>
      <c r="C2318" s="1" t="str">
        <f t="shared" si="72"/>
        <v>04-2023</v>
      </c>
      <c r="D2318" s="2">
        <f t="shared" si="73"/>
        <v>14</v>
      </c>
      <c r="E2318" t="s">
        <v>25</v>
      </c>
      <c r="F2318" t="s">
        <v>14</v>
      </c>
      <c r="G2318" t="s">
        <v>20</v>
      </c>
      <c r="H2318" s="2">
        <v>19312</v>
      </c>
      <c r="I2318" s="2">
        <v>0</v>
      </c>
      <c r="J2318" s="2">
        <v>90214</v>
      </c>
      <c r="K2318" s="2">
        <v>94049</v>
      </c>
      <c r="L2318" s="2">
        <v>6</v>
      </c>
      <c r="M2318" t="str">
        <f>IF(Revv_bike_sales_data[[#This Row],[delivery_days]]&lt;=7, "Yes", "No")</f>
        <v>Yes</v>
      </c>
      <c r="N2318" t="s">
        <v>16</v>
      </c>
      <c r="O2318" s="2">
        <v>-3835</v>
      </c>
    </row>
    <row r="2319" spans="1:15" x14ac:dyDescent="0.3">
      <c r="A2319" s="2">
        <v>2309</v>
      </c>
      <c r="B2319" s="1">
        <v>45023.166666666664</v>
      </c>
      <c r="C2319" s="1" t="str">
        <f t="shared" si="72"/>
        <v>04-2023</v>
      </c>
      <c r="D2319" s="2">
        <f t="shared" si="73"/>
        <v>14</v>
      </c>
      <c r="E2319" t="s">
        <v>13</v>
      </c>
      <c r="F2319" t="s">
        <v>23</v>
      </c>
      <c r="G2319" t="s">
        <v>21</v>
      </c>
      <c r="H2319" s="2">
        <v>55809</v>
      </c>
      <c r="I2319" s="2">
        <v>6</v>
      </c>
      <c r="J2319" s="2">
        <v>69870</v>
      </c>
      <c r="K2319" s="2">
        <v>52429</v>
      </c>
      <c r="L2319" s="2">
        <v>12</v>
      </c>
      <c r="M2319" t="str">
        <f>IF(Revv_bike_sales_data[[#This Row],[delivery_days]]&lt;=7, "Yes", "No")</f>
        <v>No</v>
      </c>
      <c r="N2319" t="s">
        <v>16</v>
      </c>
      <c r="O2319" s="2">
        <v>17441</v>
      </c>
    </row>
    <row r="2320" spans="1:15" x14ac:dyDescent="0.3">
      <c r="A2320" s="2">
        <v>2310</v>
      </c>
      <c r="B2320" s="1">
        <v>45023.208333333336</v>
      </c>
      <c r="C2320" s="1" t="str">
        <f t="shared" si="72"/>
        <v>04-2023</v>
      </c>
      <c r="D2320" s="2">
        <f t="shared" si="73"/>
        <v>14</v>
      </c>
      <c r="E2320" t="s">
        <v>13</v>
      </c>
      <c r="F2320" t="s">
        <v>14</v>
      </c>
      <c r="G2320" t="s">
        <v>15</v>
      </c>
      <c r="H2320" s="2">
        <v>64730</v>
      </c>
      <c r="I2320" s="2">
        <v>4</v>
      </c>
      <c r="J2320" s="2">
        <v>73110</v>
      </c>
      <c r="K2320" s="2">
        <v>107641</v>
      </c>
      <c r="L2320" s="2">
        <v>11</v>
      </c>
      <c r="M2320" t="str">
        <f>IF(Revv_bike_sales_data[[#This Row],[delivery_days]]&lt;=7, "Yes", "No")</f>
        <v>No</v>
      </c>
      <c r="N2320" t="s">
        <v>16</v>
      </c>
      <c r="O2320" s="2">
        <v>-34531</v>
      </c>
    </row>
    <row r="2321" spans="1:15" x14ac:dyDescent="0.3">
      <c r="A2321" s="2">
        <v>2311</v>
      </c>
      <c r="B2321" s="1">
        <v>45023.25</v>
      </c>
      <c r="C2321" s="1" t="str">
        <f t="shared" si="72"/>
        <v>04-2023</v>
      </c>
      <c r="D2321" s="2">
        <f t="shared" si="73"/>
        <v>14</v>
      </c>
      <c r="E2321" t="s">
        <v>25</v>
      </c>
      <c r="F2321" t="s">
        <v>14</v>
      </c>
      <c r="G2321" t="s">
        <v>19</v>
      </c>
      <c r="H2321" s="2">
        <v>42128</v>
      </c>
      <c r="I2321" s="2">
        <v>2</v>
      </c>
      <c r="J2321" s="2">
        <v>134414</v>
      </c>
      <c r="K2321" s="2">
        <v>61871</v>
      </c>
      <c r="L2321" s="2">
        <v>1</v>
      </c>
      <c r="M2321" t="str">
        <f>IF(Revv_bike_sales_data[[#This Row],[delivery_days]]&lt;=7, "Yes", "No")</f>
        <v>Yes</v>
      </c>
      <c r="N2321" t="s">
        <v>16</v>
      </c>
      <c r="O2321" s="2">
        <v>72543</v>
      </c>
    </row>
    <row r="2322" spans="1:15" x14ac:dyDescent="0.3">
      <c r="A2322" s="2">
        <v>2312</v>
      </c>
      <c r="B2322" s="1">
        <v>45023.291666666664</v>
      </c>
      <c r="C2322" s="1" t="str">
        <f t="shared" si="72"/>
        <v>04-2023</v>
      </c>
      <c r="D2322" s="2">
        <f t="shared" si="73"/>
        <v>14</v>
      </c>
      <c r="E2322" t="s">
        <v>25</v>
      </c>
      <c r="F2322" t="s">
        <v>14</v>
      </c>
      <c r="G2322" t="s">
        <v>19</v>
      </c>
      <c r="H2322" s="2">
        <v>41081</v>
      </c>
      <c r="I2322" s="2">
        <v>6</v>
      </c>
      <c r="J2322" s="2">
        <v>161243</v>
      </c>
      <c r="K2322" s="2">
        <v>101526</v>
      </c>
      <c r="L2322" s="2">
        <v>2</v>
      </c>
      <c r="M2322" t="str">
        <f>IF(Revv_bike_sales_data[[#This Row],[delivery_days]]&lt;=7, "Yes", "No")</f>
        <v>Yes</v>
      </c>
      <c r="N2322" t="s">
        <v>16</v>
      </c>
      <c r="O2322" s="2">
        <v>59717</v>
      </c>
    </row>
    <row r="2323" spans="1:15" x14ac:dyDescent="0.3">
      <c r="A2323" s="2">
        <v>2313</v>
      </c>
      <c r="B2323" s="1">
        <v>45023.333333333336</v>
      </c>
      <c r="C2323" s="1" t="str">
        <f t="shared" si="72"/>
        <v>04-2023</v>
      </c>
      <c r="D2323" s="2">
        <f t="shared" si="73"/>
        <v>14</v>
      </c>
      <c r="E2323" t="s">
        <v>25</v>
      </c>
      <c r="F2323" t="s">
        <v>14</v>
      </c>
      <c r="G2323" t="s">
        <v>21</v>
      </c>
      <c r="H2323" s="2">
        <v>47128</v>
      </c>
      <c r="I2323" s="2">
        <v>1</v>
      </c>
      <c r="J2323" s="2">
        <v>165661</v>
      </c>
      <c r="K2323" s="2">
        <v>40499</v>
      </c>
      <c r="L2323" s="2">
        <v>14</v>
      </c>
      <c r="M2323" t="str">
        <f>IF(Revv_bike_sales_data[[#This Row],[delivery_days]]&lt;=7, "Yes", "No")</f>
        <v>No</v>
      </c>
      <c r="N2323" t="s">
        <v>24</v>
      </c>
      <c r="O2323" s="2">
        <v>125162</v>
      </c>
    </row>
    <row r="2324" spans="1:15" x14ac:dyDescent="0.3">
      <c r="A2324" s="2">
        <v>2314</v>
      </c>
      <c r="B2324" s="1">
        <v>45023.375</v>
      </c>
      <c r="C2324" s="1" t="str">
        <f t="shared" si="72"/>
        <v>04-2023</v>
      </c>
      <c r="D2324" s="2">
        <f t="shared" si="73"/>
        <v>14</v>
      </c>
      <c r="E2324" t="s">
        <v>22</v>
      </c>
      <c r="F2324" t="s">
        <v>14</v>
      </c>
      <c r="G2324" t="s">
        <v>19</v>
      </c>
      <c r="H2324" s="2">
        <v>89128</v>
      </c>
      <c r="I2324" s="2">
        <v>2</v>
      </c>
      <c r="J2324" s="2">
        <v>43077</v>
      </c>
      <c r="K2324" s="2">
        <v>21421</v>
      </c>
      <c r="L2324" s="2">
        <v>1</v>
      </c>
      <c r="M2324" t="str">
        <f>IF(Revv_bike_sales_data[[#This Row],[delivery_days]]&lt;=7, "Yes", "No")</f>
        <v>Yes</v>
      </c>
      <c r="N2324" t="s">
        <v>16</v>
      </c>
      <c r="O2324" s="2">
        <v>21656</v>
      </c>
    </row>
    <row r="2325" spans="1:15" x14ac:dyDescent="0.3">
      <c r="A2325" s="2">
        <v>2315</v>
      </c>
      <c r="B2325" s="1">
        <v>45023.416666666664</v>
      </c>
      <c r="C2325" s="1" t="str">
        <f t="shared" si="72"/>
        <v>04-2023</v>
      </c>
      <c r="D2325" s="2">
        <f t="shared" si="73"/>
        <v>14</v>
      </c>
      <c r="E2325" t="s">
        <v>22</v>
      </c>
      <c r="F2325" t="s">
        <v>14</v>
      </c>
      <c r="G2325" t="s">
        <v>21</v>
      </c>
      <c r="H2325" s="2">
        <v>25605</v>
      </c>
      <c r="I2325" s="2">
        <v>0</v>
      </c>
      <c r="J2325" s="2">
        <v>89874</v>
      </c>
      <c r="K2325" s="2">
        <v>67204</v>
      </c>
      <c r="L2325" s="2">
        <v>12</v>
      </c>
      <c r="M2325" t="str">
        <f>IF(Revv_bike_sales_data[[#This Row],[delivery_days]]&lt;=7, "Yes", "No")</f>
        <v>No</v>
      </c>
      <c r="N2325" t="s">
        <v>16</v>
      </c>
      <c r="O2325" s="2">
        <v>22670</v>
      </c>
    </row>
    <row r="2326" spans="1:15" x14ac:dyDescent="0.3">
      <c r="A2326" s="2">
        <v>2316</v>
      </c>
      <c r="B2326" s="1">
        <v>45023.458333333336</v>
      </c>
      <c r="C2326" s="1" t="str">
        <f t="shared" si="72"/>
        <v>04-2023</v>
      </c>
      <c r="D2326" s="2">
        <f t="shared" si="73"/>
        <v>14</v>
      </c>
      <c r="E2326" t="s">
        <v>22</v>
      </c>
      <c r="F2326" t="s">
        <v>23</v>
      </c>
      <c r="G2326" t="s">
        <v>20</v>
      </c>
      <c r="H2326" s="2">
        <v>80330</v>
      </c>
      <c r="I2326" s="2">
        <v>7</v>
      </c>
      <c r="J2326" s="2">
        <v>171009</v>
      </c>
      <c r="K2326" s="2">
        <v>39591</v>
      </c>
      <c r="L2326" s="2">
        <v>11</v>
      </c>
      <c r="M2326" t="str">
        <f>IF(Revv_bike_sales_data[[#This Row],[delivery_days]]&lt;=7, "Yes", "No")</f>
        <v>No</v>
      </c>
      <c r="N2326" t="s">
        <v>16</v>
      </c>
      <c r="O2326" s="2">
        <v>131418</v>
      </c>
    </row>
    <row r="2327" spans="1:15" x14ac:dyDescent="0.3">
      <c r="A2327" s="2">
        <v>2317</v>
      </c>
      <c r="B2327" s="1">
        <v>45023.5</v>
      </c>
      <c r="C2327" s="1" t="str">
        <f t="shared" si="72"/>
        <v>04-2023</v>
      </c>
      <c r="D2327" s="2">
        <f t="shared" si="73"/>
        <v>14</v>
      </c>
      <c r="E2327" t="s">
        <v>17</v>
      </c>
      <c r="F2327" t="s">
        <v>14</v>
      </c>
      <c r="G2327" t="s">
        <v>15</v>
      </c>
      <c r="H2327" s="2">
        <v>69657</v>
      </c>
      <c r="I2327" s="2">
        <v>1</v>
      </c>
      <c r="J2327" s="2">
        <v>34754</v>
      </c>
      <c r="K2327" s="2">
        <v>75940</v>
      </c>
      <c r="L2327" s="2">
        <v>7</v>
      </c>
      <c r="M2327" t="str">
        <f>IF(Revv_bike_sales_data[[#This Row],[delivery_days]]&lt;=7, "Yes", "No")</f>
        <v>Yes</v>
      </c>
      <c r="N2327" t="s">
        <v>16</v>
      </c>
      <c r="O2327" s="2">
        <v>-41186</v>
      </c>
    </row>
    <row r="2328" spans="1:15" x14ac:dyDescent="0.3">
      <c r="A2328" s="2">
        <v>2318</v>
      </c>
      <c r="B2328" s="1">
        <v>45023.541666666664</v>
      </c>
      <c r="C2328" s="1" t="str">
        <f t="shared" si="72"/>
        <v>04-2023</v>
      </c>
      <c r="D2328" s="2">
        <f t="shared" si="73"/>
        <v>14</v>
      </c>
      <c r="E2328" t="s">
        <v>13</v>
      </c>
      <c r="F2328" t="s">
        <v>14</v>
      </c>
      <c r="G2328" t="s">
        <v>21</v>
      </c>
      <c r="H2328" s="2">
        <v>32942</v>
      </c>
      <c r="I2328" s="2">
        <v>6</v>
      </c>
      <c r="J2328" s="2">
        <v>50688</v>
      </c>
      <c r="K2328" s="2">
        <v>107515</v>
      </c>
      <c r="L2328" s="2">
        <v>6</v>
      </c>
      <c r="M2328" t="str">
        <f>IF(Revv_bike_sales_data[[#This Row],[delivery_days]]&lt;=7, "Yes", "No")</f>
        <v>Yes</v>
      </c>
      <c r="N2328" t="s">
        <v>24</v>
      </c>
      <c r="O2328" s="2">
        <v>-56827</v>
      </c>
    </row>
    <row r="2329" spans="1:15" x14ac:dyDescent="0.3">
      <c r="A2329" s="2">
        <v>2319</v>
      </c>
      <c r="B2329" s="1">
        <v>45023.583333333336</v>
      </c>
      <c r="C2329" s="1" t="str">
        <f t="shared" si="72"/>
        <v>04-2023</v>
      </c>
      <c r="D2329" s="2">
        <f t="shared" si="73"/>
        <v>14</v>
      </c>
      <c r="E2329" t="s">
        <v>13</v>
      </c>
      <c r="F2329" t="s">
        <v>14</v>
      </c>
      <c r="G2329" t="s">
        <v>19</v>
      </c>
      <c r="H2329" s="2">
        <v>87735</v>
      </c>
      <c r="I2329" s="2">
        <v>8</v>
      </c>
      <c r="J2329" s="2">
        <v>32048</v>
      </c>
      <c r="K2329" s="2">
        <v>101371</v>
      </c>
      <c r="L2329" s="2">
        <v>2</v>
      </c>
      <c r="M2329" t="str">
        <f>IF(Revv_bike_sales_data[[#This Row],[delivery_days]]&lt;=7, "Yes", "No")</f>
        <v>Yes</v>
      </c>
      <c r="N2329" t="s">
        <v>16</v>
      </c>
      <c r="O2329" s="2">
        <v>-69323</v>
      </c>
    </row>
    <row r="2330" spans="1:15" x14ac:dyDescent="0.3">
      <c r="A2330" s="2">
        <v>2320</v>
      </c>
      <c r="B2330" s="1">
        <v>45023.625</v>
      </c>
      <c r="C2330" s="1" t="str">
        <f t="shared" si="72"/>
        <v>04-2023</v>
      </c>
      <c r="D2330" s="2">
        <f t="shared" si="73"/>
        <v>14</v>
      </c>
      <c r="E2330" t="s">
        <v>18</v>
      </c>
      <c r="F2330" t="s">
        <v>14</v>
      </c>
      <c r="G2330" t="s">
        <v>21</v>
      </c>
      <c r="H2330" s="2">
        <v>2847</v>
      </c>
      <c r="I2330" s="2">
        <v>5</v>
      </c>
      <c r="J2330" s="2">
        <v>47568</v>
      </c>
      <c r="K2330" s="2">
        <v>118229</v>
      </c>
      <c r="L2330" s="2">
        <v>2</v>
      </c>
      <c r="M2330" t="str">
        <f>IF(Revv_bike_sales_data[[#This Row],[delivery_days]]&lt;=7, "Yes", "No")</f>
        <v>Yes</v>
      </c>
      <c r="N2330" t="s">
        <v>16</v>
      </c>
      <c r="O2330" s="2">
        <v>-70661</v>
      </c>
    </row>
    <row r="2331" spans="1:15" x14ac:dyDescent="0.3">
      <c r="A2331" s="2">
        <v>2321</v>
      </c>
      <c r="B2331" s="1">
        <v>45023.666666666664</v>
      </c>
      <c r="C2331" s="1" t="str">
        <f t="shared" si="72"/>
        <v>04-2023</v>
      </c>
      <c r="D2331" s="2">
        <f t="shared" si="73"/>
        <v>14</v>
      </c>
      <c r="E2331" t="s">
        <v>22</v>
      </c>
      <c r="F2331" t="s">
        <v>14</v>
      </c>
      <c r="G2331" t="s">
        <v>20</v>
      </c>
      <c r="H2331" s="2">
        <v>95522</v>
      </c>
      <c r="I2331" s="2">
        <v>1</v>
      </c>
      <c r="J2331" s="2">
        <v>122583</v>
      </c>
      <c r="K2331" s="2">
        <v>27202</v>
      </c>
      <c r="L2331" s="2">
        <v>2</v>
      </c>
      <c r="M2331" t="str">
        <f>IF(Revv_bike_sales_data[[#This Row],[delivery_days]]&lt;=7, "Yes", "No")</f>
        <v>Yes</v>
      </c>
      <c r="N2331" t="s">
        <v>16</v>
      </c>
      <c r="O2331" s="2">
        <v>95381</v>
      </c>
    </row>
    <row r="2332" spans="1:15" x14ac:dyDescent="0.3">
      <c r="A2332" s="2">
        <v>2322</v>
      </c>
      <c r="B2332" s="1">
        <v>45023.708333333336</v>
      </c>
      <c r="C2332" s="1" t="str">
        <f t="shared" si="72"/>
        <v>04-2023</v>
      </c>
      <c r="D2332" s="2">
        <f t="shared" si="73"/>
        <v>14</v>
      </c>
      <c r="E2332" t="s">
        <v>17</v>
      </c>
      <c r="F2332" t="s">
        <v>23</v>
      </c>
      <c r="G2332" t="s">
        <v>19</v>
      </c>
      <c r="H2332" s="2">
        <v>48150</v>
      </c>
      <c r="I2332" s="2">
        <v>1</v>
      </c>
      <c r="J2332" s="2">
        <v>173617</v>
      </c>
      <c r="K2332" s="2">
        <v>115950</v>
      </c>
      <c r="L2332" s="2">
        <v>8</v>
      </c>
      <c r="M2332" t="str">
        <f>IF(Revv_bike_sales_data[[#This Row],[delivery_days]]&lt;=7, "Yes", "No")</f>
        <v>No</v>
      </c>
      <c r="N2332" t="s">
        <v>16</v>
      </c>
      <c r="O2332" s="2">
        <v>57667</v>
      </c>
    </row>
    <row r="2333" spans="1:15" x14ac:dyDescent="0.3">
      <c r="A2333" s="2">
        <v>2323</v>
      </c>
      <c r="B2333" s="1">
        <v>45023.75</v>
      </c>
      <c r="C2333" s="1" t="str">
        <f t="shared" si="72"/>
        <v>04-2023</v>
      </c>
      <c r="D2333" s="2">
        <f t="shared" si="73"/>
        <v>14</v>
      </c>
      <c r="E2333" t="s">
        <v>17</v>
      </c>
      <c r="F2333" t="s">
        <v>14</v>
      </c>
      <c r="G2333" t="s">
        <v>20</v>
      </c>
      <c r="H2333" s="2">
        <v>17610</v>
      </c>
      <c r="I2333" s="2">
        <v>8</v>
      </c>
      <c r="J2333" s="2">
        <v>119449</v>
      </c>
      <c r="K2333" s="2">
        <v>138981</v>
      </c>
      <c r="L2333" s="2">
        <v>14</v>
      </c>
      <c r="M2333" t="str">
        <f>IF(Revv_bike_sales_data[[#This Row],[delivery_days]]&lt;=7, "Yes", "No")</f>
        <v>No</v>
      </c>
      <c r="N2333" t="s">
        <v>16</v>
      </c>
      <c r="O2333" s="2">
        <v>-19532</v>
      </c>
    </row>
    <row r="2334" spans="1:15" x14ac:dyDescent="0.3">
      <c r="A2334" s="2">
        <v>2324</v>
      </c>
      <c r="B2334" s="1">
        <v>45023.791666666664</v>
      </c>
      <c r="C2334" s="1" t="str">
        <f t="shared" si="72"/>
        <v>04-2023</v>
      </c>
      <c r="D2334" s="2">
        <f t="shared" si="73"/>
        <v>14</v>
      </c>
      <c r="E2334" t="s">
        <v>13</v>
      </c>
      <c r="F2334" t="s">
        <v>14</v>
      </c>
      <c r="G2334" t="s">
        <v>20</v>
      </c>
      <c r="H2334" s="2">
        <v>62670</v>
      </c>
      <c r="I2334" s="2">
        <v>9</v>
      </c>
      <c r="J2334" s="2">
        <v>70217</v>
      </c>
      <c r="K2334" s="2">
        <v>106202</v>
      </c>
      <c r="L2334" s="2">
        <v>7</v>
      </c>
      <c r="M2334" t="str">
        <f>IF(Revv_bike_sales_data[[#This Row],[delivery_days]]&lt;=7, "Yes", "No")</f>
        <v>Yes</v>
      </c>
      <c r="N2334" t="s">
        <v>16</v>
      </c>
      <c r="O2334" s="2">
        <v>-35985</v>
      </c>
    </row>
    <row r="2335" spans="1:15" x14ac:dyDescent="0.3">
      <c r="A2335" s="2">
        <v>2325</v>
      </c>
      <c r="B2335" s="1">
        <v>45023.833333333336</v>
      </c>
      <c r="C2335" s="1" t="str">
        <f t="shared" si="72"/>
        <v>04-2023</v>
      </c>
      <c r="D2335" s="2">
        <f t="shared" si="73"/>
        <v>14</v>
      </c>
      <c r="E2335" t="s">
        <v>22</v>
      </c>
      <c r="F2335" t="s">
        <v>14</v>
      </c>
      <c r="G2335" t="s">
        <v>21</v>
      </c>
      <c r="H2335" s="2">
        <v>5423</v>
      </c>
      <c r="I2335" s="2">
        <v>7</v>
      </c>
      <c r="J2335" s="2">
        <v>164781</v>
      </c>
      <c r="K2335" s="2">
        <v>34290</v>
      </c>
      <c r="L2335" s="2">
        <v>1</v>
      </c>
      <c r="M2335" t="str">
        <f>IF(Revv_bike_sales_data[[#This Row],[delivery_days]]&lt;=7, "Yes", "No")</f>
        <v>Yes</v>
      </c>
      <c r="N2335" t="s">
        <v>16</v>
      </c>
      <c r="O2335" s="2">
        <v>130491</v>
      </c>
    </row>
    <row r="2336" spans="1:15" x14ac:dyDescent="0.3">
      <c r="A2336" s="2">
        <v>2326</v>
      </c>
      <c r="B2336" s="1">
        <v>45023.875</v>
      </c>
      <c r="C2336" s="1" t="str">
        <f t="shared" si="72"/>
        <v>04-2023</v>
      </c>
      <c r="D2336" s="2">
        <f t="shared" si="73"/>
        <v>14</v>
      </c>
      <c r="E2336" t="s">
        <v>18</v>
      </c>
      <c r="F2336" t="s">
        <v>23</v>
      </c>
      <c r="G2336" t="s">
        <v>20</v>
      </c>
      <c r="H2336" s="2">
        <v>52301</v>
      </c>
      <c r="I2336" s="2">
        <v>8</v>
      </c>
      <c r="J2336" s="2">
        <v>152873</v>
      </c>
      <c r="K2336" s="2">
        <v>33130</v>
      </c>
      <c r="L2336" s="2">
        <v>4</v>
      </c>
      <c r="M2336" t="str">
        <f>IF(Revv_bike_sales_data[[#This Row],[delivery_days]]&lt;=7, "Yes", "No")</f>
        <v>Yes</v>
      </c>
      <c r="N2336" t="s">
        <v>16</v>
      </c>
      <c r="O2336" s="2">
        <v>119743</v>
      </c>
    </row>
    <row r="2337" spans="1:15" x14ac:dyDescent="0.3">
      <c r="A2337" s="2">
        <v>2327</v>
      </c>
      <c r="B2337" s="1">
        <v>45023.916666666664</v>
      </c>
      <c r="C2337" s="1" t="str">
        <f t="shared" si="72"/>
        <v>04-2023</v>
      </c>
      <c r="D2337" s="2">
        <f t="shared" si="73"/>
        <v>14</v>
      </c>
      <c r="E2337" t="s">
        <v>22</v>
      </c>
      <c r="F2337" t="s">
        <v>14</v>
      </c>
      <c r="G2337" t="s">
        <v>19</v>
      </c>
      <c r="H2337" s="2">
        <v>63271</v>
      </c>
      <c r="I2337" s="2">
        <v>3</v>
      </c>
      <c r="J2337" s="2">
        <v>50358</v>
      </c>
      <c r="K2337" s="2">
        <v>52077</v>
      </c>
      <c r="L2337" s="2">
        <v>11</v>
      </c>
      <c r="M2337" t="str">
        <f>IF(Revv_bike_sales_data[[#This Row],[delivery_days]]&lt;=7, "Yes", "No")</f>
        <v>No</v>
      </c>
      <c r="N2337" t="s">
        <v>16</v>
      </c>
      <c r="O2337" s="2">
        <v>-1719</v>
      </c>
    </row>
    <row r="2338" spans="1:15" x14ac:dyDescent="0.3">
      <c r="A2338" s="2">
        <v>2328</v>
      </c>
      <c r="B2338" s="1">
        <v>45023.958333333336</v>
      </c>
      <c r="C2338" s="1" t="str">
        <f t="shared" si="72"/>
        <v>04-2023</v>
      </c>
      <c r="D2338" s="2">
        <f t="shared" si="73"/>
        <v>14</v>
      </c>
      <c r="E2338" t="s">
        <v>25</v>
      </c>
      <c r="F2338" t="s">
        <v>14</v>
      </c>
      <c r="G2338" t="s">
        <v>20</v>
      </c>
      <c r="H2338" s="2">
        <v>81647</v>
      </c>
      <c r="I2338" s="2">
        <v>3</v>
      </c>
      <c r="J2338" s="2">
        <v>139064</v>
      </c>
      <c r="K2338" s="2">
        <v>139600</v>
      </c>
      <c r="L2338" s="2">
        <v>4</v>
      </c>
      <c r="M2338" t="str">
        <f>IF(Revv_bike_sales_data[[#This Row],[delivery_days]]&lt;=7, "Yes", "No")</f>
        <v>Yes</v>
      </c>
      <c r="N2338" t="s">
        <v>16</v>
      </c>
      <c r="O2338" s="2">
        <v>-536</v>
      </c>
    </row>
    <row r="2339" spans="1:15" x14ac:dyDescent="0.3">
      <c r="A2339" s="2">
        <v>2329</v>
      </c>
      <c r="B2339" s="1">
        <v>45024</v>
      </c>
      <c r="C2339" s="1" t="str">
        <f t="shared" si="72"/>
        <v>04-2023</v>
      </c>
      <c r="D2339" s="2">
        <f t="shared" si="73"/>
        <v>14</v>
      </c>
      <c r="E2339" t="s">
        <v>22</v>
      </c>
      <c r="F2339" t="s">
        <v>14</v>
      </c>
      <c r="G2339" t="s">
        <v>20</v>
      </c>
      <c r="H2339" s="2">
        <v>48635</v>
      </c>
      <c r="I2339" s="2">
        <v>1</v>
      </c>
      <c r="J2339" s="2">
        <v>36023</v>
      </c>
      <c r="K2339" s="2">
        <v>130136</v>
      </c>
      <c r="L2339" s="2">
        <v>7</v>
      </c>
      <c r="M2339" t="str">
        <f>IF(Revv_bike_sales_data[[#This Row],[delivery_days]]&lt;=7, "Yes", "No")</f>
        <v>Yes</v>
      </c>
      <c r="N2339" t="s">
        <v>16</v>
      </c>
      <c r="O2339" s="2">
        <v>-94113</v>
      </c>
    </row>
    <row r="2340" spans="1:15" x14ac:dyDescent="0.3">
      <c r="A2340" s="2">
        <v>2330</v>
      </c>
      <c r="B2340" s="1">
        <v>45024.041666666664</v>
      </c>
      <c r="C2340" s="1" t="str">
        <f t="shared" si="72"/>
        <v>04-2023</v>
      </c>
      <c r="D2340" s="2">
        <f t="shared" si="73"/>
        <v>14</v>
      </c>
      <c r="E2340" t="s">
        <v>25</v>
      </c>
      <c r="F2340" t="s">
        <v>14</v>
      </c>
      <c r="G2340" t="s">
        <v>21</v>
      </c>
      <c r="H2340" s="2">
        <v>19699</v>
      </c>
      <c r="I2340" s="2">
        <v>9</v>
      </c>
      <c r="J2340" s="2">
        <v>120387</v>
      </c>
      <c r="K2340" s="2">
        <v>34396</v>
      </c>
      <c r="L2340" s="2">
        <v>2</v>
      </c>
      <c r="M2340" t="str">
        <f>IF(Revv_bike_sales_data[[#This Row],[delivery_days]]&lt;=7, "Yes", "No")</f>
        <v>Yes</v>
      </c>
      <c r="N2340" t="s">
        <v>16</v>
      </c>
      <c r="O2340" s="2">
        <v>85991</v>
      </c>
    </row>
    <row r="2341" spans="1:15" x14ac:dyDescent="0.3">
      <c r="A2341" s="2">
        <v>2331</v>
      </c>
      <c r="B2341" s="1">
        <v>45024.083333333336</v>
      </c>
      <c r="C2341" s="1" t="str">
        <f t="shared" si="72"/>
        <v>04-2023</v>
      </c>
      <c r="D2341" s="2">
        <f t="shared" si="73"/>
        <v>14</v>
      </c>
      <c r="E2341" t="s">
        <v>25</v>
      </c>
      <c r="F2341" t="s">
        <v>14</v>
      </c>
      <c r="G2341" t="s">
        <v>20</v>
      </c>
      <c r="H2341" s="2">
        <v>9566</v>
      </c>
      <c r="I2341" s="2">
        <v>0</v>
      </c>
      <c r="J2341" s="2">
        <v>111728</v>
      </c>
      <c r="K2341" s="2">
        <v>75848</v>
      </c>
      <c r="L2341" s="2">
        <v>4</v>
      </c>
      <c r="M2341" t="str">
        <f>IF(Revv_bike_sales_data[[#This Row],[delivery_days]]&lt;=7, "Yes", "No")</f>
        <v>Yes</v>
      </c>
      <c r="N2341" t="s">
        <v>16</v>
      </c>
      <c r="O2341" s="2">
        <v>35880</v>
      </c>
    </row>
    <row r="2342" spans="1:15" x14ac:dyDescent="0.3">
      <c r="A2342" s="2">
        <v>2332</v>
      </c>
      <c r="B2342" s="1">
        <v>45024.125</v>
      </c>
      <c r="C2342" s="1" t="str">
        <f t="shared" si="72"/>
        <v>04-2023</v>
      </c>
      <c r="D2342" s="2">
        <f t="shared" si="73"/>
        <v>14</v>
      </c>
      <c r="E2342" t="s">
        <v>18</v>
      </c>
      <c r="F2342" t="s">
        <v>14</v>
      </c>
      <c r="G2342" t="s">
        <v>15</v>
      </c>
      <c r="H2342" s="2">
        <v>52636</v>
      </c>
      <c r="I2342" s="2">
        <v>9</v>
      </c>
      <c r="J2342" s="2">
        <v>174911</v>
      </c>
      <c r="K2342" s="2">
        <v>98488</v>
      </c>
      <c r="L2342" s="2">
        <v>1</v>
      </c>
      <c r="M2342" t="str">
        <f>IF(Revv_bike_sales_data[[#This Row],[delivery_days]]&lt;=7, "Yes", "No")</f>
        <v>Yes</v>
      </c>
      <c r="N2342" t="s">
        <v>16</v>
      </c>
      <c r="O2342" s="2">
        <v>76423</v>
      </c>
    </row>
    <row r="2343" spans="1:15" x14ac:dyDescent="0.3">
      <c r="A2343" s="2">
        <v>2333</v>
      </c>
      <c r="B2343" s="1">
        <v>45024.166666666664</v>
      </c>
      <c r="C2343" s="1" t="str">
        <f t="shared" si="72"/>
        <v>04-2023</v>
      </c>
      <c r="D2343" s="2">
        <f t="shared" si="73"/>
        <v>14</v>
      </c>
      <c r="E2343" t="s">
        <v>13</v>
      </c>
      <c r="F2343" t="s">
        <v>14</v>
      </c>
      <c r="G2343" t="s">
        <v>21</v>
      </c>
      <c r="H2343" s="2">
        <v>92790</v>
      </c>
      <c r="I2343" s="2">
        <v>3</v>
      </c>
      <c r="J2343" s="2">
        <v>52410</v>
      </c>
      <c r="K2343" s="2">
        <v>75530</v>
      </c>
      <c r="L2343" s="2">
        <v>13</v>
      </c>
      <c r="M2343" t="str">
        <f>IF(Revv_bike_sales_data[[#This Row],[delivery_days]]&lt;=7, "Yes", "No")</f>
        <v>No</v>
      </c>
      <c r="N2343" t="s">
        <v>16</v>
      </c>
      <c r="O2343" s="2">
        <v>-23120</v>
      </c>
    </row>
    <row r="2344" spans="1:15" x14ac:dyDescent="0.3">
      <c r="A2344" s="2">
        <v>2334</v>
      </c>
      <c r="B2344" s="1">
        <v>45024.208333333336</v>
      </c>
      <c r="C2344" s="1" t="str">
        <f t="shared" si="72"/>
        <v>04-2023</v>
      </c>
      <c r="D2344" s="2">
        <f t="shared" si="73"/>
        <v>14</v>
      </c>
      <c r="E2344" t="s">
        <v>22</v>
      </c>
      <c r="F2344" t="s">
        <v>14</v>
      </c>
      <c r="G2344" t="s">
        <v>21</v>
      </c>
      <c r="H2344" s="2">
        <v>37075</v>
      </c>
      <c r="I2344" s="2">
        <v>9</v>
      </c>
      <c r="J2344" s="2">
        <v>130696</v>
      </c>
      <c r="K2344" s="2">
        <v>79274</v>
      </c>
      <c r="L2344" s="2">
        <v>13</v>
      </c>
      <c r="M2344" t="str">
        <f>IF(Revv_bike_sales_data[[#This Row],[delivery_days]]&lt;=7, "Yes", "No")</f>
        <v>No</v>
      </c>
      <c r="N2344" t="s">
        <v>16</v>
      </c>
      <c r="O2344" s="2">
        <v>51422</v>
      </c>
    </row>
    <row r="2345" spans="1:15" x14ac:dyDescent="0.3">
      <c r="A2345" s="2">
        <v>2335</v>
      </c>
      <c r="B2345" s="1">
        <v>45024.25</v>
      </c>
      <c r="C2345" s="1" t="str">
        <f t="shared" si="72"/>
        <v>04-2023</v>
      </c>
      <c r="D2345" s="2">
        <f t="shared" si="73"/>
        <v>14</v>
      </c>
      <c r="E2345" t="s">
        <v>25</v>
      </c>
      <c r="F2345" t="s">
        <v>14</v>
      </c>
      <c r="G2345" t="s">
        <v>19</v>
      </c>
      <c r="H2345" s="2">
        <v>90296</v>
      </c>
      <c r="I2345" s="2">
        <v>9</v>
      </c>
      <c r="J2345" s="2">
        <v>36447</v>
      </c>
      <c r="K2345" s="2">
        <v>133179</v>
      </c>
      <c r="L2345" s="2">
        <v>11</v>
      </c>
      <c r="M2345" t="str">
        <f>IF(Revv_bike_sales_data[[#This Row],[delivery_days]]&lt;=7, "Yes", "No")</f>
        <v>No</v>
      </c>
      <c r="N2345" t="s">
        <v>16</v>
      </c>
      <c r="O2345" s="2">
        <v>-96732</v>
      </c>
    </row>
    <row r="2346" spans="1:15" x14ac:dyDescent="0.3">
      <c r="A2346" s="2">
        <v>2336</v>
      </c>
      <c r="B2346" s="1">
        <v>45024.291666666664</v>
      </c>
      <c r="C2346" s="1" t="str">
        <f t="shared" si="72"/>
        <v>04-2023</v>
      </c>
      <c r="D2346" s="2">
        <f t="shared" si="73"/>
        <v>14</v>
      </c>
      <c r="E2346" t="s">
        <v>22</v>
      </c>
      <c r="F2346" t="s">
        <v>14</v>
      </c>
      <c r="G2346" t="s">
        <v>19</v>
      </c>
      <c r="H2346" s="2">
        <v>47233</v>
      </c>
      <c r="I2346" s="2">
        <v>7</v>
      </c>
      <c r="J2346" s="2">
        <v>142954</v>
      </c>
      <c r="K2346" s="2">
        <v>42122</v>
      </c>
      <c r="L2346" s="2">
        <v>11</v>
      </c>
      <c r="M2346" t="str">
        <f>IF(Revv_bike_sales_data[[#This Row],[delivery_days]]&lt;=7, "Yes", "No")</f>
        <v>No</v>
      </c>
      <c r="N2346" t="s">
        <v>16</v>
      </c>
      <c r="O2346" s="2">
        <v>100832</v>
      </c>
    </row>
    <row r="2347" spans="1:15" x14ac:dyDescent="0.3">
      <c r="A2347" s="2">
        <v>2337</v>
      </c>
      <c r="B2347" s="1">
        <v>45024.333333333336</v>
      </c>
      <c r="C2347" s="1" t="str">
        <f t="shared" si="72"/>
        <v>04-2023</v>
      </c>
      <c r="D2347" s="2">
        <f t="shared" si="73"/>
        <v>14</v>
      </c>
      <c r="E2347" t="s">
        <v>13</v>
      </c>
      <c r="F2347" t="s">
        <v>14</v>
      </c>
      <c r="G2347" t="s">
        <v>19</v>
      </c>
      <c r="H2347" s="2">
        <v>17491</v>
      </c>
      <c r="I2347" s="2">
        <v>1</v>
      </c>
      <c r="J2347" s="2">
        <v>111569</v>
      </c>
      <c r="K2347" s="2">
        <v>44381</v>
      </c>
      <c r="L2347" s="2">
        <v>4</v>
      </c>
      <c r="M2347" t="str">
        <f>IF(Revv_bike_sales_data[[#This Row],[delivery_days]]&lt;=7, "Yes", "No")</f>
        <v>Yes</v>
      </c>
      <c r="N2347" t="s">
        <v>16</v>
      </c>
      <c r="O2347" s="2">
        <v>67188</v>
      </c>
    </row>
    <row r="2348" spans="1:15" x14ac:dyDescent="0.3">
      <c r="A2348" s="2">
        <v>2338</v>
      </c>
      <c r="B2348" s="1">
        <v>45024.375</v>
      </c>
      <c r="C2348" s="1" t="str">
        <f t="shared" si="72"/>
        <v>04-2023</v>
      </c>
      <c r="D2348" s="2">
        <f t="shared" si="73"/>
        <v>14</v>
      </c>
      <c r="E2348" t="s">
        <v>13</v>
      </c>
      <c r="F2348" t="s">
        <v>14</v>
      </c>
      <c r="G2348" t="s">
        <v>19</v>
      </c>
      <c r="H2348" s="2">
        <v>23053</v>
      </c>
      <c r="I2348" s="2">
        <v>7</v>
      </c>
      <c r="J2348" s="2">
        <v>120894</v>
      </c>
      <c r="K2348" s="2">
        <v>60435</v>
      </c>
      <c r="L2348" s="2">
        <v>11</v>
      </c>
      <c r="M2348" t="str">
        <f>IF(Revv_bike_sales_data[[#This Row],[delivery_days]]&lt;=7, "Yes", "No")</f>
        <v>No</v>
      </c>
      <c r="N2348" t="s">
        <v>16</v>
      </c>
      <c r="O2348" s="2">
        <v>60459</v>
      </c>
    </row>
    <row r="2349" spans="1:15" x14ac:dyDescent="0.3">
      <c r="A2349" s="2">
        <v>2339</v>
      </c>
      <c r="B2349" s="1">
        <v>45024.416666666664</v>
      </c>
      <c r="C2349" s="1" t="str">
        <f t="shared" si="72"/>
        <v>04-2023</v>
      </c>
      <c r="D2349" s="2">
        <f t="shared" si="73"/>
        <v>14</v>
      </c>
      <c r="E2349" t="s">
        <v>17</v>
      </c>
      <c r="F2349" t="s">
        <v>14</v>
      </c>
      <c r="G2349" t="s">
        <v>15</v>
      </c>
      <c r="H2349" s="2">
        <v>90210</v>
      </c>
      <c r="I2349" s="2">
        <v>0</v>
      </c>
      <c r="J2349" s="2">
        <v>38907</v>
      </c>
      <c r="K2349" s="2">
        <v>120614</v>
      </c>
      <c r="L2349" s="2">
        <v>14</v>
      </c>
      <c r="M2349" t="str">
        <f>IF(Revv_bike_sales_data[[#This Row],[delivery_days]]&lt;=7, "Yes", "No")</f>
        <v>No</v>
      </c>
      <c r="N2349" t="s">
        <v>16</v>
      </c>
      <c r="O2349" s="2">
        <v>-81707</v>
      </c>
    </row>
    <row r="2350" spans="1:15" x14ac:dyDescent="0.3">
      <c r="A2350" s="2">
        <v>2340</v>
      </c>
      <c r="B2350" s="1">
        <v>45024.458333333336</v>
      </c>
      <c r="C2350" s="1" t="str">
        <f t="shared" si="72"/>
        <v>04-2023</v>
      </c>
      <c r="D2350" s="2">
        <f t="shared" si="73"/>
        <v>14</v>
      </c>
      <c r="E2350" t="s">
        <v>13</v>
      </c>
      <c r="F2350" t="s">
        <v>14</v>
      </c>
      <c r="G2350" t="s">
        <v>21</v>
      </c>
      <c r="H2350" s="2">
        <v>87993</v>
      </c>
      <c r="I2350" s="2">
        <v>0</v>
      </c>
      <c r="J2350" s="2">
        <v>46637</v>
      </c>
      <c r="K2350" s="2">
        <v>38267</v>
      </c>
      <c r="L2350" s="2">
        <v>1</v>
      </c>
      <c r="M2350" t="str">
        <f>IF(Revv_bike_sales_data[[#This Row],[delivery_days]]&lt;=7, "Yes", "No")</f>
        <v>Yes</v>
      </c>
      <c r="N2350" t="s">
        <v>16</v>
      </c>
      <c r="O2350" s="2">
        <v>8370</v>
      </c>
    </row>
    <row r="2351" spans="1:15" x14ac:dyDescent="0.3">
      <c r="A2351" s="2">
        <v>2341</v>
      </c>
      <c r="B2351" s="1">
        <v>45024.5</v>
      </c>
      <c r="C2351" s="1" t="str">
        <f t="shared" si="72"/>
        <v>04-2023</v>
      </c>
      <c r="D2351" s="2">
        <f t="shared" si="73"/>
        <v>14</v>
      </c>
      <c r="E2351" t="s">
        <v>18</v>
      </c>
      <c r="F2351" t="s">
        <v>14</v>
      </c>
      <c r="G2351" t="s">
        <v>20</v>
      </c>
      <c r="H2351" s="2">
        <v>1134</v>
      </c>
      <c r="I2351" s="2">
        <v>3</v>
      </c>
      <c r="J2351" s="2">
        <v>178441</v>
      </c>
      <c r="K2351" s="2">
        <v>128271</v>
      </c>
      <c r="L2351" s="2">
        <v>2</v>
      </c>
      <c r="M2351" t="str">
        <f>IF(Revv_bike_sales_data[[#This Row],[delivery_days]]&lt;=7, "Yes", "No")</f>
        <v>Yes</v>
      </c>
      <c r="N2351" t="s">
        <v>16</v>
      </c>
      <c r="O2351" s="2">
        <v>50170</v>
      </c>
    </row>
    <row r="2352" spans="1:15" x14ac:dyDescent="0.3">
      <c r="A2352" s="2">
        <v>2342</v>
      </c>
      <c r="B2352" s="1">
        <v>45024.541666666664</v>
      </c>
      <c r="C2352" s="1" t="str">
        <f t="shared" si="72"/>
        <v>04-2023</v>
      </c>
      <c r="D2352" s="2">
        <f t="shared" si="73"/>
        <v>14</v>
      </c>
      <c r="E2352" t="s">
        <v>25</v>
      </c>
      <c r="F2352" t="s">
        <v>14</v>
      </c>
      <c r="G2352" t="s">
        <v>19</v>
      </c>
      <c r="H2352" s="2">
        <v>95917</v>
      </c>
      <c r="I2352" s="2">
        <v>6</v>
      </c>
      <c r="J2352" s="2">
        <v>158661</v>
      </c>
      <c r="K2352" s="2">
        <v>135672</v>
      </c>
      <c r="L2352" s="2">
        <v>2</v>
      </c>
      <c r="M2352" t="str">
        <f>IF(Revv_bike_sales_data[[#This Row],[delivery_days]]&lt;=7, "Yes", "No")</f>
        <v>Yes</v>
      </c>
      <c r="N2352" t="s">
        <v>16</v>
      </c>
      <c r="O2352" s="2">
        <v>22989</v>
      </c>
    </row>
    <row r="2353" spans="1:15" x14ac:dyDescent="0.3">
      <c r="A2353" s="2">
        <v>2343</v>
      </c>
      <c r="B2353" s="1">
        <v>45024.583333333336</v>
      </c>
      <c r="C2353" s="1" t="str">
        <f t="shared" si="72"/>
        <v>04-2023</v>
      </c>
      <c r="D2353" s="2">
        <f t="shared" si="73"/>
        <v>14</v>
      </c>
      <c r="E2353" t="s">
        <v>17</v>
      </c>
      <c r="F2353" t="s">
        <v>14</v>
      </c>
      <c r="G2353" t="s">
        <v>19</v>
      </c>
      <c r="H2353" s="2">
        <v>13271</v>
      </c>
      <c r="I2353" s="2">
        <v>8</v>
      </c>
      <c r="J2353" s="2">
        <v>48560</v>
      </c>
      <c r="K2353" s="2">
        <v>122543</v>
      </c>
      <c r="L2353" s="2">
        <v>12</v>
      </c>
      <c r="M2353" t="str">
        <f>IF(Revv_bike_sales_data[[#This Row],[delivery_days]]&lt;=7, "Yes", "No")</f>
        <v>No</v>
      </c>
      <c r="N2353" t="s">
        <v>16</v>
      </c>
      <c r="O2353" s="2">
        <v>-73983</v>
      </c>
    </row>
    <row r="2354" spans="1:15" x14ac:dyDescent="0.3">
      <c r="A2354" s="2">
        <v>2344</v>
      </c>
      <c r="B2354" s="1">
        <v>45024.625</v>
      </c>
      <c r="C2354" s="1" t="str">
        <f t="shared" si="72"/>
        <v>04-2023</v>
      </c>
      <c r="D2354" s="2">
        <f t="shared" si="73"/>
        <v>14</v>
      </c>
      <c r="E2354" t="s">
        <v>18</v>
      </c>
      <c r="F2354" t="s">
        <v>23</v>
      </c>
      <c r="G2354" t="s">
        <v>19</v>
      </c>
      <c r="H2354" s="2">
        <v>18798</v>
      </c>
      <c r="I2354" s="2">
        <v>4</v>
      </c>
      <c r="J2354" s="2">
        <v>28034</v>
      </c>
      <c r="K2354" s="2">
        <v>76978</v>
      </c>
      <c r="L2354" s="2">
        <v>10</v>
      </c>
      <c r="M2354" t="str">
        <f>IF(Revv_bike_sales_data[[#This Row],[delivery_days]]&lt;=7, "Yes", "No")</f>
        <v>No</v>
      </c>
      <c r="N2354" t="s">
        <v>24</v>
      </c>
      <c r="O2354" s="2">
        <v>-48944</v>
      </c>
    </row>
    <row r="2355" spans="1:15" x14ac:dyDescent="0.3">
      <c r="A2355" s="2">
        <v>2345</v>
      </c>
      <c r="B2355" s="1">
        <v>45024.666666666664</v>
      </c>
      <c r="C2355" s="1" t="str">
        <f t="shared" si="72"/>
        <v>04-2023</v>
      </c>
      <c r="D2355" s="2">
        <f t="shared" si="73"/>
        <v>14</v>
      </c>
      <c r="E2355" t="s">
        <v>22</v>
      </c>
      <c r="F2355" t="s">
        <v>14</v>
      </c>
      <c r="G2355" t="s">
        <v>20</v>
      </c>
      <c r="H2355" s="2">
        <v>80376</v>
      </c>
      <c r="I2355" s="2">
        <v>1</v>
      </c>
      <c r="J2355" s="2">
        <v>156241</v>
      </c>
      <c r="K2355" s="2">
        <v>22088</v>
      </c>
      <c r="L2355" s="2">
        <v>12</v>
      </c>
      <c r="M2355" t="str">
        <f>IF(Revv_bike_sales_data[[#This Row],[delivery_days]]&lt;=7, "Yes", "No")</f>
        <v>No</v>
      </c>
      <c r="N2355" t="s">
        <v>24</v>
      </c>
      <c r="O2355" s="2">
        <v>134153</v>
      </c>
    </row>
    <row r="2356" spans="1:15" x14ac:dyDescent="0.3">
      <c r="A2356" s="2">
        <v>2346</v>
      </c>
      <c r="B2356" s="1">
        <v>45024.708333333336</v>
      </c>
      <c r="C2356" s="1" t="str">
        <f t="shared" si="72"/>
        <v>04-2023</v>
      </c>
      <c r="D2356" s="2">
        <f t="shared" si="73"/>
        <v>14</v>
      </c>
      <c r="E2356" t="s">
        <v>25</v>
      </c>
      <c r="F2356" t="s">
        <v>23</v>
      </c>
      <c r="G2356" t="s">
        <v>19</v>
      </c>
      <c r="H2356" s="2">
        <v>99392</v>
      </c>
      <c r="I2356" s="2">
        <v>6</v>
      </c>
      <c r="J2356" s="2">
        <v>117449</v>
      </c>
      <c r="K2356" s="2">
        <v>112354</v>
      </c>
      <c r="L2356" s="2">
        <v>3</v>
      </c>
      <c r="M2356" t="str">
        <f>IF(Revv_bike_sales_data[[#This Row],[delivery_days]]&lt;=7, "Yes", "No")</f>
        <v>Yes</v>
      </c>
      <c r="N2356" t="s">
        <v>24</v>
      </c>
      <c r="O2356" s="2">
        <v>5095</v>
      </c>
    </row>
    <row r="2357" spans="1:15" x14ac:dyDescent="0.3">
      <c r="A2357" s="2">
        <v>2347</v>
      </c>
      <c r="B2357" s="1">
        <v>45024.75</v>
      </c>
      <c r="C2357" s="1" t="str">
        <f t="shared" si="72"/>
        <v>04-2023</v>
      </c>
      <c r="D2357" s="2">
        <f t="shared" si="73"/>
        <v>14</v>
      </c>
      <c r="E2357" t="s">
        <v>13</v>
      </c>
      <c r="F2357" t="s">
        <v>14</v>
      </c>
      <c r="G2357" t="s">
        <v>20</v>
      </c>
      <c r="H2357" s="2">
        <v>36499</v>
      </c>
      <c r="I2357" s="2">
        <v>1</v>
      </c>
      <c r="J2357" s="2">
        <v>28239</v>
      </c>
      <c r="K2357" s="2">
        <v>27822</v>
      </c>
      <c r="L2357" s="2">
        <v>8</v>
      </c>
      <c r="M2357" t="str">
        <f>IF(Revv_bike_sales_data[[#This Row],[delivery_days]]&lt;=7, "Yes", "No")</f>
        <v>No</v>
      </c>
      <c r="N2357" t="s">
        <v>16</v>
      </c>
      <c r="O2357" s="2">
        <v>417</v>
      </c>
    </row>
    <row r="2358" spans="1:15" x14ac:dyDescent="0.3">
      <c r="A2358" s="2">
        <v>2348</v>
      </c>
      <c r="B2358" s="1">
        <v>45024.791666666664</v>
      </c>
      <c r="C2358" s="1" t="str">
        <f t="shared" si="72"/>
        <v>04-2023</v>
      </c>
      <c r="D2358" s="2">
        <f t="shared" si="73"/>
        <v>14</v>
      </c>
      <c r="E2358" t="s">
        <v>25</v>
      </c>
      <c r="F2358" t="s">
        <v>14</v>
      </c>
      <c r="G2358" t="s">
        <v>21</v>
      </c>
      <c r="H2358" s="2">
        <v>72387</v>
      </c>
      <c r="I2358" s="2">
        <v>8</v>
      </c>
      <c r="J2358" s="2">
        <v>28415</v>
      </c>
      <c r="K2358" s="2">
        <v>134456</v>
      </c>
      <c r="L2358" s="2">
        <v>11</v>
      </c>
      <c r="M2358" t="str">
        <f>IF(Revv_bike_sales_data[[#This Row],[delivery_days]]&lt;=7, "Yes", "No")</f>
        <v>No</v>
      </c>
      <c r="N2358" t="s">
        <v>16</v>
      </c>
      <c r="O2358" s="2">
        <v>-106041</v>
      </c>
    </row>
    <row r="2359" spans="1:15" x14ac:dyDescent="0.3">
      <c r="A2359" s="2">
        <v>2349</v>
      </c>
      <c r="B2359" s="1">
        <v>45024.833333333336</v>
      </c>
      <c r="C2359" s="1" t="str">
        <f t="shared" si="72"/>
        <v>04-2023</v>
      </c>
      <c r="D2359" s="2">
        <f t="shared" si="73"/>
        <v>14</v>
      </c>
      <c r="E2359" t="s">
        <v>22</v>
      </c>
      <c r="F2359" t="s">
        <v>14</v>
      </c>
      <c r="G2359" t="s">
        <v>21</v>
      </c>
      <c r="H2359" s="2">
        <v>60148</v>
      </c>
      <c r="I2359" s="2">
        <v>8</v>
      </c>
      <c r="J2359" s="2">
        <v>101944</v>
      </c>
      <c r="K2359" s="2">
        <v>65216</v>
      </c>
      <c r="L2359" s="2">
        <v>6</v>
      </c>
      <c r="M2359" t="str">
        <f>IF(Revv_bike_sales_data[[#This Row],[delivery_days]]&lt;=7, "Yes", "No")</f>
        <v>Yes</v>
      </c>
      <c r="N2359" t="s">
        <v>16</v>
      </c>
      <c r="O2359" s="2">
        <v>36728</v>
      </c>
    </row>
    <row r="2360" spans="1:15" x14ac:dyDescent="0.3">
      <c r="A2360" s="2">
        <v>2350</v>
      </c>
      <c r="B2360" s="1">
        <v>45024.875</v>
      </c>
      <c r="C2360" s="1" t="str">
        <f t="shared" si="72"/>
        <v>04-2023</v>
      </c>
      <c r="D2360" s="2">
        <f t="shared" si="73"/>
        <v>14</v>
      </c>
      <c r="E2360" t="s">
        <v>17</v>
      </c>
      <c r="F2360" t="s">
        <v>14</v>
      </c>
      <c r="G2360" t="s">
        <v>21</v>
      </c>
      <c r="H2360" s="2">
        <v>63168</v>
      </c>
      <c r="I2360" s="2">
        <v>2</v>
      </c>
      <c r="J2360" s="2">
        <v>159556</v>
      </c>
      <c r="K2360" s="2">
        <v>51589</v>
      </c>
      <c r="L2360" s="2">
        <v>6</v>
      </c>
      <c r="M2360" t="str">
        <f>IF(Revv_bike_sales_data[[#This Row],[delivery_days]]&lt;=7, "Yes", "No")</f>
        <v>Yes</v>
      </c>
      <c r="N2360" t="s">
        <v>16</v>
      </c>
      <c r="O2360" s="2">
        <v>107967</v>
      </c>
    </row>
    <row r="2361" spans="1:15" x14ac:dyDescent="0.3">
      <c r="A2361" s="2">
        <v>2351</v>
      </c>
      <c r="B2361" s="1">
        <v>45024.916666666664</v>
      </c>
      <c r="C2361" s="1" t="str">
        <f t="shared" si="72"/>
        <v>04-2023</v>
      </c>
      <c r="D2361" s="2">
        <f t="shared" si="73"/>
        <v>14</v>
      </c>
      <c r="E2361" t="s">
        <v>17</v>
      </c>
      <c r="F2361" t="s">
        <v>14</v>
      </c>
      <c r="G2361" t="s">
        <v>15</v>
      </c>
      <c r="H2361" s="2">
        <v>69874</v>
      </c>
      <c r="I2361" s="2">
        <v>7</v>
      </c>
      <c r="J2361" s="2">
        <v>78987</v>
      </c>
      <c r="K2361" s="2">
        <v>80262</v>
      </c>
      <c r="L2361" s="2">
        <v>9</v>
      </c>
      <c r="M2361" t="str">
        <f>IF(Revv_bike_sales_data[[#This Row],[delivery_days]]&lt;=7, "Yes", "No")</f>
        <v>No</v>
      </c>
      <c r="N2361" t="s">
        <v>16</v>
      </c>
      <c r="O2361" s="2">
        <v>-1275</v>
      </c>
    </row>
    <row r="2362" spans="1:15" x14ac:dyDescent="0.3">
      <c r="A2362" s="2">
        <v>2352</v>
      </c>
      <c r="B2362" s="1">
        <v>45024.958333333336</v>
      </c>
      <c r="C2362" s="1" t="str">
        <f t="shared" si="72"/>
        <v>04-2023</v>
      </c>
      <c r="D2362" s="2">
        <f t="shared" si="73"/>
        <v>14</v>
      </c>
      <c r="E2362" t="s">
        <v>17</v>
      </c>
      <c r="F2362" t="s">
        <v>14</v>
      </c>
      <c r="G2362" t="s">
        <v>20</v>
      </c>
      <c r="H2362" s="2">
        <v>68009</v>
      </c>
      <c r="I2362" s="2">
        <v>3</v>
      </c>
      <c r="J2362" s="2">
        <v>43225</v>
      </c>
      <c r="K2362" s="2">
        <v>72911</v>
      </c>
      <c r="L2362" s="2">
        <v>8</v>
      </c>
      <c r="M2362" t="str">
        <f>IF(Revv_bike_sales_data[[#This Row],[delivery_days]]&lt;=7, "Yes", "No")</f>
        <v>No</v>
      </c>
      <c r="N2362" t="s">
        <v>16</v>
      </c>
      <c r="O2362" s="2">
        <v>-29686</v>
      </c>
    </row>
    <row r="2363" spans="1:15" x14ac:dyDescent="0.3">
      <c r="A2363" s="2">
        <v>2353</v>
      </c>
      <c r="B2363" s="1">
        <v>45025</v>
      </c>
      <c r="C2363" s="1" t="str">
        <f t="shared" si="72"/>
        <v>04-2023</v>
      </c>
      <c r="D2363" s="2">
        <f t="shared" si="73"/>
        <v>15</v>
      </c>
      <c r="E2363" t="s">
        <v>13</v>
      </c>
      <c r="F2363" t="s">
        <v>23</v>
      </c>
      <c r="G2363" t="s">
        <v>19</v>
      </c>
      <c r="H2363" s="2">
        <v>76283</v>
      </c>
      <c r="I2363" s="2">
        <v>2</v>
      </c>
      <c r="J2363" s="2">
        <v>105459</v>
      </c>
      <c r="K2363" s="2">
        <v>16436</v>
      </c>
      <c r="L2363" s="2">
        <v>2</v>
      </c>
      <c r="M2363" t="str">
        <f>IF(Revv_bike_sales_data[[#This Row],[delivery_days]]&lt;=7, "Yes", "No")</f>
        <v>Yes</v>
      </c>
      <c r="N2363" t="s">
        <v>16</v>
      </c>
      <c r="O2363" s="2">
        <v>89023</v>
      </c>
    </row>
    <row r="2364" spans="1:15" x14ac:dyDescent="0.3">
      <c r="A2364" s="2">
        <v>2354</v>
      </c>
      <c r="B2364" s="1">
        <v>45025.041666666664</v>
      </c>
      <c r="C2364" s="1" t="str">
        <f t="shared" si="72"/>
        <v>04-2023</v>
      </c>
      <c r="D2364" s="2">
        <f t="shared" si="73"/>
        <v>15</v>
      </c>
      <c r="E2364" t="s">
        <v>18</v>
      </c>
      <c r="F2364" t="s">
        <v>14</v>
      </c>
      <c r="G2364" t="s">
        <v>19</v>
      </c>
      <c r="H2364" s="2">
        <v>44940</v>
      </c>
      <c r="I2364" s="2">
        <v>0</v>
      </c>
      <c r="J2364" s="2">
        <v>45936</v>
      </c>
      <c r="K2364" s="2">
        <v>76854</v>
      </c>
      <c r="L2364" s="2">
        <v>6</v>
      </c>
      <c r="M2364" t="str">
        <f>IF(Revv_bike_sales_data[[#This Row],[delivery_days]]&lt;=7, "Yes", "No")</f>
        <v>Yes</v>
      </c>
      <c r="N2364" t="s">
        <v>16</v>
      </c>
      <c r="O2364" s="2">
        <v>-30918</v>
      </c>
    </row>
    <row r="2365" spans="1:15" x14ac:dyDescent="0.3">
      <c r="A2365" s="2">
        <v>2355</v>
      </c>
      <c r="B2365" s="1">
        <v>45025.083333333336</v>
      </c>
      <c r="C2365" s="1" t="str">
        <f t="shared" si="72"/>
        <v>04-2023</v>
      </c>
      <c r="D2365" s="2">
        <f t="shared" si="73"/>
        <v>15</v>
      </c>
      <c r="E2365" t="s">
        <v>18</v>
      </c>
      <c r="F2365" t="s">
        <v>14</v>
      </c>
      <c r="G2365" t="s">
        <v>19</v>
      </c>
      <c r="H2365" s="2">
        <v>32155</v>
      </c>
      <c r="I2365" s="2">
        <v>4</v>
      </c>
      <c r="J2365" s="2">
        <v>64612</v>
      </c>
      <c r="K2365" s="2">
        <v>76888</v>
      </c>
      <c r="L2365" s="2">
        <v>1</v>
      </c>
      <c r="M2365" t="str">
        <f>IF(Revv_bike_sales_data[[#This Row],[delivery_days]]&lt;=7, "Yes", "No")</f>
        <v>Yes</v>
      </c>
      <c r="N2365" t="s">
        <v>16</v>
      </c>
      <c r="O2365" s="2">
        <v>-12276</v>
      </c>
    </row>
    <row r="2366" spans="1:15" x14ac:dyDescent="0.3">
      <c r="A2366" s="2">
        <v>2356</v>
      </c>
      <c r="B2366" s="1">
        <v>45025.125</v>
      </c>
      <c r="C2366" s="1" t="str">
        <f t="shared" si="72"/>
        <v>04-2023</v>
      </c>
      <c r="D2366" s="2">
        <f t="shared" si="73"/>
        <v>15</v>
      </c>
      <c r="E2366" t="s">
        <v>25</v>
      </c>
      <c r="F2366" t="s">
        <v>14</v>
      </c>
      <c r="G2366" t="s">
        <v>19</v>
      </c>
      <c r="H2366" s="2">
        <v>43539</v>
      </c>
      <c r="I2366" s="2">
        <v>3</v>
      </c>
      <c r="J2366" s="2">
        <v>120533</v>
      </c>
      <c r="K2366" s="2">
        <v>126201</v>
      </c>
      <c r="L2366" s="2">
        <v>13</v>
      </c>
      <c r="M2366" t="str">
        <f>IF(Revv_bike_sales_data[[#This Row],[delivery_days]]&lt;=7, "Yes", "No")</f>
        <v>No</v>
      </c>
      <c r="N2366" t="s">
        <v>16</v>
      </c>
      <c r="O2366" s="2">
        <v>-5668</v>
      </c>
    </row>
    <row r="2367" spans="1:15" x14ac:dyDescent="0.3">
      <c r="A2367" s="2">
        <v>2357</v>
      </c>
      <c r="B2367" s="1">
        <v>45025.166666666664</v>
      </c>
      <c r="C2367" s="1" t="str">
        <f t="shared" si="72"/>
        <v>04-2023</v>
      </c>
      <c r="D2367" s="2">
        <f t="shared" si="73"/>
        <v>15</v>
      </c>
      <c r="E2367" t="s">
        <v>13</v>
      </c>
      <c r="F2367" t="s">
        <v>14</v>
      </c>
      <c r="G2367" t="s">
        <v>15</v>
      </c>
      <c r="H2367" s="2">
        <v>55755</v>
      </c>
      <c r="I2367" s="2">
        <v>0</v>
      </c>
      <c r="J2367" s="2">
        <v>145877</v>
      </c>
      <c r="K2367" s="2">
        <v>42281</v>
      </c>
      <c r="L2367" s="2">
        <v>14</v>
      </c>
      <c r="M2367" t="str">
        <f>IF(Revv_bike_sales_data[[#This Row],[delivery_days]]&lt;=7, "Yes", "No")</f>
        <v>No</v>
      </c>
      <c r="N2367" t="s">
        <v>16</v>
      </c>
      <c r="O2367" s="2">
        <v>103596</v>
      </c>
    </row>
    <row r="2368" spans="1:15" x14ac:dyDescent="0.3">
      <c r="A2368" s="2">
        <v>2358</v>
      </c>
      <c r="B2368" s="1">
        <v>45025.208333333336</v>
      </c>
      <c r="C2368" s="1" t="str">
        <f t="shared" si="72"/>
        <v>04-2023</v>
      </c>
      <c r="D2368" s="2">
        <f t="shared" si="73"/>
        <v>15</v>
      </c>
      <c r="E2368" t="s">
        <v>17</v>
      </c>
      <c r="F2368" t="s">
        <v>14</v>
      </c>
      <c r="G2368" t="s">
        <v>19</v>
      </c>
      <c r="H2368" s="2">
        <v>72719</v>
      </c>
      <c r="I2368" s="2">
        <v>9</v>
      </c>
      <c r="J2368" s="2">
        <v>127269</v>
      </c>
      <c r="K2368" s="2">
        <v>103017</v>
      </c>
      <c r="L2368" s="2">
        <v>9</v>
      </c>
      <c r="M2368" t="str">
        <f>IF(Revv_bike_sales_data[[#This Row],[delivery_days]]&lt;=7, "Yes", "No")</f>
        <v>No</v>
      </c>
      <c r="N2368" t="s">
        <v>24</v>
      </c>
      <c r="O2368" s="2">
        <v>24252</v>
      </c>
    </row>
    <row r="2369" spans="1:15" x14ac:dyDescent="0.3">
      <c r="A2369" s="2">
        <v>2359</v>
      </c>
      <c r="B2369" s="1">
        <v>45025.25</v>
      </c>
      <c r="C2369" s="1" t="str">
        <f t="shared" si="72"/>
        <v>04-2023</v>
      </c>
      <c r="D2369" s="2">
        <f t="shared" si="73"/>
        <v>15</v>
      </c>
      <c r="E2369" t="s">
        <v>17</v>
      </c>
      <c r="F2369" t="s">
        <v>14</v>
      </c>
      <c r="G2369" t="s">
        <v>15</v>
      </c>
      <c r="H2369" s="2">
        <v>55489</v>
      </c>
      <c r="I2369" s="2">
        <v>7</v>
      </c>
      <c r="J2369" s="2">
        <v>64952</v>
      </c>
      <c r="K2369" s="2">
        <v>111005</v>
      </c>
      <c r="L2369" s="2">
        <v>4</v>
      </c>
      <c r="M2369" t="str">
        <f>IF(Revv_bike_sales_data[[#This Row],[delivery_days]]&lt;=7, "Yes", "No")</f>
        <v>Yes</v>
      </c>
      <c r="N2369" t="s">
        <v>24</v>
      </c>
      <c r="O2369" s="2">
        <v>-46053</v>
      </c>
    </row>
    <row r="2370" spans="1:15" x14ac:dyDescent="0.3">
      <c r="A2370" s="2">
        <v>2360</v>
      </c>
      <c r="B2370" s="1">
        <v>45025.291666666664</v>
      </c>
      <c r="C2370" s="1" t="str">
        <f t="shared" si="72"/>
        <v>04-2023</v>
      </c>
      <c r="D2370" s="2">
        <f t="shared" si="73"/>
        <v>15</v>
      </c>
      <c r="E2370" t="s">
        <v>22</v>
      </c>
      <c r="F2370" t="s">
        <v>23</v>
      </c>
      <c r="G2370" t="s">
        <v>20</v>
      </c>
      <c r="H2370" s="2">
        <v>11744</v>
      </c>
      <c r="I2370" s="2">
        <v>7</v>
      </c>
      <c r="J2370" s="2">
        <v>83945</v>
      </c>
      <c r="K2370" s="2">
        <v>99403</v>
      </c>
      <c r="L2370" s="2">
        <v>4</v>
      </c>
      <c r="M2370" t="str">
        <f>IF(Revv_bike_sales_data[[#This Row],[delivery_days]]&lt;=7, "Yes", "No")</f>
        <v>Yes</v>
      </c>
      <c r="N2370" t="s">
        <v>16</v>
      </c>
      <c r="O2370" s="2">
        <v>-15458</v>
      </c>
    </row>
    <row r="2371" spans="1:15" x14ac:dyDescent="0.3">
      <c r="A2371" s="2">
        <v>2361</v>
      </c>
      <c r="B2371" s="1">
        <v>45025.333333333336</v>
      </c>
      <c r="C2371" s="1" t="str">
        <f t="shared" si="72"/>
        <v>04-2023</v>
      </c>
      <c r="D2371" s="2">
        <f t="shared" si="73"/>
        <v>15</v>
      </c>
      <c r="E2371" t="s">
        <v>22</v>
      </c>
      <c r="F2371" t="s">
        <v>14</v>
      </c>
      <c r="G2371" t="s">
        <v>21</v>
      </c>
      <c r="H2371" s="2">
        <v>95094</v>
      </c>
      <c r="I2371" s="2">
        <v>7</v>
      </c>
      <c r="J2371" s="2">
        <v>30380</v>
      </c>
      <c r="K2371" s="2">
        <v>121023</v>
      </c>
      <c r="L2371" s="2">
        <v>9</v>
      </c>
      <c r="M2371" t="str">
        <f>IF(Revv_bike_sales_data[[#This Row],[delivery_days]]&lt;=7, "Yes", "No")</f>
        <v>No</v>
      </c>
      <c r="N2371" t="s">
        <v>16</v>
      </c>
      <c r="O2371" s="2">
        <v>-90643</v>
      </c>
    </row>
    <row r="2372" spans="1:15" x14ac:dyDescent="0.3">
      <c r="A2372" s="2">
        <v>2362</v>
      </c>
      <c r="B2372" s="1">
        <v>45025.375</v>
      </c>
      <c r="C2372" s="1" t="str">
        <f t="shared" si="72"/>
        <v>04-2023</v>
      </c>
      <c r="D2372" s="2">
        <f t="shared" si="73"/>
        <v>15</v>
      </c>
      <c r="E2372" t="s">
        <v>17</v>
      </c>
      <c r="F2372" t="s">
        <v>14</v>
      </c>
      <c r="G2372" t="s">
        <v>19</v>
      </c>
      <c r="H2372" s="2">
        <v>59095</v>
      </c>
      <c r="I2372" s="2">
        <v>2</v>
      </c>
      <c r="J2372" s="2">
        <v>105821</v>
      </c>
      <c r="K2372" s="2">
        <v>68952</v>
      </c>
      <c r="L2372" s="2">
        <v>3</v>
      </c>
      <c r="M2372" t="str">
        <f>IF(Revv_bike_sales_data[[#This Row],[delivery_days]]&lt;=7, "Yes", "No")</f>
        <v>Yes</v>
      </c>
      <c r="N2372" t="s">
        <v>16</v>
      </c>
      <c r="O2372" s="2">
        <v>36869</v>
      </c>
    </row>
    <row r="2373" spans="1:15" x14ac:dyDescent="0.3">
      <c r="A2373" s="2">
        <v>2363</v>
      </c>
      <c r="B2373" s="1">
        <v>45025.416666666664</v>
      </c>
      <c r="C2373" s="1" t="str">
        <f t="shared" si="72"/>
        <v>04-2023</v>
      </c>
      <c r="D2373" s="2">
        <f t="shared" si="73"/>
        <v>15</v>
      </c>
      <c r="E2373" t="s">
        <v>17</v>
      </c>
      <c r="F2373" t="s">
        <v>14</v>
      </c>
      <c r="G2373" t="s">
        <v>21</v>
      </c>
      <c r="H2373" s="2">
        <v>40051</v>
      </c>
      <c r="I2373" s="2">
        <v>5</v>
      </c>
      <c r="J2373" s="2">
        <v>172215</v>
      </c>
      <c r="K2373" s="2">
        <v>37766</v>
      </c>
      <c r="L2373" s="2">
        <v>5</v>
      </c>
      <c r="M2373" t="str">
        <f>IF(Revv_bike_sales_data[[#This Row],[delivery_days]]&lt;=7, "Yes", "No")</f>
        <v>Yes</v>
      </c>
      <c r="N2373" t="s">
        <v>16</v>
      </c>
      <c r="O2373" s="2">
        <v>134449</v>
      </c>
    </row>
    <row r="2374" spans="1:15" x14ac:dyDescent="0.3">
      <c r="A2374" s="2">
        <v>2364</v>
      </c>
      <c r="B2374" s="1">
        <v>45025.458333333336</v>
      </c>
      <c r="C2374" s="1" t="str">
        <f t="shared" si="72"/>
        <v>04-2023</v>
      </c>
      <c r="D2374" s="2">
        <f t="shared" si="73"/>
        <v>15</v>
      </c>
      <c r="E2374" t="s">
        <v>13</v>
      </c>
      <c r="F2374" t="s">
        <v>14</v>
      </c>
      <c r="G2374" t="s">
        <v>20</v>
      </c>
      <c r="H2374" s="2">
        <v>63730</v>
      </c>
      <c r="I2374" s="2">
        <v>6</v>
      </c>
      <c r="J2374" s="2">
        <v>74744</v>
      </c>
      <c r="K2374" s="2">
        <v>110273</v>
      </c>
      <c r="L2374" s="2">
        <v>1</v>
      </c>
      <c r="M2374" t="str">
        <f>IF(Revv_bike_sales_data[[#This Row],[delivery_days]]&lt;=7, "Yes", "No")</f>
        <v>Yes</v>
      </c>
      <c r="N2374" t="s">
        <v>16</v>
      </c>
      <c r="O2374" s="2">
        <v>-35529</v>
      </c>
    </row>
    <row r="2375" spans="1:15" x14ac:dyDescent="0.3">
      <c r="A2375" s="2">
        <v>2365</v>
      </c>
      <c r="B2375" s="1">
        <v>45025.5</v>
      </c>
      <c r="C2375" s="1" t="str">
        <f t="shared" si="72"/>
        <v>04-2023</v>
      </c>
      <c r="D2375" s="2">
        <f t="shared" si="73"/>
        <v>15</v>
      </c>
      <c r="E2375" t="s">
        <v>18</v>
      </c>
      <c r="F2375" t="s">
        <v>14</v>
      </c>
      <c r="G2375" t="s">
        <v>20</v>
      </c>
      <c r="H2375" s="2">
        <v>28871</v>
      </c>
      <c r="I2375" s="2">
        <v>8</v>
      </c>
      <c r="J2375" s="2">
        <v>105262</v>
      </c>
      <c r="K2375" s="2">
        <v>36213</v>
      </c>
      <c r="L2375" s="2">
        <v>6</v>
      </c>
      <c r="M2375" t="str">
        <f>IF(Revv_bike_sales_data[[#This Row],[delivery_days]]&lt;=7, "Yes", "No")</f>
        <v>Yes</v>
      </c>
      <c r="N2375" t="s">
        <v>16</v>
      </c>
      <c r="O2375" s="2">
        <v>69049</v>
      </c>
    </row>
    <row r="2376" spans="1:15" x14ac:dyDescent="0.3">
      <c r="A2376" s="2">
        <v>2366</v>
      </c>
      <c r="B2376" s="1">
        <v>45025.541666666664</v>
      </c>
      <c r="C2376" s="1" t="str">
        <f t="shared" si="72"/>
        <v>04-2023</v>
      </c>
      <c r="D2376" s="2">
        <f t="shared" si="73"/>
        <v>15</v>
      </c>
      <c r="E2376" t="s">
        <v>22</v>
      </c>
      <c r="F2376" t="s">
        <v>14</v>
      </c>
      <c r="G2376" t="s">
        <v>19</v>
      </c>
      <c r="H2376" s="2">
        <v>69858</v>
      </c>
      <c r="I2376" s="2">
        <v>4</v>
      </c>
      <c r="J2376" s="2">
        <v>82331</v>
      </c>
      <c r="K2376" s="2">
        <v>108891</v>
      </c>
      <c r="L2376" s="2">
        <v>3</v>
      </c>
      <c r="M2376" t="str">
        <f>IF(Revv_bike_sales_data[[#This Row],[delivery_days]]&lt;=7, "Yes", "No")</f>
        <v>Yes</v>
      </c>
      <c r="N2376" t="s">
        <v>16</v>
      </c>
      <c r="O2376" s="2">
        <v>-26560</v>
      </c>
    </row>
    <row r="2377" spans="1:15" x14ac:dyDescent="0.3">
      <c r="A2377" s="2">
        <v>2367</v>
      </c>
      <c r="B2377" s="1">
        <v>45025.583333333336</v>
      </c>
      <c r="C2377" s="1" t="str">
        <f t="shared" si="72"/>
        <v>04-2023</v>
      </c>
      <c r="D2377" s="2">
        <f t="shared" si="73"/>
        <v>15</v>
      </c>
      <c r="E2377" t="s">
        <v>18</v>
      </c>
      <c r="F2377" t="s">
        <v>14</v>
      </c>
      <c r="G2377" t="s">
        <v>20</v>
      </c>
      <c r="H2377" s="2">
        <v>29378</v>
      </c>
      <c r="I2377" s="2">
        <v>8</v>
      </c>
      <c r="J2377" s="2">
        <v>117551</v>
      </c>
      <c r="K2377" s="2">
        <v>77239</v>
      </c>
      <c r="L2377" s="2">
        <v>1</v>
      </c>
      <c r="M2377" t="str">
        <f>IF(Revv_bike_sales_data[[#This Row],[delivery_days]]&lt;=7, "Yes", "No")</f>
        <v>Yes</v>
      </c>
      <c r="N2377" t="s">
        <v>16</v>
      </c>
      <c r="O2377" s="2">
        <v>40312</v>
      </c>
    </row>
    <row r="2378" spans="1:15" x14ac:dyDescent="0.3">
      <c r="A2378" s="2">
        <v>2368</v>
      </c>
      <c r="B2378" s="1">
        <v>45025.625</v>
      </c>
      <c r="C2378" s="1" t="str">
        <f t="shared" si="72"/>
        <v>04-2023</v>
      </c>
      <c r="D2378" s="2">
        <f t="shared" si="73"/>
        <v>15</v>
      </c>
      <c r="E2378" t="s">
        <v>13</v>
      </c>
      <c r="F2378" t="s">
        <v>14</v>
      </c>
      <c r="G2378" t="s">
        <v>21</v>
      </c>
      <c r="H2378" s="2">
        <v>36657</v>
      </c>
      <c r="I2378" s="2">
        <v>5</v>
      </c>
      <c r="J2378" s="2">
        <v>88815</v>
      </c>
      <c r="K2378" s="2">
        <v>37537</v>
      </c>
      <c r="L2378" s="2">
        <v>10</v>
      </c>
      <c r="M2378" t="str">
        <f>IF(Revv_bike_sales_data[[#This Row],[delivery_days]]&lt;=7, "Yes", "No")</f>
        <v>No</v>
      </c>
      <c r="N2378" t="s">
        <v>24</v>
      </c>
      <c r="O2378" s="2">
        <v>51278</v>
      </c>
    </row>
    <row r="2379" spans="1:15" x14ac:dyDescent="0.3">
      <c r="A2379" s="2">
        <v>2369</v>
      </c>
      <c r="B2379" s="1">
        <v>45025.666666666664</v>
      </c>
      <c r="C2379" s="1" t="str">
        <f t="shared" ref="C2379:C2442" si="74">TEXT(B2379,"mm-yyyy")</f>
        <v>04-2023</v>
      </c>
      <c r="D2379" s="2">
        <f t="shared" ref="D2379:D2442" si="75">WEEKNUM(B2379)</f>
        <v>15</v>
      </c>
      <c r="E2379" t="s">
        <v>17</v>
      </c>
      <c r="F2379" t="s">
        <v>14</v>
      </c>
      <c r="G2379" t="s">
        <v>19</v>
      </c>
      <c r="H2379" s="2">
        <v>6414</v>
      </c>
      <c r="I2379" s="2">
        <v>9</v>
      </c>
      <c r="J2379" s="2">
        <v>96519</v>
      </c>
      <c r="K2379" s="2">
        <v>17794</v>
      </c>
      <c r="L2379" s="2">
        <v>6</v>
      </c>
      <c r="M2379" t="str">
        <f>IF(Revv_bike_sales_data[[#This Row],[delivery_days]]&lt;=7, "Yes", "No")</f>
        <v>Yes</v>
      </c>
      <c r="N2379" t="s">
        <v>16</v>
      </c>
      <c r="O2379" s="2">
        <v>78725</v>
      </c>
    </row>
    <row r="2380" spans="1:15" x14ac:dyDescent="0.3">
      <c r="A2380" s="2">
        <v>2370</v>
      </c>
      <c r="B2380" s="1">
        <v>45025.708333333336</v>
      </c>
      <c r="C2380" s="1" t="str">
        <f t="shared" si="74"/>
        <v>04-2023</v>
      </c>
      <c r="D2380" s="2">
        <f t="shared" si="75"/>
        <v>15</v>
      </c>
      <c r="E2380" t="s">
        <v>18</v>
      </c>
      <c r="F2380" t="s">
        <v>23</v>
      </c>
      <c r="G2380" t="s">
        <v>15</v>
      </c>
      <c r="H2380" s="2">
        <v>84200</v>
      </c>
      <c r="I2380" s="2">
        <v>9</v>
      </c>
      <c r="J2380" s="2">
        <v>175250</v>
      </c>
      <c r="K2380" s="2">
        <v>74204</v>
      </c>
      <c r="L2380" s="2">
        <v>14</v>
      </c>
      <c r="M2380" t="str">
        <f>IF(Revv_bike_sales_data[[#This Row],[delivery_days]]&lt;=7, "Yes", "No")</f>
        <v>No</v>
      </c>
      <c r="N2380" t="s">
        <v>16</v>
      </c>
      <c r="O2380" s="2">
        <v>101046</v>
      </c>
    </row>
    <row r="2381" spans="1:15" x14ac:dyDescent="0.3">
      <c r="A2381" s="2">
        <v>2371</v>
      </c>
      <c r="B2381" s="1">
        <v>45025.75</v>
      </c>
      <c r="C2381" s="1" t="str">
        <f t="shared" si="74"/>
        <v>04-2023</v>
      </c>
      <c r="D2381" s="2">
        <f t="shared" si="75"/>
        <v>15</v>
      </c>
      <c r="E2381" t="s">
        <v>17</v>
      </c>
      <c r="F2381" t="s">
        <v>14</v>
      </c>
      <c r="G2381" t="s">
        <v>19</v>
      </c>
      <c r="H2381" s="2">
        <v>27680</v>
      </c>
      <c r="I2381" s="2">
        <v>9</v>
      </c>
      <c r="J2381" s="2">
        <v>117526</v>
      </c>
      <c r="K2381" s="2">
        <v>124832</v>
      </c>
      <c r="L2381" s="2">
        <v>12</v>
      </c>
      <c r="M2381" t="str">
        <f>IF(Revv_bike_sales_data[[#This Row],[delivery_days]]&lt;=7, "Yes", "No")</f>
        <v>No</v>
      </c>
      <c r="N2381" t="s">
        <v>16</v>
      </c>
      <c r="O2381" s="2">
        <v>-7306</v>
      </c>
    </row>
    <row r="2382" spans="1:15" x14ac:dyDescent="0.3">
      <c r="A2382" s="2">
        <v>2372</v>
      </c>
      <c r="B2382" s="1">
        <v>45025.791666666664</v>
      </c>
      <c r="C2382" s="1" t="str">
        <f t="shared" si="74"/>
        <v>04-2023</v>
      </c>
      <c r="D2382" s="2">
        <f t="shared" si="75"/>
        <v>15</v>
      </c>
      <c r="E2382" t="s">
        <v>17</v>
      </c>
      <c r="F2382" t="s">
        <v>14</v>
      </c>
      <c r="G2382" t="s">
        <v>21</v>
      </c>
      <c r="H2382" s="2">
        <v>4188</v>
      </c>
      <c r="I2382" s="2">
        <v>3</v>
      </c>
      <c r="J2382" s="2">
        <v>134365</v>
      </c>
      <c r="K2382" s="2">
        <v>47324</v>
      </c>
      <c r="L2382" s="2">
        <v>10</v>
      </c>
      <c r="M2382" t="str">
        <f>IF(Revv_bike_sales_data[[#This Row],[delivery_days]]&lt;=7, "Yes", "No")</f>
        <v>No</v>
      </c>
      <c r="N2382" t="s">
        <v>16</v>
      </c>
      <c r="O2382" s="2">
        <v>87041</v>
      </c>
    </row>
    <row r="2383" spans="1:15" x14ac:dyDescent="0.3">
      <c r="A2383" s="2">
        <v>2373</v>
      </c>
      <c r="B2383" s="1">
        <v>45025.833333333336</v>
      </c>
      <c r="C2383" s="1" t="str">
        <f t="shared" si="74"/>
        <v>04-2023</v>
      </c>
      <c r="D2383" s="2">
        <f t="shared" si="75"/>
        <v>15</v>
      </c>
      <c r="E2383" t="s">
        <v>25</v>
      </c>
      <c r="F2383" t="s">
        <v>14</v>
      </c>
      <c r="G2383" t="s">
        <v>19</v>
      </c>
      <c r="H2383" s="2">
        <v>80719</v>
      </c>
      <c r="I2383" s="2">
        <v>0</v>
      </c>
      <c r="J2383" s="2">
        <v>61366</v>
      </c>
      <c r="K2383" s="2">
        <v>71764</v>
      </c>
      <c r="L2383" s="2">
        <v>2</v>
      </c>
      <c r="M2383" t="str">
        <f>IF(Revv_bike_sales_data[[#This Row],[delivery_days]]&lt;=7, "Yes", "No")</f>
        <v>Yes</v>
      </c>
      <c r="N2383" t="s">
        <v>16</v>
      </c>
      <c r="O2383" s="2">
        <v>-10398</v>
      </c>
    </row>
    <row r="2384" spans="1:15" x14ac:dyDescent="0.3">
      <c r="A2384" s="2">
        <v>2374</v>
      </c>
      <c r="B2384" s="1">
        <v>45025.875</v>
      </c>
      <c r="C2384" s="1" t="str">
        <f t="shared" si="74"/>
        <v>04-2023</v>
      </c>
      <c r="D2384" s="2">
        <f t="shared" si="75"/>
        <v>15</v>
      </c>
      <c r="E2384" t="s">
        <v>18</v>
      </c>
      <c r="F2384" t="s">
        <v>14</v>
      </c>
      <c r="G2384" t="s">
        <v>19</v>
      </c>
      <c r="H2384" s="2">
        <v>79116</v>
      </c>
      <c r="I2384" s="2">
        <v>0</v>
      </c>
      <c r="J2384" s="2">
        <v>124830</v>
      </c>
      <c r="K2384" s="2">
        <v>45858</v>
      </c>
      <c r="L2384" s="2">
        <v>8</v>
      </c>
      <c r="M2384" t="str">
        <f>IF(Revv_bike_sales_data[[#This Row],[delivery_days]]&lt;=7, "Yes", "No")</f>
        <v>No</v>
      </c>
      <c r="N2384" t="s">
        <v>16</v>
      </c>
      <c r="O2384" s="2">
        <v>78972</v>
      </c>
    </row>
    <row r="2385" spans="1:15" x14ac:dyDescent="0.3">
      <c r="A2385" s="2">
        <v>2375</v>
      </c>
      <c r="B2385" s="1">
        <v>45025.916666666664</v>
      </c>
      <c r="C2385" s="1" t="str">
        <f t="shared" si="74"/>
        <v>04-2023</v>
      </c>
      <c r="D2385" s="2">
        <f t="shared" si="75"/>
        <v>15</v>
      </c>
      <c r="E2385" t="s">
        <v>18</v>
      </c>
      <c r="F2385" t="s">
        <v>14</v>
      </c>
      <c r="G2385" t="s">
        <v>21</v>
      </c>
      <c r="H2385" s="2">
        <v>96989</v>
      </c>
      <c r="I2385" s="2">
        <v>9</v>
      </c>
      <c r="J2385" s="2">
        <v>66911</v>
      </c>
      <c r="K2385" s="2">
        <v>57850</v>
      </c>
      <c r="L2385" s="2">
        <v>14</v>
      </c>
      <c r="M2385" t="str">
        <f>IF(Revv_bike_sales_data[[#This Row],[delivery_days]]&lt;=7, "Yes", "No")</f>
        <v>No</v>
      </c>
      <c r="N2385" t="s">
        <v>16</v>
      </c>
      <c r="O2385" s="2">
        <v>9061</v>
      </c>
    </row>
    <row r="2386" spans="1:15" x14ac:dyDescent="0.3">
      <c r="A2386" s="2">
        <v>2376</v>
      </c>
      <c r="B2386" s="1">
        <v>45025.958333333336</v>
      </c>
      <c r="C2386" s="1" t="str">
        <f t="shared" si="74"/>
        <v>04-2023</v>
      </c>
      <c r="D2386" s="2">
        <f t="shared" si="75"/>
        <v>15</v>
      </c>
      <c r="E2386" t="s">
        <v>17</v>
      </c>
      <c r="F2386" t="s">
        <v>14</v>
      </c>
      <c r="G2386" t="s">
        <v>19</v>
      </c>
      <c r="H2386" s="2">
        <v>10416</v>
      </c>
      <c r="I2386" s="2">
        <v>4</v>
      </c>
      <c r="J2386" s="2">
        <v>108422</v>
      </c>
      <c r="K2386" s="2">
        <v>28018</v>
      </c>
      <c r="L2386" s="2">
        <v>13</v>
      </c>
      <c r="M2386" t="str">
        <f>IF(Revv_bike_sales_data[[#This Row],[delivery_days]]&lt;=7, "Yes", "No")</f>
        <v>No</v>
      </c>
      <c r="N2386" t="s">
        <v>16</v>
      </c>
      <c r="O2386" s="2">
        <v>80404</v>
      </c>
    </row>
    <row r="2387" spans="1:15" x14ac:dyDescent="0.3">
      <c r="A2387" s="2">
        <v>2377</v>
      </c>
      <c r="B2387" s="1">
        <v>45026</v>
      </c>
      <c r="C2387" s="1" t="str">
        <f t="shared" si="74"/>
        <v>04-2023</v>
      </c>
      <c r="D2387" s="2">
        <f t="shared" si="75"/>
        <v>15</v>
      </c>
      <c r="E2387" t="s">
        <v>13</v>
      </c>
      <c r="F2387" t="s">
        <v>14</v>
      </c>
      <c r="G2387" t="s">
        <v>19</v>
      </c>
      <c r="H2387" s="2">
        <v>56863</v>
      </c>
      <c r="I2387" s="2">
        <v>2</v>
      </c>
      <c r="J2387" s="2">
        <v>78619</v>
      </c>
      <c r="K2387" s="2">
        <v>98017</v>
      </c>
      <c r="L2387" s="2">
        <v>11</v>
      </c>
      <c r="M2387" t="str">
        <f>IF(Revv_bike_sales_data[[#This Row],[delivery_days]]&lt;=7, "Yes", "No")</f>
        <v>No</v>
      </c>
      <c r="N2387" t="s">
        <v>16</v>
      </c>
      <c r="O2387" s="2">
        <v>-19398</v>
      </c>
    </row>
    <row r="2388" spans="1:15" x14ac:dyDescent="0.3">
      <c r="A2388" s="2">
        <v>2378</v>
      </c>
      <c r="B2388" s="1">
        <v>45026.041666666664</v>
      </c>
      <c r="C2388" s="1" t="str">
        <f t="shared" si="74"/>
        <v>04-2023</v>
      </c>
      <c r="D2388" s="2">
        <f t="shared" si="75"/>
        <v>15</v>
      </c>
      <c r="E2388" t="s">
        <v>25</v>
      </c>
      <c r="F2388" t="s">
        <v>14</v>
      </c>
      <c r="G2388" t="s">
        <v>21</v>
      </c>
      <c r="H2388" s="2">
        <v>95713</v>
      </c>
      <c r="I2388" s="2">
        <v>4</v>
      </c>
      <c r="J2388" s="2">
        <v>47791</v>
      </c>
      <c r="K2388" s="2">
        <v>65790</v>
      </c>
      <c r="L2388" s="2">
        <v>12</v>
      </c>
      <c r="M2388" t="str">
        <f>IF(Revv_bike_sales_data[[#This Row],[delivery_days]]&lt;=7, "Yes", "No")</f>
        <v>No</v>
      </c>
      <c r="N2388" t="s">
        <v>16</v>
      </c>
      <c r="O2388" s="2">
        <v>-17999</v>
      </c>
    </row>
    <row r="2389" spans="1:15" x14ac:dyDescent="0.3">
      <c r="A2389" s="2">
        <v>2379</v>
      </c>
      <c r="B2389" s="1">
        <v>45026.083333333336</v>
      </c>
      <c r="C2389" s="1" t="str">
        <f t="shared" si="74"/>
        <v>04-2023</v>
      </c>
      <c r="D2389" s="2">
        <f t="shared" si="75"/>
        <v>15</v>
      </c>
      <c r="E2389" t="s">
        <v>17</v>
      </c>
      <c r="F2389" t="s">
        <v>14</v>
      </c>
      <c r="G2389" t="s">
        <v>20</v>
      </c>
      <c r="H2389" s="2">
        <v>27860</v>
      </c>
      <c r="I2389" s="2">
        <v>4</v>
      </c>
      <c r="J2389" s="2">
        <v>33301</v>
      </c>
      <c r="K2389" s="2">
        <v>96120</v>
      </c>
      <c r="L2389" s="2">
        <v>2</v>
      </c>
      <c r="M2389" t="str">
        <f>IF(Revv_bike_sales_data[[#This Row],[delivery_days]]&lt;=7, "Yes", "No")</f>
        <v>Yes</v>
      </c>
      <c r="N2389" t="s">
        <v>16</v>
      </c>
      <c r="O2389" s="2">
        <v>-62819</v>
      </c>
    </row>
    <row r="2390" spans="1:15" x14ac:dyDescent="0.3">
      <c r="A2390" s="2">
        <v>2380</v>
      </c>
      <c r="B2390" s="1">
        <v>45026.125</v>
      </c>
      <c r="C2390" s="1" t="str">
        <f t="shared" si="74"/>
        <v>04-2023</v>
      </c>
      <c r="D2390" s="2">
        <f t="shared" si="75"/>
        <v>15</v>
      </c>
      <c r="E2390" t="s">
        <v>22</v>
      </c>
      <c r="F2390" t="s">
        <v>14</v>
      </c>
      <c r="G2390" t="s">
        <v>21</v>
      </c>
      <c r="H2390" s="2">
        <v>38305</v>
      </c>
      <c r="I2390" s="2">
        <v>0</v>
      </c>
      <c r="J2390" s="2">
        <v>151866</v>
      </c>
      <c r="K2390" s="2">
        <v>24850</v>
      </c>
      <c r="L2390" s="2">
        <v>4</v>
      </c>
      <c r="M2390" t="str">
        <f>IF(Revv_bike_sales_data[[#This Row],[delivery_days]]&lt;=7, "Yes", "No")</f>
        <v>Yes</v>
      </c>
      <c r="N2390" t="s">
        <v>16</v>
      </c>
      <c r="O2390" s="2">
        <v>127016</v>
      </c>
    </row>
    <row r="2391" spans="1:15" x14ac:dyDescent="0.3">
      <c r="A2391" s="2">
        <v>2381</v>
      </c>
      <c r="B2391" s="1">
        <v>45026.166666666664</v>
      </c>
      <c r="C2391" s="1" t="str">
        <f t="shared" si="74"/>
        <v>04-2023</v>
      </c>
      <c r="D2391" s="2">
        <f t="shared" si="75"/>
        <v>15</v>
      </c>
      <c r="E2391" t="s">
        <v>22</v>
      </c>
      <c r="F2391" t="s">
        <v>23</v>
      </c>
      <c r="G2391" t="s">
        <v>19</v>
      </c>
      <c r="H2391" s="2">
        <v>13953</v>
      </c>
      <c r="I2391" s="2">
        <v>7</v>
      </c>
      <c r="J2391" s="2">
        <v>128623</v>
      </c>
      <c r="K2391" s="2">
        <v>106237</v>
      </c>
      <c r="L2391" s="2">
        <v>14</v>
      </c>
      <c r="M2391" t="str">
        <f>IF(Revv_bike_sales_data[[#This Row],[delivery_days]]&lt;=7, "Yes", "No")</f>
        <v>No</v>
      </c>
      <c r="N2391" t="s">
        <v>16</v>
      </c>
      <c r="O2391" s="2">
        <v>22386</v>
      </c>
    </row>
    <row r="2392" spans="1:15" x14ac:dyDescent="0.3">
      <c r="A2392" s="2">
        <v>2382</v>
      </c>
      <c r="B2392" s="1">
        <v>45026.208333333336</v>
      </c>
      <c r="C2392" s="1" t="str">
        <f t="shared" si="74"/>
        <v>04-2023</v>
      </c>
      <c r="D2392" s="2">
        <f t="shared" si="75"/>
        <v>15</v>
      </c>
      <c r="E2392" t="s">
        <v>25</v>
      </c>
      <c r="F2392" t="s">
        <v>23</v>
      </c>
      <c r="G2392" t="s">
        <v>15</v>
      </c>
      <c r="H2392" s="2">
        <v>23203</v>
      </c>
      <c r="I2392" s="2">
        <v>4</v>
      </c>
      <c r="J2392" s="2">
        <v>137824</v>
      </c>
      <c r="K2392" s="2">
        <v>121759</v>
      </c>
      <c r="L2392" s="2">
        <v>3</v>
      </c>
      <c r="M2392" t="str">
        <f>IF(Revv_bike_sales_data[[#This Row],[delivery_days]]&lt;=7, "Yes", "No")</f>
        <v>Yes</v>
      </c>
      <c r="N2392" t="s">
        <v>16</v>
      </c>
      <c r="O2392" s="2">
        <v>16065</v>
      </c>
    </row>
    <row r="2393" spans="1:15" x14ac:dyDescent="0.3">
      <c r="A2393" s="2">
        <v>2383</v>
      </c>
      <c r="B2393" s="1">
        <v>45026.25</v>
      </c>
      <c r="C2393" s="1" t="str">
        <f t="shared" si="74"/>
        <v>04-2023</v>
      </c>
      <c r="D2393" s="2">
        <f t="shared" si="75"/>
        <v>15</v>
      </c>
      <c r="E2393" t="s">
        <v>13</v>
      </c>
      <c r="F2393" t="s">
        <v>14</v>
      </c>
      <c r="G2393" t="s">
        <v>15</v>
      </c>
      <c r="H2393" s="2">
        <v>59521</v>
      </c>
      <c r="I2393" s="2">
        <v>4</v>
      </c>
      <c r="J2393" s="2">
        <v>61894</v>
      </c>
      <c r="K2393" s="2">
        <v>124488</v>
      </c>
      <c r="L2393" s="2">
        <v>9</v>
      </c>
      <c r="M2393" t="str">
        <f>IF(Revv_bike_sales_data[[#This Row],[delivery_days]]&lt;=7, "Yes", "No")</f>
        <v>No</v>
      </c>
      <c r="N2393" t="s">
        <v>16</v>
      </c>
      <c r="O2393" s="2">
        <v>-62594</v>
      </c>
    </row>
    <row r="2394" spans="1:15" x14ac:dyDescent="0.3">
      <c r="A2394" s="2">
        <v>2384</v>
      </c>
      <c r="B2394" s="1">
        <v>45026.291666666664</v>
      </c>
      <c r="C2394" s="1" t="str">
        <f t="shared" si="74"/>
        <v>04-2023</v>
      </c>
      <c r="D2394" s="2">
        <f t="shared" si="75"/>
        <v>15</v>
      </c>
      <c r="E2394" t="s">
        <v>17</v>
      </c>
      <c r="F2394" t="s">
        <v>14</v>
      </c>
      <c r="G2394" t="s">
        <v>21</v>
      </c>
      <c r="H2394" s="2">
        <v>74676</v>
      </c>
      <c r="I2394" s="2">
        <v>8</v>
      </c>
      <c r="J2394" s="2">
        <v>104618</v>
      </c>
      <c r="K2394" s="2">
        <v>60975</v>
      </c>
      <c r="L2394" s="2">
        <v>2</v>
      </c>
      <c r="M2394" t="str">
        <f>IF(Revv_bike_sales_data[[#This Row],[delivery_days]]&lt;=7, "Yes", "No")</f>
        <v>Yes</v>
      </c>
      <c r="N2394" t="s">
        <v>24</v>
      </c>
      <c r="O2394" s="2">
        <v>43643</v>
      </c>
    </row>
    <row r="2395" spans="1:15" x14ac:dyDescent="0.3">
      <c r="A2395" s="2">
        <v>2385</v>
      </c>
      <c r="B2395" s="1">
        <v>45026.333333333336</v>
      </c>
      <c r="C2395" s="1" t="str">
        <f t="shared" si="74"/>
        <v>04-2023</v>
      </c>
      <c r="D2395" s="2">
        <f t="shared" si="75"/>
        <v>15</v>
      </c>
      <c r="E2395" t="s">
        <v>18</v>
      </c>
      <c r="F2395" t="s">
        <v>14</v>
      </c>
      <c r="G2395" t="s">
        <v>15</v>
      </c>
      <c r="H2395" s="2">
        <v>95299</v>
      </c>
      <c r="I2395" s="2">
        <v>7</v>
      </c>
      <c r="J2395" s="2">
        <v>95994</v>
      </c>
      <c r="K2395" s="2">
        <v>80510</v>
      </c>
      <c r="L2395" s="2">
        <v>3</v>
      </c>
      <c r="M2395" t="str">
        <f>IF(Revv_bike_sales_data[[#This Row],[delivery_days]]&lt;=7, "Yes", "No")</f>
        <v>Yes</v>
      </c>
      <c r="N2395" t="s">
        <v>16</v>
      </c>
      <c r="O2395" s="2">
        <v>15484</v>
      </c>
    </row>
    <row r="2396" spans="1:15" x14ac:dyDescent="0.3">
      <c r="A2396" s="2">
        <v>2386</v>
      </c>
      <c r="B2396" s="1">
        <v>45026.375</v>
      </c>
      <c r="C2396" s="1" t="str">
        <f t="shared" si="74"/>
        <v>04-2023</v>
      </c>
      <c r="D2396" s="2">
        <f t="shared" si="75"/>
        <v>15</v>
      </c>
      <c r="E2396" t="s">
        <v>25</v>
      </c>
      <c r="F2396" t="s">
        <v>23</v>
      </c>
      <c r="G2396" t="s">
        <v>19</v>
      </c>
      <c r="H2396" s="2">
        <v>98885</v>
      </c>
      <c r="I2396" s="2">
        <v>0</v>
      </c>
      <c r="J2396" s="2">
        <v>66770</v>
      </c>
      <c r="K2396" s="2">
        <v>80696</v>
      </c>
      <c r="L2396" s="2">
        <v>7</v>
      </c>
      <c r="M2396" t="str">
        <f>IF(Revv_bike_sales_data[[#This Row],[delivery_days]]&lt;=7, "Yes", "No")</f>
        <v>Yes</v>
      </c>
      <c r="N2396" t="s">
        <v>16</v>
      </c>
      <c r="O2396" s="2">
        <v>-13926</v>
      </c>
    </row>
    <row r="2397" spans="1:15" x14ac:dyDescent="0.3">
      <c r="A2397" s="2">
        <v>2387</v>
      </c>
      <c r="B2397" s="1">
        <v>45026.416666666664</v>
      </c>
      <c r="C2397" s="1" t="str">
        <f t="shared" si="74"/>
        <v>04-2023</v>
      </c>
      <c r="D2397" s="2">
        <f t="shared" si="75"/>
        <v>15</v>
      </c>
      <c r="E2397" t="s">
        <v>13</v>
      </c>
      <c r="F2397" t="s">
        <v>14</v>
      </c>
      <c r="G2397" t="s">
        <v>19</v>
      </c>
      <c r="H2397" s="2">
        <v>82114</v>
      </c>
      <c r="I2397" s="2">
        <v>2</v>
      </c>
      <c r="J2397" s="2">
        <v>47300</v>
      </c>
      <c r="K2397" s="2">
        <v>40832</v>
      </c>
      <c r="L2397" s="2">
        <v>4</v>
      </c>
      <c r="M2397" t="str">
        <f>IF(Revv_bike_sales_data[[#This Row],[delivery_days]]&lt;=7, "Yes", "No")</f>
        <v>Yes</v>
      </c>
      <c r="N2397" t="s">
        <v>16</v>
      </c>
      <c r="O2397" s="2">
        <v>6468</v>
      </c>
    </row>
    <row r="2398" spans="1:15" x14ac:dyDescent="0.3">
      <c r="A2398" s="2">
        <v>2388</v>
      </c>
      <c r="B2398" s="1">
        <v>45026.458333333336</v>
      </c>
      <c r="C2398" s="1" t="str">
        <f t="shared" si="74"/>
        <v>04-2023</v>
      </c>
      <c r="D2398" s="2">
        <f t="shared" si="75"/>
        <v>15</v>
      </c>
      <c r="E2398" t="s">
        <v>18</v>
      </c>
      <c r="F2398" t="s">
        <v>23</v>
      </c>
      <c r="G2398" t="s">
        <v>21</v>
      </c>
      <c r="H2398" s="2">
        <v>89419</v>
      </c>
      <c r="I2398" s="2">
        <v>6</v>
      </c>
      <c r="J2398" s="2">
        <v>143025</v>
      </c>
      <c r="K2398" s="2">
        <v>111746</v>
      </c>
      <c r="L2398" s="2">
        <v>6</v>
      </c>
      <c r="M2398" t="str">
        <f>IF(Revv_bike_sales_data[[#This Row],[delivery_days]]&lt;=7, "Yes", "No")</f>
        <v>Yes</v>
      </c>
      <c r="N2398" t="s">
        <v>16</v>
      </c>
      <c r="O2398" s="2">
        <v>31279</v>
      </c>
    </row>
    <row r="2399" spans="1:15" x14ac:dyDescent="0.3">
      <c r="A2399" s="2">
        <v>2389</v>
      </c>
      <c r="B2399" s="1">
        <v>45026.5</v>
      </c>
      <c r="C2399" s="1" t="str">
        <f t="shared" si="74"/>
        <v>04-2023</v>
      </c>
      <c r="D2399" s="2">
        <f t="shared" si="75"/>
        <v>15</v>
      </c>
      <c r="E2399" t="s">
        <v>22</v>
      </c>
      <c r="F2399" t="s">
        <v>14</v>
      </c>
      <c r="G2399" t="s">
        <v>19</v>
      </c>
      <c r="H2399" s="2">
        <v>81572</v>
      </c>
      <c r="I2399" s="2">
        <v>0</v>
      </c>
      <c r="J2399" s="2">
        <v>145605</v>
      </c>
      <c r="K2399" s="2">
        <v>102826</v>
      </c>
      <c r="L2399" s="2">
        <v>3</v>
      </c>
      <c r="M2399" t="str">
        <f>IF(Revv_bike_sales_data[[#This Row],[delivery_days]]&lt;=7, "Yes", "No")</f>
        <v>Yes</v>
      </c>
      <c r="N2399" t="s">
        <v>16</v>
      </c>
      <c r="O2399" s="2">
        <v>42779</v>
      </c>
    </row>
    <row r="2400" spans="1:15" x14ac:dyDescent="0.3">
      <c r="A2400" s="2">
        <v>2390</v>
      </c>
      <c r="B2400" s="1">
        <v>45026.541666666664</v>
      </c>
      <c r="C2400" s="1" t="str">
        <f t="shared" si="74"/>
        <v>04-2023</v>
      </c>
      <c r="D2400" s="2">
        <f t="shared" si="75"/>
        <v>15</v>
      </c>
      <c r="E2400" t="s">
        <v>22</v>
      </c>
      <c r="F2400" t="s">
        <v>14</v>
      </c>
      <c r="G2400" t="s">
        <v>20</v>
      </c>
      <c r="H2400" s="2">
        <v>7910</v>
      </c>
      <c r="I2400" s="2">
        <v>0</v>
      </c>
      <c r="J2400" s="2">
        <v>65285</v>
      </c>
      <c r="K2400" s="2">
        <v>109977</v>
      </c>
      <c r="L2400" s="2">
        <v>1</v>
      </c>
      <c r="M2400" t="str">
        <f>IF(Revv_bike_sales_data[[#This Row],[delivery_days]]&lt;=7, "Yes", "No")</f>
        <v>Yes</v>
      </c>
      <c r="N2400" t="s">
        <v>16</v>
      </c>
      <c r="O2400" s="2">
        <v>-44692</v>
      </c>
    </row>
    <row r="2401" spans="1:15" x14ac:dyDescent="0.3">
      <c r="A2401" s="2">
        <v>2391</v>
      </c>
      <c r="B2401" s="1">
        <v>45026.583333333336</v>
      </c>
      <c r="C2401" s="1" t="str">
        <f t="shared" si="74"/>
        <v>04-2023</v>
      </c>
      <c r="D2401" s="2">
        <f t="shared" si="75"/>
        <v>15</v>
      </c>
      <c r="E2401" t="s">
        <v>18</v>
      </c>
      <c r="F2401" t="s">
        <v>14</v>
      </c>
      <c r="G2401" t="s">
        <v>19</v>
      </c>
      <c r="H2401" s="2">
        <v>81962</v>
      </c>
      <c r="I2401" s="2">
        <v>4</v>
      </c>
      <c r="J2401" s="2">
        <v>142713</v>
      </c>
      <c r="K2401" s="2">
        <v>39886</v>
      </c>
      <c r="L2401" s="2">
        <v>11</v>
      </c>
      <c r="M2401" t="str">
        <f>IF(Revv_bike_sales_data[[#This Row],[delivery_days]]&lt;=7, "Yes", "No")</f>
        <v>No</v>
      </c>
      <c r="N2401" t="s">
        <v>16</v>
      </c>
      <c r="O2401" s="2">
        <v>102827</v>
      </c>
    </row>
    <row r="2402" spans="1:15" x14ac:dyDescent="0.3">
      <c r="A2402" s="2">
        <v>2392</v>
      </c>
      <c r="B2402" s="1">
        <v>45026.625</v>
      </c>
      <c r="C2402" s="1" t="str">
        <f t="shared" si="74"/>
        <v>04-2023</v>
      </c>
      <c r="D2402" s="2">
        <f t="shared" si="75"/>
        <v>15</v>
      </c>
      <c r="E2402" t="s">
        <v>25</v>
      </c>
      <c r="F2402" t="s">
        <v>23</v>
      </c>
      <c r="G2402" t="s">
        <v>21</v>
      </c>
      <c r="H2402" s="2">
        <v>48768</v>
      </c>
      <c r="I2402" s="2">
        <v>8</v>
      </c>
      <c r="J2402" s="2">
        <v>73671</v>
      </c>
      <c r="K2402" s="2">
        <v>112930</v>
      </c>
      <c r="L2402" s="2">
        <v>6</v>
      </c>
      <c r="M2402" t="str">
        <f>IF(Revv_bike_sales_data[[#This Row],[delivery_days]]&lt;=7, "Yes", "No")</f>
        <v>Yes</v>
      </c>
      <c r="N2402" t="s">
        <v>16</v>
      </c>
      <c r="O2402" s="2">
        <v>-39259</v>
      </c>
    </row>
    <row r="2403" spans="1:15" x14ac:dyDescent="0.3">
      <c r="A2403" s="2">
        <v>2393</v>
      </c>
      <c r="B2403" s="1">
        <v>45026.666666666664</v>
      </c>
      <c r="C2403" s="1" t="str">
        <f t="shared" si="74"/>
        <v>04-2023</v>
      </c>
      <c r="D2403" s="2">
        <f t="shared" si="75"/>
        <v>15</v>
      </c>
      <c r="E2403" t="s">
        <v>22</v>
      </c>
      <c r="F2403" t="s">
        <v>23</v>
      </c>
      <c r="G2403" t="s">
        <v>20</v>
      </c>
      <c r="H2403" s="2">
        <v>34748</v>
      </c>
      <c r="I2403" s="2">
        <v>5</v>
      </c>
      <c r="J2403" s="2">
        <v>143216</v>
      </c>
      <c r="K2403" s="2">
        <v>23418</v>
      </c>
      <c r="L2403" s="2">
        <v>4</v>
      </c>
      <c r="M2403" t="str">
        <f>IF(Revv_bike_sales_data[[#This Row],[delivery_days]]&lt;=7, "Yes", "No")</f>
        <v>Yes</v>
      </c>
      <c r="N2403" t="s">
        <v>16</v>
      </c>
      <c r="O2403" s="2">
        <v>119798</v>
      </c>
    </row>
    <row r="2404" spans="1:15" x14ac:dyDescent="0.3">
      <c r="A2404" s="2">
        <v>2394</v>
      </c>
      <c r="B2404" s="1">
        <v>45026.708333333336</v>
      </c>
      <c r="C2404" s="1" t="str">
        <f t="shared" si="74"/>
        <v>04-2023</v>
      </c>
      <c r="D2404" s="2">
        <f t="shared" si="75"/>
        <v>15</v>
      </c>
      <c r="E2404" t="s">
        <v>17</v>
      </c>
      <c r="F2404" t="s">
        <v>14</v>
      </c>
      <c r="G2404" t="s">
        <v>20</v>
      </c>
      <c r="H2404" s="2">
        <v>31659</v>
      </c>
      <c r="I2404" s="2">
        <v>9</v>
      </c>
      <c r="J2404" s="2">
        <v>45270</v>
      </c>
      <c r="K2404" s="2">
        <v>138152</v>
      </c>
      <c r="L2404" s="2">
        <v>2</v>
      </c>
      <c r="M2404" t="str">
        <f>IF(Revv_bike_sales_data[[#This Row],[delivery_days]]&lt;=7, "Yes", "No")</f>
        <v>Yes</v>
      </c>
      <c r="N2404" t="s">
        <v>16</v>
      </c>
      <c r="O2404" s="2">
        <v>-92882</v>
      </c>
    </row>
    <row r="2405" spans="1:15" x14ac:dyDescent="0.3">
      <c r="A2405" s="2">
        <v>2395</v>
      </c>
      <c r="B2405" s="1">
        <v>45026.75</v>
      </c>
      <c r="C2405" s="1" t="str">
        <f t="shared" si="74"/>
        <v>04-2023</v>
      </c>
      <c r="D2405" s="2">
        <f t="shared" si="75"/>
        <v>15</v>
      </c>
      <c r="E2405" t="s">
        <v>18</v>
      </c>
      <c r="F2405" t="s">
        <v>14</v>
      </c>
      <c r="G2405" t="s">
        <v>15</v>
      </c>
      <c r="H2405" s="2">
        <v>42539</v>
      </c>
      <c r="I2405" s="2">
        <v>1</v>
      </c>
      <c r="J2405" s="2">
        <v>144870</v>
      </c>
      <c r="K2405" s="2">
        <v>22081</v>
      </c>
      <c r="L2405" s="2">
        <v>7</v>
      </c>
      <c r="M2405" t="str">
        <f>IF(Revv_bike_sales_data[[#This Row],[delivery_days]]&lt;=7, "Yes", "No")</f>
        <v>Yes</v>
      </c>
      <c r="N2405" t="s">
        <v>16</v>
      </c>
      <c r="O2405" s="2">
        <v>122789</v>
      </c>
    </row>
    <row r="2406" spans="1:15" x14ac:dyDescent="0.3">
      <c r="A2406" s="2">
        <v>2396</v>
      </c>
      <c r="B2406" s="1">
        <v>45026.791666666664</v>
      </c>
      <c r="C2406" s="1" t="str">
        <f t="shared" si="74"/>
        <v>04-2023</v>
      </c>
      <c r="D2406" s="2">
        <f t="shared" si="75"/>
        <v>15</v>
      </c>
      <c r="E2406" t="s">
        <v>18</v>
      </c>
      <c r="F2406" t="s">
        <v>14</v>
      </c>
      <c r="G2406" t="s">
        <v>19</v>
      </c>
      <c r="H2406" s="2">
        <v>48300</v>
      </c>
      <c r="I2406" s="2">
        <v>8</v>
      </c>
      <c r="J2406" s="2">
        <v>152897</v>
      </c>
      <c r="K2406" s="2">
        <v>117716</v>
      </c>
      <c r="L2406" s="2">
        <v>10</v>
      </c>
      <c r="M2406" t="str">
        <f>IF(Revv_bike_sales_data[[#This Row],[delivery_days]]&lt;=7, "Yes", "No")</f>
        <v>No</v>
      </c>
      <c r="N2406" t="s">
        <v>16</v>
      </c>
      <c r="O2406" s="2">
        <v>35181</v>
      </c>
    </row>
    <row r="2407" spans="1:15" x14ac:dyDescent="0.3">
      <c r="A2407" s="2">
        <v>2397</v>
      </c>
      <c r="B2407" s="1">
        <v>45026.833333333336</v>
      </c>
      <c r="C2407" s="1" t="str">
        <f t="shared" si="74"/>
        <v>04-2023</v>
      </c>
      <c r="D2407" s="2">
        <f t="shared" si="75"/>
        <v>15</v>
      </c>
      <c r="E2407" t="s">
        <v>22</v>
      </c>
      <c r="F2407" t="s">
        <v>14</v>
      </c>
      <c r="G2407" t="s">
        <v>21</v>
      </c>
      <c r="H2407" s="2">
        <v>41261</v>
      </c>
      <c r="I2407" s="2">
        <v>5</v>
      </c>
      <c r="J2407" s="2">
        <v>169770</v>
      </c>
      <c r="K2407" s="2">
        <v>25114</v>
      </c>
      <c r="L2407" s="2">
        <v>13</v>
      </c>
      <c r="M2407" t="str">
        <f>IF(Revv_bike_sales_data[[#This Row],[delivery_days]]&lt;=7, "Yes", "No")</f>
        <v>No</v>
      </c>
      <c r="N2407" t="s">
        <v>16</v>
      </c>
      <c r="O2407" s="2">
        <v>144656</v>
      </c>
    </row>
    <row r="2408" spans="1:15" x14ac:dyDescent="0.3">
      <c r="A2408" s="2">
        <v>2398</v>
      </c>
      <c r="B2408" s="1">
        <v>45026.875</v>
      </c>
      <c r="C2408" s="1" t="str">
        <f t="shared" si="74"/>
        <v>04-2023</v>
      </c>
      <c r="D2408" s="2">
        <f t="shared" si="75"/>
        <v>15</v>
      </c>
      <c r="E2408" t="s">
        <v>25</v>
      </c>
      <c r="F2408" t="s">
        <v>14</v>
      </c>
      <c r="G2408" t="s">
        <v>15</v>
      </c>
      <c r="H2408" s="2">
        <v>95126</v>
      </c>
      <c r="I2408" s="2">
        <v>4</v>
      </c>
      <c r="J2408" s="2">
        <v>97265</v>
      </c>
      <c r="K2408" s="2">
        <v>132845</v>
      </c>
      <c r="L2408" s="2">
        <v>12</v>
      </c>
      <c r="M2408" t="str">
        <f>IF(Revv_bike_sales_data[[#This Row],[delivery_days]]&lt;=7, "Yes", "No")</f>
        <v>No</v>
      </c>
      <c r="N2408" t="s">
        <v>24</v>
      </c>
      <c r="O2408" s="2">
        <v>-35580</v>
      </c>
    </row>
    <row r="2409" spans="1:15" x14ac:dyDescent="0.3">
      <c r="A2409" s="2">
        <v>2399</v>
      </c>
      <c r="B2409" s="1">
        <v>45026.916666666664</v>
      </c>
      <c r="C2409" s="1" t="str">
        <f t="shared" si="74"/>
        <v>04-2023</v>
      </c>
      <c r="D2409" s="2">
        <f t="shared" si="75"/>
        <v>15</v>
      </c>
      <c r="E2409" t="s">
        <v>17</v>
      </c>
      <c r="F2409" t="s">
        <v>14</v>
      </c>
      <c r="G2409" t="s">
        <v>15</v>
      </c>
      <c r="H2409" s="2">
        <v>86603</v>
      </c>
      <c r="I2409" s="2">
        <v>4</v>
      </c>
      <c r="J2409" s="2">
        <v>36171</v>
      </c>
      <c r="K2409" s="2">
        <v>33722</v>
      </c>
      <c r="L2409" s="2">
        <v>13</v>
      </c>
      <c r="M2409" t="str">
        <f>IF(Revv_bike_sales_data[[#This Row],[delivery_days]]&lt;=7, "Yes", "No")</f>
        <v>No</v>
      </c>
      <c r="N2409" t="s">
        <v>16</v>
      </c>
      <c r="O2409" s="2">
        <v>2449</v>
      </c>
    </row>
    <row r="2410" spans="1:15" x14ac:dyDescent="0.3">
      <c r="A2410" s="2">
        <v>2400</v>
      </c>
      <c r="B2410" s="1">
        <v>45026.958333333336</v>
      </c>
      <c r="C2410" s="1" t="str">
        <f t="shared" si="74"/>
        <v>04-2023</v>
      </c>
      <c r="D2410" s="2">
        <f t="shared" si="75"/>
        <v>15</v>
      </c>
      <c r="E2410" t="s">
        <v>25</v>
      </c>
      <c r="F2410" t="s">
        <v>14</v>
      </c>
      <c r="G2410" t="s">
        <v>19</v>
      </c>
      <c r="H2410" s="2">
        <v>44163</v>
      </c>
      <c r="I2410" s="2">
        <v>2</v>
      </c>
      <c r="J2410" s="2">
        <v>85684</v>
      </c>
      <c r="K2410" s="2">
        <v>102508</v>
      </c>
      <c r="L2410" s="2">
        <v>5</v>
      </c>
      <c r="M2410" t="str">
        <f>IF(Revv_bike_sales_data[[#This Row],[delivery_days]]&lt;=7, "Yes", "No")</f>
        <v>Yes</v>
      </c>
      <c r="N2410" t="s">
        <v>16</v>
      </c>
      <c r="O2410" s="2">
        <v>-16824</v>
      </c>
    </row>
    <row r="2411" spans="1:15" x14ac:dyDescent="0.3">
      <c r="A2411" s="2">
        <v>2401</v>
      </c>
      <c r="B2411" s="1">
        <v>45027</v>
      </c>
      <c r="C2411" s="1" t="str">
        <f t="shared" si="74"/>
        <v>04-2023</v>
      </c>
      <c r="D2411" s="2">
        <f t="shared" si="75"/>
        <v>15</v>
      </c>
      <c r="E2411" t="s">
        <v>13</v>
      </c>
      <c r="F2411" t="s">
        <v>14</v>
      </c>
      <c r="G2411" t="s">
        <v>19</v>
      </c>
      <c r="H2411" s="2">
        <v>81403</v>
      </c>
      <c r="I2411" s="2">
        <v>5</v>
      </c>
      <c r="J2411" s="2">
        <v>74948</v>
      </c>
      <c r="K2411" s="2">
        <v>32985</v>
      </c>
      <c r="L2411" s="2">
        <v>6</v>
      </c>
      <c r="M2411" t="str">
        <f>IF(Revv_bike_sales_data[[#This Row],[delivery_days]]&lt;=7, "Yes", "No")</f>
        <v>Yes</v>
      </c>
      <c r="N2411" t="s">
        <v>16</v>
      </c>
      <c r="O2411" s="2">
        <v>41963</v>
      </c>
    </row>
    <row r="2412" spans="1:15" x14ac:dyDescent="0.3">
      <c r="A2412" s="2">
        <v>2402</v>
      </c>
      <c r="B2412" s="1">
        <v>45027.041666666664</v>
      </c>
      <c r="C2412" s="1" t="str">
        <f t="shared" si="74"/>
        <v>04-2023</v>
      </c>
      <c r="D2412" s="2">
        <f t="shared" si="75"/>
        <v>15</v>
      </c>
      <c r="E2412" t="s">
        <v>13</v>
      </c>
      <c r="F2412" t="s">
        <v>14</v>
      </c>
      <c r="G2412" t="s">
        <v>21</v>
      </c>
      <c r="H2412" s="2">
        <v>40912</v>
      </c>
      <c r="I2412" s="2">
        <v>3</v>
      </c>
      <c r="J2412" s="2">
        <v>59725</v>
      </c>
      <c r="K2412" s="2">
        <v>20888</v>
      </c>
      <c r="L2412" s="2">
        <v>6</v>
      </c>
      <c r="M2412" t="str">
        <f>IF(Revv_bike_sales_data[[#This Row],[delivery_days]]&lt;=7, "Yes", "No")</f>
        <v>Yes</v>
      </c>
      <c r="N2412" t="s">
        <v>16</v>
      </c>
      <c r="O2412" s="2">
        <v>38837</v>
      </c>
    </row>
    <row r="2413" spans="1:15" x14ac:dyDescent="0.3">
      <c r="A2413" s="2">
        <v>2403</v>
      </c>
      <c r="B2413" s="1">
        <v>45027.083333333336</v>
      </c>
      <c r="C2413" s="1" t="str">
        <f t="shared" si="74"/>
        <v>04-2023</v>
      </c>
      <c r="D2413" s="2">
        <f t="shared" si="75"/>
        <v>15</v>
      </c>
      <c r="E2413" t="s">
        <v>22</v>
      </c>
      <c r="F2413" t="s">
        <v>14</v>
      </c>
      <c r="G2413" t="s">
        <v>15</v>
      </c>
      <c r="H2413" s="2">
        <v>35867</v>
      </c>
      <c r="I2413" s="2">
        <v>9</v>
      </c>
      <c r="J2413" s="2">
        <v>44450</v>
      </c>
      <c r="K2413" s="2">
        <v>84254</v>
      </c>
      <c r="L2413" s="2">
        <v>14</v>
      </c>
      <c r="M2413" t="str">
        <f>IF(Revv_bike_sales_data[[#This Row],[delivery_days]]&lt;=7, "Yes", "No")</f>
        <v>No</v>
      </c>
      <c r="N2413" t="s">
        <v>16</v>
      </c>
      <c r="O2413" s="2">
        <v>-39804</v>
      </c>
    </row>
    <row r="2414" spans="1:15" x14ac:dyDescent="0.3">
      <c r="A2414" s="2">
        <v>2404</v>
      </c>
      <c r="B2414" s="1">
        <v>45027.125</v>
      </c>
      <c r="C2414" s="1" t="str">
        <f t="shared" si="74"/>
        <v>04-2023</v>
      </c>
      <c r="D2414" s="2">
        <f t="shared" si="75"/>
        <v>15</v>
      </c>
      <c r="E2414" t="s">
        <v>22</v>
      </c>
      <c r="F2414" t="s">
        <v>14</v>
      </c>
      <c r="G2414" t="s">
        <v>21</v>
      </c>
      <c r="H2414" s="2">
        <v>6313</v>
      </c>
      <c r="I2414" s="2">
        <v>1</v>
      </c>
      <c r="J2414" s="2">
        <v>169372</v>
      </c>
      <c r="K2414" s="2">
        <v>112683</v>
      </c>
      <c r="L2414" s="2">
        <v>9</v>
      </c>
      <c r="M2414" t="str">
        <f>IF(Revv_bike_sales_data[[#This Row],[delivery_days]]&lt;=7, "Yes", "No")</f>
        <v>No</v>
      </c>
      <c r="N2414" t="s">
        <v>16</v>
      </c>
      <c r="O2414" s="2">
        <v>56689</v>
      </c>
    </row>
    <row r="2415" spans="1:15" x14ac:dyDescent="0.3">
      <c r="A2415" s="2">
        <v>2405</v>
      </c>
      <c r="B2415" s="1">
        <v>45027.166666666664</v>
      </c>
      <c r="C2415" s="1" t="str">
        <f t="shared" si="74"/>
        <v>04-2023</v>
      </c>
      <c r="D2415" s="2">
        <f t="shared" si="75"/>
        <v>15</v>
      </c>
      <c r="E2415" t="s">
        <v>22</v>
      </c>
      <c r="F2415" t="s">
        <v>14</v>
      </c>
      <c r="G2415" t="s">
        <v>15</v>
      </c>
      <c r="H2415" s="2">
        <v>60394</v>
      </c>
      <c r="I2415" s="2">
        <v>2</v>
      </c>
      <c r="J2415" s="2">
        <v>150900</v>
      </c>
      <c r="K2415" s="2">
        <v>135234</v>
      </c>
      <c r="L2415" s="2">
        <v>12</v>
      </c>
      <c r="M2415" t="str">
        <f>IF(Revv_bike_sales_data[[#This Row],[delivery_days]]&lt;=7, "Yes", "No")</f>
        <v>No</v>
      </c>
      <c r="N2415" t="s">
        <v>24</v>
      </c>
      <c r="O2415" s="2">
        <v>15666</v>
      </c>
    </row>
    <row r="2416" spans="1:15" x14ac:dyDescent="0.3">
      <c r="A2416" s="2">
        <v>2406</v>
      </c>
      <c r="B2416" s="1">
        <v>45027.208333333336</v>
      </c>
      <c r="C2416" s="1" t="str">
        <f t="shared" si="74"/>
        <v>04-2023</v>
      </c>
      <c r="D2416" s="2">
        <f t="shared" si="75"/>
        <v>15</v>
      </c>
      <c r="E2416" t="s">
        <v>13</v>
      </c>
      <c r="F2416" t="s">
        <v>14</v>
      </c>
      <c r="G2416" t="s">
        <v>15</v>
      </c>
      <c r="H2416" s="2">
        <v>51944</v>
      </c>
      <c r="I2416" s="2">
        <v>8</v>
      </c>
      <c r="J2416" s="2">
        <v>109600</v>
      </c>
      <c r="K2416" s="2">
        <v>123918</v>
      </c>
      <c r="L2416" s="2">
        <v>2</v>
      </c>
      <c r="M2416" t="str">
        <f>IF(Revv_bike_sales_data[[#This Row],[delivery_days]]&lt;=7, "Yes", "No")</f>
        <v>Yes</v>
      </c>
      <c r="N2416" t="s">
        <v>16</v>
      </c>
      <c r="O2416" s="2">
        <v>-14318</v>
      </c>
    </row>
    <row r="2417" spans="1:15" x14ac:dyDescent="0.3">
      <c r="A2417" s="2">
        <v>2407</v>
      </c>
      <c r="B2417" s="1">
        <v>45027.25</v>
      </c>
      <c r="C2417" s="1" t="str">
        <f t="shared" si="74"/>
        <v>04-2023</v>
      </c>
      <c r="D2417" s="2">
        <f t="shared" si="75"/>
        <v>15</v>
      </c>
      <c r="E2417" t="s">
        <v>25</v>
      </c>
      <c r="F2417" t="s">
        <v>14</v>
      </c>
      <c r="G2417" t="s">
        <v>15</v>
      </c>
      <c r="H2417" s="2">
        <v>34769</v>
      </c>
      <c r="I2417" s="2">
        <v>8</v>
      </c>
      <c r="J2417" s="2">
        <v>160513</v>
      </c>
      <c r="K2417" s="2">
        <v>98845</v>
      </c>
      <c r="L2417" s="2">
        <v>12</v>
      </c>
      <c r="M2417" t="str">
        <f>IF(Revv_bike_sales_data[[#This Row],[delivery_days]]&lt;=7, "Yes", "No")</f>
        <v>No</v>
      </c>
      <c r="N2417" t="s">
        <v>16</v>
      </c>
      <c r="O2417" s="2">
        <v>61668</v>
      </c>
    </row>
    <row r="2418" spans="1:15" x14ac:dyDescent="0.3">
      <c r="A2418" s="2">
        <v>2408</v>
      </c>
      <c r="B2418" s="1">
        <v>45027.291666666664</v>
      </c>
      <c r="C2418" s="1" t="str">
        <f t="shared" si="74"/>
        <v>04-2023</v>
      </c>
      <c r="D2418" s="2">
        <f t="shared" si="75"/>
        <v>15</v>
      </c>
      <c r="E2418" t="s">
        <v>25</v>
      </c>
      <c r="F2418" t="s">
        <v>14</v>
      </c>
      <c r="G2418" t="s">
        <v>19</v>
      </c>
      <c r="H2418" s="2">
        <v>62248</v>
      </c>
      <c r="I2418" s="2">
        <v>5</v>
      </c>
      <c r="J2418" s="2">
        <v>136315</v>
      </c>
      <c r="K2418" s="2">
        <v>138446</v>
      </c>
      <c r="L2418" s="2">
        <v>6</v>
      </c>
      <c r="M2418" t="str">
        <f>IF(Revv_bike_sales_data[[#This Row],[delivery_days]]&lt;=7, "Yes", "No")</f>
        <v>Yes</v>
      </c>
      <c r="N2418" t="s">
        <v>16</v>
      </c>
      <c r="O2418" s="2">
        <v>-2131</v>
      </c>
    </row>
    <row r="2419" spans="1:15" x14ac:dyDescent="0.3">
      <c r="A2419" s="2">
        <v>2409</v>
      </c>
      <c r="B2419" s="1">
        <v>45027.333333333336</v>
      </c>
      <c r="C2419" s="1" t="str">
        <f t="shared" si="74"/>
        <v>04-2023</v>
      </c>
      <c r="D2419" s="2">
        <f t="shared" si="75"/>
        <v>15</v>
      </c>
      <c r="E2419" t="s">
        <v>22</v>
      </c>
      <c r="F2419" t="s">
        <v>14</v>
      </c>
      <c r="G2419" t="s">
        <v>15</v>
      </c>
      <c r="H2419" s="2">
        <v>41690</v>
      </c>
      <c r="I2419" s="2">
        <v>9</v>
      </c>
      <c r="J2419" s="2">
        <v>175404</v>
      </c>
      <c r="K2419" s="2">
        <v>34299</v>
      </c>
      <c r="L2419" s="2">
        <v>9</v>
      </c>
      <c r="M2419" t="str">
        <f>IF(Revv_bike_sales_data[[#This Row],[delivery_days]]&lt;=7, "Yes", "No")</f>
        <v>No</v>
      </c>
      <c r="N2419" t="s">
        <v>16</v>
      </c>
      <c r="O2419" s="2">
        <v>141105</v>
      </c>
    </row>
    <row r="2420" spans="1:15" x14ac:dyDescent="0.3">
      <c r="A2420" s="2">
        <v>2410</v>
      </c>
      <c r="B2420" s="1">
        <v>45027.375</v>
      </c>
      <c r="C2420" s="1" t="str">
        <f t="shared" si="74"/>
        <v>04-2023</v>
      </c>
      <c r="D2420" s="2">
        <f t="shared" si="75"/>
        <v>15</v>
      </c>
      <c r="E2420" t="s">
        <v>17</v>
      </c>
      <c r="F2420" t="s">
        <v>14</v>
      </c>
      <c r="G2420" t="s">
        <v>15</v>
      </c>
      <c r="H2420" s="2">
        <v>40818</v>
      </c>
      <c r="I2420" s="2">
        <v>9</v>
      </c>
      <c r="J2420" s="2">
        <v>45115</v>
      </c>
      <c r="K2420" s="2">
        <v>71050</v>
      </c>
      <c r="L2420" s="2">
        <v>12</v>
      </c>
      <c r="M2420" t="str">
        <f>IF(Revv_bike_sales_data[[#This Row],[delivery_days]]&lt;=7, "Yes", "No")</f>
        <v>No</v>
      </c>
      <c r="N2420" t="s">
        <v>24</v>
      </c>
      <c r="O2420" s="2">
        <v>-25935</v>
      </c>
    </row>
    <row r="2421" spans="1:15" x14ac:dyDescent="0.3">
      <c r="A2421" s="2">
        <v>2411</v>
      </c>
      <c r="B2421" s="1">
        <v>45027.416666666664</v>
      </c>
      <c r="C2421" s="1" t="str">
        <f t="shared" si="74"/>
        <v>04-2023</v>
      </c>
      <c r="D2421" s="2">
        <f t="shared" si="75"/>
        <v>15</v>
      </c>
      <c r="E2421" t="s">
        <v>25</v>
      </c>
      <c r="F2421" t="s">
        <v>14</v>
      </c>
      <c r="G2421" t="s">
        <v>15</v>
      </c>
      <c r="H2421" s="2">
        <v>37518</v>
      </c>
      <c r="I2421" s="2">
        <v>8</v>
      </c>
      <c r="J2421" s="2">
        <v>124405</v>
      </c>
      <c r="K2421" s="2">
        <v>121747</v>
      </c>
      <c r="L2421" s="2">
        <v>4</v>
      </c>
      <c r="M2421" t="str">
        <f>IF(Revv_bike_sales_data[[#This Row],[delivery_days]]&lt;=7, "Yes", "No")</f>
        <v>Yes</v>
      </c>
      <c r="N2421" t="s">
        <v>16</v>
      </c>
      <c r="O2421" s="2">
        <v>2658</v>
      </c>
    </row>
    <row r="2422" spans="1:15" x14ac:dyDescent="0.3">
      <c r="A2422" s="2">
        <v>2412</v>
      </c>
      <c r="B2422" s="1">
        <v>45027.458333333336</v>
      </c>
      <c r="C2422" s="1" t="str">
        <f t="shared" si="74"/>
        <v>04-2023</v>
      </c>
      <c r="D2422" s="2">
        <f t="shared" si="75"/>
        <v>15</v>
      </c>
      <c r="E2422" t="s">
        <v>13</v>
      </c>
      <c r="F2422" t="s">
        <v>14</v>
      </c>
      <c r="G2422" t="s">
        <v>20</v>
      </c>
      <c r="H2422" s="2">
        <v>40259</v>
      </c>
      <c r="I2422" s="2">
        <v>3</v>
      </c>
      <c r="J2422" s="2">
        <v>112404</v>
      </c>
      <c r="K2422" s="2">
        <v>37036</v>
      </c>
      <c r="L2422" s="2">
        <v>13</v>
      </c>
      <c r="M2422" t="str">
        <f>IF(Revv_bike_sales_data[[#This Row],[delivery_days]]&lt;=7, "Yes", "No")</f>
        <v>No</v>
      </c>
      <c r="N2422" t="s">
        <v>16</v>
      </c>
      <c r="O2422" s="2">
        <v>75368</v>
      </c>
    </row>
    <row r="2423" spans="1:15" x14ac:dyDescent="0.3">
      <c r="A2423" s="2">
        <v>2413</v>
      </c>
      <c r="B2423" s="1">
        <v>45027.5</v>
      </c>
      <c r="C2423" s="1" t="str">
        <f t="shared" si="74"/>
        <v>04-2023</v>
      </c>
      <c r="D2423" s="2">
        <f t="shared" si="75"/>
        <v>15</v>
      </c>
      <c r="E2423" t="s">
        <v>18</v>
      </c>
      <c r="F2423" t="s">
        <v>23</v>
      </c>
      <c r="G2423" t="s">
        <v>19</v>
      </c>
      <c r="H2423" s="2">
        <v>16998</v>
      </c>
      <c r="I2423" s="2">
        <v>4</v>
      </c>
      <c r="J2423" s="2">
        <v>169687</v>
      </c>
      <c r="K2423" s="2">
        <v>100421</v>
      </c>
      <c r="L2423" s="2">
        <v>12</v>
      </c>
      <c r="M2423" t="str">
        <f>IF(Revv_bike_sales_data[[#This Row],[delivery_days]]&lt;=7, "Yes", "No")</f>
        <v>No</v>
      </c>
      <c r="N2423" t="s">
        <v>16</v>
      </c>
      <c r="O2423" s="2">
        <v>69266</v>
      </c>
    </row>
    <row r="2424" spans="1:15" x14ac:dyDescent="0.3">
      <c r="A2424" s="2">
        <v>2414</v>
      </c>
      <c r="B2424" s="1">
        <v>45027.541666666664</v>
      </c>
      <c r="C2424" s="1" t="str">
        <f t="shared" si="74"/>
        <v>04-2023</v>
      </c>
      <c r="D2424" s="2">
        <f t="shared" si="75"/>
        <v>15</v>
      </c>
      <c r="E2424" t="s">
        <v>18</v>
      </c>
      <c r="F2424" t="s">
        <v>23</v>
      </c>
      <c r="G2424" t="s">
        <v>20</v>
      </c>
      <c r="H2424" s="2">
        <v>26489</v>
      </c>
      <c r="I2424" s="2">
        <v>9</v>
      </c>
      <c r="J2424" s="2">
        <v>170804</v>
      </c>
      <c r="K2424" s="2">
        <v>44346</v>
      </c>
      <c r="L2424" s="2">
        <v>13</v>
      </c>
      <c r="M2424" t="str">
        <f>IF(Revv_bike_sales_data[[#This Row],[delivery_days]]&lt;=7, "Yes", "No")</f>
        <v>No</v>
      </c>
      <c r="N2424" t="s">
        <v>16</v>
      </c>
      <c r="O2424" s="2">
        <v>126458</v>
      </c>
    </row>
    <row r="2425" spans="1:15" x14ac:dyDescent="0.3">
      <c r="A2425" s="2">
        <v>2415</v>
      </c>
      <c r="B2425" s="1">
        <v>45027.583333333336</v>
      </c>
      <c r="C2425" s="1" t="str">
        <f t="shared" si="74"/>
        <v>04-2023</v>
      </c>
      <c r="D2425" s="2">
        <f t="shared" si="75"/>
        <v>15</v>
      </c>
      <c r="E2425" t="s">
        <v>18</v>
      </c>
      <c r="F2425" t="s">
        <v>14</v>
      </c>
      <c r="G2425" t="s">
        <v>19</v>
      </c>
      <c r="H2425" s="2">
        <v>26068</v>
      </c>
      <c r="I2425" s="2">
        <v>5</v>
      </c>
      <c r="J2425" s="2">
        <v>135670</v>
      </c>
      <c r="K2425" s="2">
        <v>128507</v>
      </c>
      <c r="L2425" s="2">
        <v>13</v>
      </c>
      <c r="M2425" t="str">
        <f>IF(Revv_bike_sales_data[[#This Row],[delivery_days]]&lt;=7, "Yes", "No")</f>
        <v>No</v>
      </c>
      <c r="N2425" t="s">
        <v>16</v>
      </c>
      <c r="O2425" s="2">
        <v>7163</v>
      </c>
    </row>
    <row r="2426" spans="1:15" x14ac:dyDescent="0.3">
      <c r="A2426" s="2">
        <v>2416</v>
      </c>
      <c r="B2426" s="1">
        <v>45027.625</v>
      </c>
      <c r="C2426" s="1" t="str">
        <f t="shared" si="74"/>
        <v>04-2023</v>
      </c>
      <c r="D2426" s="2">
        <f t="shared" si="75"/>
        <v>15</v>
      </c>
      <c r="E2426" t="s">
        <v>17</v>
      </c>
      <c r="F2426" t="s">
        <v>14</v>
      </c>
      <c r="G2426" t="s">
        <v>21</v>
      </c>
      <c r="H2426" s="2">
        <v>67077</v>
      </c>
      <c r="I2426" s="2">
        <v>8</v>
      </c>
      <c r="J2426" s="2">
        <v>67738</v>
      </c>
      <c r="K2426" s="2">
        <v>129673</v>
      </c>
      <c r="L2426" s="2">
        <v>11</v>
      </c>
      <c r="M2426" t="str">
        <f>IF(Revv_bike_sales_data[[#This Row],[delivery_days]]&lt;=7, "Yes", "No")</f>
        <v>No</v>
      </c>
      <c r="N2426" t="s">
        <v>16</v>
      </c>
      <c r="O2426" s="2">
        <v>-61935</v>
      </c>
    </row>
    <row r="2427" spans="1:15" x14ac:dyDescent="0.3">
      <c r="A2427" s="2">
        <v>2417</v>
      </c>
      <c r="B2427" s="1">
        <v>45027.666666666664</v>
      </c>
      <c r="C2427" s="1" t="str">
        <f t="shared" si="74"/>
        <v>04-2023</v>
      </c>
      <c r="D2427" s="2">
        <f t="shared" si="75"/>
        <v>15</v>
      </c>
      <c r="E2427" t="s">
        <v>22</v>
      </c>
      <c r="F2427" t="s">
        <v>14</v>
      </c>
      <c r="G2427" t="s">
        <v>20</v>
      </c>
      <c r="H2427" s="2">
        <v>30599</v>
      </c>
      <c r="I2427" s="2">
        <v>4</v>
      </c>
      <c r="J2427" s="2">
        <v>157053</v>
      </c>
      <c r="K2427" s="2">
        <v>41691</v>
      </c>
      <c r="L2427" s="2">
        <v>6</v>
      </c>
      <c r="M2427" t="str">
        <f>IF(Revv_bike_sales_data[[#This Row],[delivery_days]]&lt;=7, "Yes", "No")</f>
        <v>Yes</v>
      </c>
      <c r="N2427" t="s">
        <v>16</v>
      </c>
      <c r="O2427" s="2">
        <v>115362</v>
      </c>
    </row>
    <row r="2428" spans="1:15" x14ac:dyDescent="0.3">
      <c r="A2428" s="2">
        <v>2418</v>
      </c>
      <c r="B2428" s="1">
        <v>45027.708333333336</v>
      </c>
      <c r="C2428" s="1" t="str">
        <f t="shared" si="74"/>
        <v>04-2023</v>
      </c>
      <c r="D2428" s="2">
        <f t="shared" si="75"/>
        <v>15</v>
      </c>
      <c r="E2428" t="s">
        <v>13</v>
      </c>
      <c r="F2428" t="s">
        <v>23</v>
      </c>
      <c r="G2428" t="s">
        <v>21</v>
      </c>
      <c r="H2428" s="2">
        <v>90400</v>
      </c>
      <c r="I2428" s="2">
        <v>7</v>
      </c>
      <c r="J2428" s="2">
        <v>106666</v>
      </c>
      <c r="K2428" s="2">
        <v>120578</v>
      </c>
      <c r="L2428" s="2">
        <v>7</v>
      </c>
      <c r="M2428" t="str">
        <f>IF(Revv_bike_sales_data[[#This Row],[delivery_days]]&lt;=7, "Yes", "No")</f>
        <v>Yes</v>
      </c>
      <c r="N2428" t="s">
        <v>16</v>
      </c>
      <c r="O2428" s="2">
        <v>-13912</v>
      </c>
    </row>
    <row r="2429" spans="1:15" x14ac:dyDescent="0.3">
      <c r="A2429" s="2">
        <v>2419</v>
      </c>
      <c r="B2429" s="1">
        <v>45027.75</v>
      </c>
      <c r="C2429" s="1" t="str">
        <f t="shared" si="74"/>
        <v>04-2023</v>
      </c>
      <c r="D2429" s="2">
        <f t="shared" si="75"/>
        <v>15</v>
      </c>
      <c r="E2429" t="s">
        <v>17</v>
      </c>
      <c r="F2429" t="s">
        <v>14</v>
      </c>
      <c r="G2429" t="s">
        <v>15</v>
      </c>
      <c r="H2429" s="2">
        <v>41139</v>
      </c>
      <c r="I2429" s="2">
        <v>0</v>
      </c>
      <c r="J2429" s="2">
        <v>109351</v>
      </c>
      <c r="K2429" s="2">
        <v>129063</v>
      </c>
      <c r="L2429" s="2">
        <v>1</v>
      </c>
      <c r="M2429" t="str">
        <f>IF(Revv_bike_sales_data[[#This Row],[delivery_days]]&lt;=7, "Yes", "No")</f>
        <v>Yes</v>
      </c>
      <c r="N2429" t="s">
        <v>16</v>
      </c>
      <c r="O2429" s="2">
        <v>-19712</v>
      </c>
    </row>
    <row r="2430" spans="1:15" x14ac:dyDescent="0.3">
      <c r="A2430" s="2">
        <v>2420</v>
      </c>
      <c r="B2430" s="1">
        <v>45027.791666666664</v>
      </c>
      <c r="C2430" s="1" t="str">
        <f t="shared" si="74"/>
        <v>04-2023</v>
      </c>
      <c r="D2430" s="2">
        <f t="shared" si="75"/>
        <v>15</v>
      </c>
      <c r="E2430" t="s">
        <v>13</v>
      </c>
      <c r="F2430" t="s">
        <v>14</v>
      </c>
      <c r="G2430" t="s">
        <v>21</v>
      </c>
      <c r="H2430" s="2">
        <v>23982</v>
      </c>
      <c r="I2430" s="2">
        <v>4</v>
      </c>
      <c r="J2430" s="2">
        <v>164638</v>
      </c>
      <c r="K2430" s="2">
        <v>32986</v>
      </c>
      <c r="L2430" s="2">
        <v>5</v>
      </c>
      <c r="M2430" t="str">
        <f>IF(Revv_bike_sales_data[[#This Row],[delivery_days]]&lt;=7, "Yes", "No")</f>
        <v>Yes</v>
      </c>
      <c r="N2430" t="s">
        <v>24</v>
      </c>
      <c r="O2430" s="2">
        <v>131652</v>
      </c>
    </row>
    <row r="2431" spans="1:15" x14ac:dyDescent="0.3">
      <c r="A2431" s="2">
        <v>2421</v>
      </c>
      <c r="B2431" s="1">
        <v>45027.833333333336</v>
      </c>
      <c r="C2431" s="1" t="str">
        <f t="shared" si="74"/>
        <v>04-2023</v>
      </c>
      <c r="D2431" s="2">
        <f t="shared" si="75"/>
        <v>15</v>
      </c>
      <c r="E2431" t="s">
        <v>13</v>
      </c>
      <c r="F2431" t="s">
        <v>14</v>
      </c>
      <c r="G2431" t="s">
        <v>21</v>
      </c>
      <c r="H2431" s="2">
        <v>69712</v>
      </c>
      <c r="I2431" s="2">
        <v>9</v>
      </c>
      <c r="J2431" s="2">
        <v>35728</v>
      </c>
      <c r="K2431" s="2">
        <v>42846</v>
      </c>
      <c r="L2431" s="2">
        <v>4</v>
      </c>
      <c r="M2431" t="str">
        <f>IF(Revv_bike_sales_data[[#This Row],[delivery_days]]&lt;=7, "Yes", "No")</f>
        <v>Yes</v>
      </c>
      <c r="N2431" t="s">
        <v>16</v>
      </c>
      <c r="O2431" s="2">
        <v>-7118</v>
      </c>
    </row>
    <row r="2432" spans="1:15" x14ac:dyDescent="0.3">
      <c r="A2432" s="2">
        <v>2422</v>
      </c>
      <c r="B2432" s="1">
        <v>45027.875</v>
      </c>
      <c r="C2432" s="1" t="str">
        <f t="shared" si="74"/>
        <v>04-2023</v>
      </c>
      <c r="D2432" s="2">
        <f t="shared" si="75"/>
        <v>15</v>
      </c>
      <c r="E2432" t="s">
        <v>22</v>
      </c>
      <c r="F2432" t="s">
        <v>14</v>
      </c>
      <c r="G2432" t="s">
        <v>21</v>
      </c>
      <c r="H2432" s="2">
        <v>55761</v>
      </c>
      <c r="I2432" s="2">
        <v>0</v>
      </c>
      <c r="J2432" s="2">
        <v>130852</v>
      </c>
      <c r="K2432" s="2">
        <v>137047</v>
      </c>
      <c r="L2432" s="2">
        <v>13</v>
      </c>
      <c r="M2432" t="str">
        <f>IF(Revv_bike_sales_data[[#This Row],[delivery_days]]&lt;=7, "Yes", "No")</f>
        <v>No</v>
      </c>
      <c r="N2432" t="s">
        <v>16</v>
      </c>
      <c r="O2432" s="2">
        <v>-6195</v>
      </c>
    </row>
    <row r="2433" spans="1:15" x14ac:dyDescent="0.3">
      <c r="A2433" s="2">
        <v>2423</v>
      </c>
      <c r="B2433" s="1">
        <v>45027.916666666664</v>
      </c>
      <c r="C2433" s="1" t="str">
        <f t="shared" si="74"/>
        <v>04-2023</v>
      </c>
      <c r="D2433" s="2">
        <f t="shared" si="75"/>
        <v>15</v>
      </c>
      <c r="E2433" t="s">
        <v>18</v>
      </c>
      <c r="F2433" t="s">
        <v>14</v>
      </c>
      <c r="G2433" t="s">
        <v>21</v>
      </c>
      <c r="H2433" s="2">
        <v>87817</v>
      </c>
      <c r="I2433" s="2">
        <v>9</v>
      </c>
      <c r="J2433" s="2">
        <v>108911</v>
      </c>
      <c r="K2433" s="2">
        <v>64665</v>
      </c>
      <c r="L2433" s="2">
        <v>13</v>
      </c>
      <c r="M2433" t="str">
        <f>IF(Revv_bike_sales_data[[#This Row],[delivery_days]]&lt;=7, "Yes", "No")</f>
        <v>No</v>
      </c>
      <c r="N2433" t="s">
        <v>16</v>
      </c>
      <c r="O2433" s="2">
        <v>44246</v>
      </c>
    </row>
    <row r="2434" spans="1:15" x14ac:dyDescent="0.3">
      <c r="A2434" s="2">
        <v>2424</v>
      </c>
      <c r="B2434" s="1">
        <v>45027.958333333336</v>
      </c>
      <c r="C2434" s="1" t="str">
        <f t="shared" si="74"/>
        <v>04-2023</v>
      </c>
      <c r="D2434" s="2">
        <f t="shared" si="75"/>
        <v>15</v>
      </c>
      <c r="E2434" t="s">
        <v>22</v>
      </c>
      <c r="F2434" t="s">
        <v>14</v>
      </c>
      <c r="G2434" t="s">
        <v>19</v>
      </c>
      <c r="H2434" s="2">
        <v>30548</v>
      </c>
      <c r="I2434" s="2">
        <v>5</v>
      </c>
      <c r="J2434" s="2">
        <v>142616</v>
      </c>
      <c r="K2434" s="2">
        <v>128408</v>
      </c>
      <c r="L2434" s="2">
        <v>13</v>
      </c>
      <c r="M2434" t="str">
        <f>IF(Revv_bike_sales_data[[#This Row],[delivery_days]]&lt;=7, "Yes", "No")</f>
        <v>No</v>
      </c>
      <c r="N2434" t="s">
        <v>16</v>
      </c>
      <c r="O2434" s="2">
        <v>14208</v>
      </c>
    </row>
    <row r="2435" spans="1:15" x14ac:dyDescent="0.3">
      <c r="A2435" s="2">
        <v>2425</v>
      </c>
      <c r="B2435" s="1">
        <v>45028</v>
      </c>
      <c r="C2435" s="1" t="str">
        <f t="shared" si="74"/>
        <v>04-2023</v>
      </c>
      <c r="D2435" s="2">
        <f t="shared" si="75"/>
        <v>15</v>
      </c>
      <c r="E2435" t="s">
        <v>17</v>
      </c>
      <c r="F2435" t="s">
        <v>14</v>
      </c>
      <c r="G2435" t="s">
        <v>20</v>
      </c>
      <c r="H2435" s="2">
        <v>3565</v>
      </c>
      <c r="I2435" s="2">
        <v>6</v>
      </c>
      <c r="J2435" s="2">
        <v>61214</v>
      </c>
      <c r="K2435" s="2">
        <v>56401</v>
      </c>
      <c r="L2435" s="2">
        <v>10</v>
      </c>
      <c r="M2435" t="str">
        <f>IF(Revv_bike_sales_data[[#This Row],[delivery_days]]&lt;=7, "Yes", "No")</f>
        <v>No</v>
      </c>
      <c r="N2435" t="s">
        <v>16</v>
      </c>
      <c r="O2435" s="2">
        <v>4813</v>
      </c>
    </row>
    <row r="2436" spans="1:15" x14ac:dyDescent="0.3">
      <c r="A2436" s="2">
        <v>2426</v>
      </c>
      <c r="B2436" s="1">
        <v>45028.041666666664</v>
      </c>
      <c r="C2436" s="1" t="str">
        <f t="shared" si="74"/>
        <v>04-2023</v>
      </c>
      <c r="D2436" s="2">
        <f t="shared" si="75"/>
        <v>15</v>
      </c>
      <c r="E2436" t="s">
        <v>17</v>
      </c>
      <c r="F2436" t="s">
        <v>14</v>
      </c>
      <c r="G2436" t="s">
        <v>19</v>
      </c>
      <c r="H2436" s="2">
        <v>2536</v>
      </c>
      <c r="I2436" s="2">
        <v>4</v>
      </c>
      <c r="J2436" s="2">
        <v>70588</v>
      </c>
      <c r="K2436" s="2">
        <v>88728</v>
      </c>
      <c r="L2436" s="2">
        <v>2</v>
      </c>
      <c r="M2436" t="str">
        <f>IF(Revv_bike_sales_data[[#This Row],[delivery_days]]&lt;=7, "Yes", "No")</f>
        <v>Yes</v>
      </c>
      <c r="N2436" t="s">
        <v>16</v>
      </c>
      <c r="O2436" s="2">
        <v>-18140</v>
      </c>
    </row>
    <row r="2437" spans="1:15" x14ac:dyDescent="0.3">
      <c r="A2437" s="2">
        <v>2427</v>
      </c>
      <c r="B2437" s="1">
        <v>45028.083333333336</v>
      </c>
      <c r="C2437" s="1" t="str">
        <f t="shared" si="74"/>
        <v>04-2023</v>
      </c>
      <c r="D2437" s="2">
        <f t="shared" si="75"/>
        <v>15</v>
      </c>
      <c r="E2437" t="s">
        <v>17</v>
      </c>
      <c r="F2437" t="s">
        <v>14</v>
      </c>
      <c r="G2437" t="s">
        <v>19</v>
      </c>
      <c r="H2437" s="2">
        <v>36314</v>
      </c>
      <c r="I2437" s="2">
        <v>0</v>
      </c>
      <c r="J2437" s="2">
        <v>175025</v>
      </c>
      <c r="K2437" s="2">
        <v>119805</v>
      </c>
      <c r="L2437" s="2">
        <v>2</v>
      </c>
      <c r="M2437" t="str">
        <f>IF(Revv_bike_sales_data[[#This Row],[delivery_days]]&lt;=7, "Yes", "No")</f>
        <v>Yes</v>
      </c>
      <c r="N2437" t="s">
        <v>24</v>
      </c>
      <c r="O2437" s="2">
        <v>55220</v>
      </c>
    </row>
    <row r="2438" spans="1:15" x14ac:dyDescent="0.3">
      <c r="A2438" s="2">
        <v>2428</v>
      </c>
      <c r="B2438" s="1">
        <v>45028.125</v>
      </c>
      <c r="C2438" s="1" t="str">
        <f t="shared" si="74"/>
        <v>04-2023</v>
      </c>
      <c r="D2438" s="2">
        <f t="shared" si="75"/>
        <v>15</v>
      </c>
      <c r="E2438" t="s">
        <v>22</v>
      </c>
      <c r="F2438" t="s">
        <v>14</v>
      </c>
      <c r="G2438" t="s">
        <v>19</v>
      </c>
      <c r="H2438" s="2">
        <v>60194</v>
      </c>
      <c r="I2438" s="2">
        <v>5</v>
      </c>
      <c r="J2438" s="2">
        <v>93408</v>
      </c>
      <c r="K2438" s="2">
        <v>65054</v>
      </c>
      <c r="L2438" s="2">
        <v>2</v>
      </c>
      <c r="M2438" t="str">
        <f>IF(Revv_bike_sales_data[[#This Row],[delivery_days]]&lt;=7, "Yes", "No")</f>
        <v>Yes</v>
      </c>
      <c r="N2438" t="s">
        <v>16</v>
      </c>
      <c r="O2438" s="2">
        <v>28354</v>
      </c>
    </row>
    <row r="2439" spans="1:15" x14ac:dyDescent="0.3">
      <c r="A2439" s="2">
        <v>2429</v>
      </c>
      <c r="B2439" s="1">
        <v>45028.166666666664</v>
      </c>
      <c r="C2439" s="1" t="str">
        <f t="shared" si="74"/>
        <v>04-2023</v>
      </c>
      <c r="D2439" s="2">
        <f t="shared" si="75"/>
        <v>15</v>
      </c>
      <c r="E2439" t="s">
        <v>13</v>
      </c>
      <c r="F2439" t="s">
        <v>23</v>
      </c>
      <c r="G2439" t="s">
        <v>21</v>
      </c>
      <c r="H2439" s="2">
        <v>17424</v>
      </c>
      <c r="I2439" s="2">
        <v>9</v>
      </c>
      <c r="J2439" s="2">
        <v>59103</v>
      </c>
      <c r="K2439" s="2">
        <v>53487</v>
      </c>
      <c r="L2439" s="2">
        <v>7</v>
      </c>
      <c r="M2439" t="str">
        <f>IF(Revv_bike_sales_data[[#This Row],[delivery_days]]&lt;=7, "Yes", "No")</f>
        <v>Yes</v>
      </c>
      <c r="N2439" t="s">
        <v>16</v>
      </c>
      <c r="O2439" s="2">
        <v>5616</v>
      </c>
    </row>
    <row r="2440" spans="1:15" x14ac:dyDescent="0.3">
      <c r="A2440" s="2">
        <v>2430</v>
      </c>
      <c r="B2440" s="1">
        <v>45028.208333333336</v>
      </c>
      <c r="C2440" s="1" t="str">
        <f t="shared" si="74"/>
        <v>04-2023</v>
      </c>
      <c r="D2440" s="2">
        <f t="shared" si="75"/>
        <v>15</v>
      </c>
      <c r="E2440" t="s">
        <v>13</v>
      </c>
      <c r="F2440" t="s">
        <v>14</v>
      </c>
      <c r="G2440" t="s">
        <v>19</v>
      </c>
      <c r="H2440" s="2">
        <v>60704</v>
      </c>
      <c r="I2440" s="2">
        <v>4</v>
      </c>
      <c r="J2440" s="2">
        <v>95949</v>
      </c>
      <c r="K2440" s="2">
        <v>24412</v>
      </c>
      <c r="L2440" s="2">
        <v>11</v>
      </c>
      <c r="M2440" t="str">
        <f>IF(Revv_bike_sales_data[[#This Row],[delivery_days]]&lt;=7, "Yes", "No")</f>
        <v>No</v>
      </c>
      <c r="N2440" t="s">
        <v>16</v>
      </c>
      <c r="O2440" s="2">
        <v>71537</v>
      </c>
    </row>
    <row r="2441" spans="1:15" x14ac:dyDescent="0.3">
      <c r="A2441" s="2">
        <v>2431</v>
      </c>
      <c r="B2441" s="1">
        <v>45028.25</v>
      </c>
      <c r="C2441" s="1" t="str">
        <f t="shared" si="74"/>
        <v>04-2023</v>
      </c>
      <c r="D2441" s="2">
        <f t="shared" si="75"/>
        <v>15</v>
      </c>
      <c r="E2441" t="s">
        <v>25</v>
      </c>
      <c r="F2441" t="s">
        <v>14</v>
      </c>
      <c r="G2441" t="s">
        <v>20</v>
      </c>
      <c r="H2441" s="2">
        <v>33344</v>
      </c>
      <c r="I2441" s="2">
        <v>5</v>
      </c>
      <c r="J2441" s="2">
        <v>176228</v>
      </c>
      <c r="K2441" s="2">
        <v>137836</v>
      </c>
      <c r="L2441" s="2">
        <v>13</v>
      </c>
      <c r="M2441" t="str">
        <f>IF(Revv_bike_sales_data[[#This Row],[delivery_days]]&lt;=7, "Yes", "No")</f>
        <v>No</v>
      </c>
      <c r="N2441" t="s">
        <v>24</v>
      </c>
      <c r="O2441" s="2">
        <v>38392</v>
      </c>
    </row>
    <row r="2442" spans="1:15" x14ac:dyDescent="0.3">
      <c r="A2442" s="2">
        <v>2432</v>
      </c>
      <c r="B2442" s="1">
        <v>45028.291666666664</v>
      </c>
      <c r="C2442" s="1" t="str">
        <f t="shared" si="74"/>
        <v>04-2023</v>
      </c>
      <c r="D2442" s="2">
        <f t="shared" si="75"/>
        <v>15</v>
      </c>
      <c r="E2442" t="s">
        <v>17</v>
      </c>
      <c r="F2442" t="s">
        <v>14</v>
      </c>
      <c r="G2442" t="s">
        <v>19</v>
      </c>
      <c r="H2442" s="2">
        <v>82443</v>
      </c>
      <c r="I2442" s="2">
        <v>9</v>
      </c>
      <c r="J2442" s="2">
        <v>38423</v>
      </c>
      <c r="K2442" s="2">
        <v>96499</v>
      </c>
      <c r="L2442" s="2">
        <v>11</v>
      </c>
      <c r="M2442" t="str">
        <f>IF(Revv_bike_sales_data[[#This Row],[delivery_days]]&lt;=7, "Yes", "No")</f>
        <v>No</v>
      </c>
      <c r="N2442" t="s">
        <v>16</v>
      </c>
      <c r="O2442" s="2">
        <v>-58076</v>
      </c>
    </row>
    <row r="2443" spans="1:15" x14ac:dyDescent="0.3">
      <c r="A2443" s="2">
        <v>2433</v>
      </c>
      <c r="B2443" s="1">
        <v>45028.333333333336</v>
      </c>
      <c r="C2443" s="1" t="str">
        <f t="shared" ref="C2443:C2506" si="76">TEXT(B2443,"mm-yyyy")</f>
        <v>04-2023</v>
      </c>
      <c r="D2443" s="2">
        <f t="shared" ref="D2443:D2506" si="77">WEEKNUM(B2443)</f>
        <v>15</v>
      </c>
      <c r="E2443" t="s">
        <v>13</v>
      </c>
      <c r="F2443" t="s">
        <v>14</v>
      </c>
      <c r="G2443" t="s">
        <v>15</v>
      </c>
      <c r="H2443" s="2">
        <v>22018</v>
      </c>
      <c r="I2443" s="2">
        <v>6</v>
      </c>
      <c r="J2443" s="2">
        <v>63062</v>
      </c>
      <c r="K2443" s="2">
        <v>66473</v>
      </c>
      <c r="L2443" s="2">
        <v>4</v>
      </c>
      <c r="M2443" t="str">
        <f>IF(Revv_bike_sales_data[[#This Row],[delivery_days]]&lt;=7, "Yes", "No")</f>
        <v>Yes</v>
      </c>
      <c r="N2443" t="s">
        <v>16</v>
      </c>
      <c r="O2443" s="2">
        <v>-3411</v>
      </c>
    </row>
    <row r="2444" spans="1:15" x14ac:dyDescent="0.3">
      <c r="A2444" s="2">
        <v>2434</v>
      </c>
      <c r="B2444" s="1">
        <v>45028.375</v>
      </c>
      <c r="C2444" s="1" t="str">
        <f t="shared" si="76"/>
        <v>04-2023</v>
      </c>
      <c r="D2444" s="2">
        <f t="shared" si="77"/>
        <v>15</v>
      </c>
      <c r="E2444" t="s">
        <v>25</v>
      </c>
      <c r="F2444" t="s">
        <v>23</v>
      </c>
      <c r="G2444" t="s">
        <v>21</v>
      </c>
      <c r="H2444" s="2">
        <v>17559</v>
      </c>
      <c r="I2444" s="2">
        <v>6</v>
      </c>
      <c r="J2444" s="2">
        <v>26987</v>
      </c>
      <c r="K2444" s="2">
        <v>114159</v>
      </c>
      <c r="L2444" s="2">
        <v>6</v>
      </c>
      <c r="M2444" t="str">
        <f>IF(Revv_bike_sales_data[[#This Row],[delivery_days]]&lt;=7, "Yes", "No")</f>
        <v>Yes</v>
      </c>
      <c r="N2444" t="s">
        <v>16</v>
      </c>
      <c r="O2444" s="2">
        <v>-87172</v>
      </c>
    </row>
    <row r="2445" spans="1:15" x14ac:dyDescent="0.3">
      <c r="A2445" s="2">
        <v>2435</v>
      </c>
      <c r="B2445" s="1">
        <v>45028.416666666664</v>
      </c>
      <c r="C2445" s="1" t="str">
        <f t="shared" si="76"/>
        <v>04-2023</v>
      </c>
      <c r="D2445" s="2">
        <f t="shared" si="77"/>
        <v>15</v>
      </c>
      <c r="E2445" t="s">
        <v>13</v>
      </c>
      <c r="F2445" t="s">
        <v>14</v>
      </c>
      <c r="G2445" t="s">
        <v>15</v>
      </c>
      <c r="H2445" s="2">
        <v>23552</v>
      </c>
      <c r="I2445" s="2">
        <v>1</v>
      </c>
      <c r="J2445" s="2">
        <v>87979</v>
      </c>
      <c r="K2445" s="2">
        <v>81553</v>
      </c>
      <c r="L2445" s="2">
        <v>7</v>
      </c>
      <c r="M2445" t="str">
        <f>IF(Revv_bike_sales_data[[#This Row],[delivery_days]]&lt;=7, "Yes", "No")</f>
        <v>Yes</v>
      </c>
      <c r="N2445" t="s">
        <v>16</v>
      </c>
      <c r="O2445" s="2">
        <v>6426</v>
      </c>
    </row>
    <row r="2446" spans="1:15" x14ac:dyDescent="0.3">
      <c r="A2446" s="2">
        <v>2436</v>
      </c>
      <c r="B2446" s="1">
        <v>45028.458333333336</v>
      </c>
      <c r="C2446" s="1" t="str">
        <f t="shared" si="76"/>
        <v>04-2023</v>
      </c>
      <c r="D2446" s="2">
        <f t="shared" si="77"/>
        <v>15</v>
      </c>
      <c r="E2446" t="s">
        <v>17</v>
      </c>
      <c r="F2446" t="s">
        <v>23</v>
      </c>
      <c r="G2446" t="s">
        <v>20</v>
      </c>
      <c r="H2446" s="2">
        <v>70303</v>
      </c>
      <c r="I2446" s="2">
        <v>2</v>
      </c>
      <c r="J2446" s="2">
        <v>62597</v>
      </c>
      <c r="K2446" s="2">
        <v>20279</v>
      </c>
      <c r="L2446" s="2">
        <v>9</v>
      </c>
      <c r="M2446" t="str">
        <f>IF(Revv_bike_sales_data[[#This Row],[delivery_days]]&lt;=7, "Yes", "No")</f>
        <v>No</v>
      </c>
      <c r="N2446" t="s">
        <v>16</v>
      </c>
      <c r="O2446" s="2">
        <v>42318</v>
      </c>
    </row>
    <row r="2447" spans="1:15" x14ac:dyDescent="0.3">
      <c r="A2447" s="2">
        <v>2437</v>
      </c>
      <c r="B2447" s="1">
        <v>45028.5</v>
      </c>
      <c r="C2447" s="1" t="str">
        <f t="shared" si="76"/>
        <v>04-2023</v>
      </c>
      <c r="D2447" s="2">
        <f t="shared" si="77"/>
        <v>15</v>
      </c>
      <c r="E2447" t="s">
        <v>18</v>
      </c>
      <c r="F2447" t="s">
        <v>14</v>
      </c>
      <c r="G2447" t="s">
        <v>20</v>
      </c>
      <c r="H2447" s="2">
        <v>72024</v>
      </c>
      <c r="I2447" s="2">
        <v>5</v>
      </c>
      <c r="J2447" s="2">
        <v>108905</v>
      </c>
      <c r="K2447" s="2">
        <v>90948</v>
      </c>
      <c r="L2447" s="2">
        <v>11</v>
      </c>
      <c r="M2447" t="str">
        <f>IF(Revv_bike_sales_data[[#This Row],[delivery_days]]&lt;=7, "Yes", "No")</f>
        <v>No</v>
      </c>
      <c r="N2447" t="s">
        <v>16</v>
      </c>
      <c r="O2447" s="2">
        <v>17957</v>
      </c>
    </row>
    <row r="2448" spans="1:15" x14ac:dyDescent="0.3">
      <c r="A2448" s="2">
        <v>2438</v>
      </c>
      <c r="B2448" s="1">
        <v>45028.541666666664</v>
      </c>
      <c r="C2448" s="1" t="str">
        <f t="shared" si="76"/>
        <v>04-2023</v>
      </c>
      <c r="D2448" s="2">
        <f t="shared" si="77"/>
        <v>15</v>
      </c>
      <c r="E2448" t="s">
        <v>17</v>
      </c>
      <c r="F2448" t="s">
        <v>23</v>
      </c>
      <c r="G2448" t="s">
        <v>20</v>
      </c>
      <c r="H2448" s="2">
        <v>94010</v>
      </c>
      <c r="I2448" s="2">
        <v>2</v>
      </c>
      <c r="J2448" s="2">
        <v>101970</v>
      </c>
      <c r="K2448" s="2">
        <v>22712</v>
      </c>
      <c r="L2448" s="2">
        <v>2</v>
      </c>
      <c r="M2448" t="str">
        <f>IF(Revv_bike_sales_data[[#This Row],[delivery_days]]&lt;=7, "Yes", "No")</f>
        <v>Yes</v>
      </c>
      <c r="N2448" t="s">
        <v>16</v>
      </c>
      <c r="O2448" s="2">
        <v>79258</v>
      </c>
    </row>
    <row r="2449" spans="1:15" x14ac:dyDescent="0.3">
      <c r="A2449" s="2">
        <v>2439</v>
      </c>
      <c r="B2449" s="1">
        <v>45028.583333333336</v>
      </c>
      <c r="C2449" s="1" t="str">
        <f t="shared" si="76"/>
        <v>04-2023</v>
      </c>
      <c r="D2449" s="2">
        <f t="shared" si="77"/>
        <v>15</v>
      </c>
      <c r="E2449" t="s">
        <v>22</v>
      </c>
      <c r="F2449" t="s">
        <v>14</v>
      </c>
      <c r="G2449" t="s">
        <v>20</v>
      </c>
      <c r="H2449" s="2">
        <v>90072</v>
      </c>
      <c r="I2449" s="2">
        <v>1</v>
      </c>
      <c r="J2449" s="2">
        <v>88805</v>
      </c>
      <c r="K2449" s="2">
        <v>30817</v>
      </c>
      <c r="L2449" s="2">
        <v>10</v>
      </c>
      <c r="M2449" t="str">
        <f>IF(Revv_bike_sales_data[[#This Row],[delivery_days]]&lt;=7, "Yes", "No")</f>
        <v>No</v>
      </c>
      <c r="N2449" t="s">
        <v>16</v>
      </c>
      <c r="O2449" s="2">
        <v>57988</v>
      </c>
    </row>
    <row r="2450" spans="1:15" x14ac:dyDescent="0.3">
      <c r="A2450" s="2">
        <v>2440</v>
      </c>
      <c r="B2450" s="1">
        <v>45028.625</v>
      </c>
      <c r="C2450" s="1" t="str">
        <f t="shared" si="76"/>
        <v>04-2023</v>
      </c>
      <c r="D2450" s="2">
        <f t="shared" si="77"/>
        <v>15</v>
      </c>
      <c r="E2450" t="s">
        <v>13</v>
      </c>
      <c r="F2450" t="s">
        <v>14</v>
      </c>
      <c r="G2450" t="s">
        <v>19</v>
      </c>
      <c r="H2450" s="2">
        <v>9180</v>
      </c>
      <c r="I2450" s="2">
        <v>3</v>
      </c>
      <c r="J2450" s="2">
        <v>144779</v>
      </c>
      <c r="K2450" s="2">
        <v>68832</v>
      </c>
      <c r="L2450" s="2">
        <v>12</v>
      </c>
      <c r="M2450" t="str">
        <f>IF(Revv_bike_sales_data[[#This Row],[delivery_days]]&lt;=7, "Yes", "No")</f>
        <v>No</v>
      </c>
      <c r="N2450" t="s">
        <v>16</v>
      </c>
      <c r="O2450" s="2">
        <v>75947</v>
      </c>
    </row>
    <row r="2451" spans="1:15" x14ac:dyDescent="0.3">
      <c r="A2451" s="2">
        <v>2441</v>
      </c>
      <c r="B2451" s="1">
        <v>45028.666666666664</v>
      </c>
      <c r="C2451" s="1" t="str">
        <f t="shared" si="76"/>
        <v>04-2023</v>
      </c>
      <c r="D2451" s="2">
        <f t="shared" si="77"/>
        <v>15</v>
      </c>
      <c r="E2451" t="s">
        <v>13</v>
      </c>
      <c r="F2451" t="s">
        <v>14</v>
      </c>
      <c r="G2451" t="s">
        <v>21</v>
      </c>
      <c r="H2451" s="2">
        <v>67521</v>
      </c>
      <c r="I2451" s="2">
        <v>4</v>
      </c>
      <c r="J2451" s="2">
        <v>172708</v>
      </c>
      <c r="K2451" s="2">
        <v>108616</v>
      </c>
      <c r="L2451" s="2">
        <v>13</v>
      </c>
      <c r="M2451" t="str">
        <f>IF(Revv_bike_sales_data[[#This Row],[delivery_days]]&lt;=7, "Yes", "No")</f>
        <v>No</v>
      </c>
      <c r="N2451" t="s">
        <v>16</v>
      </c>
      <c r="O2451" s="2">
        <v>64092</v>
      </c>
    </row>
    <row r="2452" spans="1:15" x14ac:dyDescent="0.3">
      <c r="A2452" s="2">
        <v>2442</v>
      </c>
      <c r="B2452" s="1">
        <v>45028.708333333336</v>
      </c>
      <c r="C2452" s="1" t="str">
        <f t="shared" si="76"/>
        <v>04-2023</v>
      </c>
      <c r="D2452" s="2">
        <f t="shared" si="77"/>
        <v>15</v>
      </c>
      <c r="E2452" t="s">
        <v>22</v>
      </c>
      <c r="F2452" t="s">
        <v>23</v>
      </c>
      <c r="G2452" t="s">
        <v>20</v>
      </c>
      <c r="H2452" s="2">
        <v>80749</v>
      </c>
      <c r="I2452" s="2">
        <v>9</v>
      </c>
      <c r="J2452" s="2">
        <v>82467</v>
      </c>
      <c r="K2452" s="2">
        <v>71224</v>
      </c>
      <c r="L2452" s="2">
        <v>9</v>
      </c>
      <c r="M2452" t="str">
        <f>IF(Revv_bike_sales_data[[#This Row],[delivery_days]]&lt;=7, "Yes", "No")</f>
        <v>No</v>
      </c>
      <c r="N2452" t="s">
        <v>16</v>
      </c>
      <c r="O2452" s="2">
        <v>11243</v>
      </c>
    </row>
    <row r="2453" spans="1:15" x14ac:dyDescent="0.3">
      <c r="A2453" s="2">
        <v>2443</v>
      </c>
      <c r="B2453" s="1">
        <v>45028.75</v>
      </c>
      <c r="C2453" s="1" t="str">
        <f t="shared" si="76"/>
        <v>04-2023</v>
      </c>
      <c r="D2453" s="2">
        <f t="shared" si="77"/>
        <v>15</v>
      </c>
      <c r="E2453" t="s">
        <v>22</v>
      </c>
      <c r="F2453" t="s">
        <v>23</v>
      </c>
      <c r="G2453" t="s">
        <v>15</v>
      </c>
      <c r="H2453" s="2">
        <v>20543</v>
      </c>
      <c r="I2453" s="2">
        <v>8</v>
      </c>
      <c r="J2453" s="2">
        <v>132732</v>
      </c>
      <c r="K2453" s="2">
        <v>21624</v>
      </c>
      <c r="L2453" s="2">
        <v>11</v>
      </c>
      <c r="M2453" t="str">
        <f>IF(Revv_bike_sales_data[[#This Row],[delivery_days]]&lt;=7, "Yes", "No")</f>
        <v>No</v>
      </c>
      <c r="N2453" t="s">
        <v>16</v>
      </c>
      <c r="O2453" s="2">
        <v>111108</v>
      </c>
    </row>
    <row r="2454" spans="1:15" x14ac:dyDescent="0.3">
      <c r="A2454" s="2">
        <v>2444</v>
      </c>
      <c r="B2454" s="1">
        <v>45028.791666666664</v>
      </c>
      <c r="C2454" s="1" t="str">
        <f t="shared" si="76"/>
        <v>04-2023</v>
      </c>
      <c r="D2454" s="2">
        <f t="shared" si="77"/>
        <v>15</v>
      </c>
      <c r="E2454" t="s">
        <v>18</v>
      </c>
      <c r="F2454" t="s">
        <v>14</v>
      </c>
      <c r="G2454" t="s">
        <v>20</v>
      </c>
      <c r="H2454" s="2">
        <v>2919</v>
      </c>
      <c r="I2454" s="2">
        <v>2</v>
      </c>
      <c r="J2454" s="2">
        <v>173079</v>
      </c>
      <c r="K2454" s="2">
        <v>44126</v>
      </c>
      <c r="L2454" s="2">
        <v>5</v>
      </c>
      <c r="M2454" t="str">
        <f>IF(Revv_bike_sales_data[[#This Row],[delivery_days]]&lt;=7, "Yes", "No")</f>
        <v>Yes</v>
      </c>
      <c r="N2454" t="s">
        <v>16</v>
      </c>
      <c r="O2454" s="2">
        <v>128953</v>
      </c>
    </row>
    <row r="2455" spans="1:15" x14ac:dyDescent="0.3">
      <c r="A2455" s="2">
        <v>2445</v>
      </c>
      <c r="B2455" s="1">
        <v>45028.833333333336</v>
      </c>
      <c r="C2455" s="1" t="str">
        <f t="shared" si="76"/>
        <v>04-2023</v>
      </c>
      <c r="D2455" s="2">
        <f t="shared" si="77"/>
        <v>15</v>
      </c>
      <c r="E2455" t="s">
        <v>13</v>
      </c>
      <c r="F2455" t="s">
        <v>23</v>
      </c>
      <c r="G2455" t="s">
        <v>21</v>
      </c>
      <c r="H2455" s="2">
        <v>57392</v>
      </c>
      <c r="I2455" s="2">
        <v>2</v>
      </c>
      <c r="J2455" s="2">
        <v>126460</v>
      </c>
      <c r="K2455" s="2">
        <v>97115</v>
      </c>
      <c r="L2455" s="2">
        <v>13</v>
      </c>
      <c r="M2455" t="str">
        <f>IF(Revv_bike_sales_data[[#This Row],[delivery_days]]&lt;=7, "Yes", "No")</f>
        <v>No</v>
      </c>
      <c r="N2455" t="s">
        <v>16</v>
      </c>
      <c r="O2455" s="2">
        <v>29345</v>
      </c>
    </row>
    <row r="2456" spans="1:15" x14ac:dyDescent="0.3">
      <c r="A2456" s="2">
        <v>2446</v>
      </c>
      <c r="B2456" s="1">
        <v>45028.875</v>
      </c>
      <c r="C2456" s="1" t="str">
        <f t="shared" si="76"/>
        <v>04-2023</v>
      </c>
      <c r="D2456" s="2">
        <f t="shared" si="77"/>
        <v>15</v>
      </c>
      <c r="E2456" t="s">
        <v>13</v>
      </c>
      <c r="F2456" t="s">
        <v>14</v>
      </c>
      <c r="G2456" t="s">
        <v>15</v>
      </c>
      <c r="H2456" s="2">
        <v>17640</v>
      </c>
      <c r="I2456" s="2">
        <v>5</v>
      </c>
      <c r="J2456" s="2">
        <v>159461</v>
      </c>
      <c r="K2456" s="2">
        <v>95667</v>
      </c>
      <c r="L2456" s="2">
        <v>6</v>
      </c>
      <c r="M2456" t="str">
        <f>IF(Revv_bike_sales_data[[#This Row],[delivery_days]]&lt;=7, "Yes", "No")</f>
        <v>Yes</v>
      </c>
      <c r="N2456" t="s">
        <v>24</v>
      </c>
      <c r="O2456" s="2">
        <v>63794</v>
      </c>
    </row>
    <row r="2457" spans="1:15" x14ac:dyDescent="0.3">
      <c r="A2457" s="2">
        <v>2447</v>
      </c>
      <c r="B2457" s="1">
        <v>45028.916666666664</v>
      </c>
      <c r="C2457" s="1" t="str">
        <f t="shared" si="76"/>
        <v>04-2023</v>
      </c>
      <c r="D2457" s="2">
        <f t="shared" si="77"/>
        <v>15</v>
      </c>
      <c r="E2457" t="s">
        <v>18</v>
      </c>
      <c r="F2457" t="s">
        <v>14</v>
      </c>
      <c r="G2457" t="s">
        <v>15</v>
      </c>
      <c r="H2457" s="2">
        <v>43984</v>
      </c>
      <c r="I2457" s="2">
        <v>4</v>
      </c>
      <c r="J2457" s="2">
        <v>143105</v>
      </c>
      <c r="K2457" s="2">
        <v>52462</v>
      </c>
      <c r="L2457" s="2">
        <v>6</v>
      </c>
      <c r="M2457" t="str">
        <f>IF(Revv_bike_sales_data[[#This Row],[delivery_days]]&lt;=7, "Yes", "No")</f>
        <v>Yes</v>
      </c>
      <c r="N2457" t="s">
        <v>16</v>
      </c>
      <c r="O2457" s="2">
        <v>90643</v>
      </c>
    </row>
    <row r="2458" spans="1:15" x14ac:dyDescent="0.3">
      <c r="A2458" s="2">
        <v>2448</v>
      </c>
      <c r="B2458" s="1">
        <v>45028.958333333336</v>
      </c>
      <c r="C2458" s="1" t="str">
        <f t="shared" si="76"/>
        <v>04-2023</v>
      </c>
      <c r="D2458" s="2">
        <f t="shared" si="77"/>
        <v>15</v>
      </c>
      <c r="E2458" t="s">
        <v>25</v>
      </c>
      <c r="F2458" t="s">
        <v>14</v>
      </c>
      <c r="G2458" t="s">
        <v>15</v>
      </c>
      <c r="H2458" s="2">
        <v>64369</v>
      </c>
      <c r="I2458" s="2">
        <v>5</v>
      </c>
      <c r="J2458" s="2">
        <v>149535</v>
      </c>
      <c r="K2458" s="2">
        <v>73676</v>
      </c>
      <c r="L2458" s="2">
        <v>11</v>
      </c>
      <c r="M2458" t="str">
        <f>IF(Revv_bike_sales_data[[#This Row],[delivery_days]]&lt;=7, "Yes", "No")</f>
        <v>No</v>
      </c>
      <c r="N2458" t="s">
        <v>16</v>
      </c>
      <c r="O2458" s="2">
        <v>75859</v>
      </c>
    </row>
    <row r="2459" spans="1:15" x14ac:dyDescent="0.3">
      <c r="A2459" s="2">
        <v>2449</v>
      </c>
      <c r="B2459" s="1">
        <v>45029</v>
      </c>
      <c r="C2459" s="1" t="str">
        <f t="shared" si="76"/>
        <v>04-2023</v>
      </c>
      <c r="D2459" s="2">
        <f t="shared" si="77"/>
        <v>15</v>
      </c>
      <c r="E2459" t="s">
        <v>18</v>
      </c>
      <c r="F2459" t="s">
        <v>14</v>
      </c>
      <c r="G2459" t="s">
        <v>19</v>
      </c>
      <c r="H2459" s="2">
        <v>45710</v>
      </c>
      <c r="I2459" s="2">
        <v>6</v>
      </c>
      <c r="J2459" s="2">
        <v>34458</v>
      </c>
      <c r="K2459" s="2">
        <v>61815</v>
      </c>
      <c r="L2459" s="2">
        <v>3</v>
      </c>
      <c r="M2459" t="str">
        <f>IF(Revv_bike_sales_data[[#This Row],[delivery_days]]&lt;=7, "Yes", "No")</f>
        <v>Yes</v>
      </c>
      <c r="N2459" t="s">
        <v>16</v>
      </c>
      <c r="O2459" s="2">
        <v>-27357</v>
      </c>
    </row>
    <row r="2460" spans="1:15" x14ac:dyDescent="0.3">
      <c r="A2460" s="2">
        <v>2450</v>
      </c>
      <c r="B2460" s="1">
        <v>45029.041666666664</v>
      </c>
      <c r="C2460" s="1" t="str">
        <f t="shared" si="76"/>
        <v>04-2023</v>
      </c>
      <c r="D2460" s="2">
        <f t="shared" si="77"/>
        <v>15</v>
      </c>
      <c r="E2460" t="s">
        <v>17</v>
      </c>
      <c r="F2460" t="s">
        <v>14</v>
      </c>
      <c r="G2460" t="s">
        <v>20</v>
      </c>
      <c r="H2460" s="2">
        <v>58100</v>
      </c>
      <c r="I2460" s="2">
        <v>2</v>
      </c>
      <c r="J2460" s="2">
        <v>93481</v>
      </c>
      <c r="K2460" s="2">
        <v>117955</v>
      </c>
      <c r="L2460" s="2">
        <v>11</v>
      </c>
      <c r="M2460" t="str">
        <f>IF(Revv_bike_sales_data[[#This Row],[delivery_days]]&lt;=7, "Yes", "No")</f>
        <v>No</v>
      </c>
      <c r="N2460" t="s">
        <v>16</v>
      </c>
      <c r="O2460" s="2">
        <v>-24474</v>
      </c>
    </row>
    <row r="2461" spans="1:15" x14ac:dyDescent="0.3">
      <c r="A2461" s="2">
        <v>2451</v>
      </c>
      <c r="B2461" s="1">
        <v>45029.083333333336</v>
      </c>
      <c r="C2461" s="1" t="str">
        <f t="shared" si="76"/>
        <v>04-2023</v>
      </c>
      <c r="D2461" s="2">
        <f t="shared" si="77"/>
        <v>15</v>
      </c>
      <c r="E2461" t="s">
        <v>13</v>
      </c>
      <c r="F2461" t="s">
        <v>14</v>
      </c>
      <c r="G2461" t="s">
        <v>19</v>
      </c>
      <c r="H2461" s="2">
        <v>78997</v>
      </c>
      <c r="I2461" s="2">
        <v>4</v>
      </c>
      <c r="J2461" s="2">
        <v>99888</v>
      </c>
      <c r="K2461" s="2">
        <v>103911</v>
      </c>
      <c r="L2461" s="2">
        <v>11</v>
      </c>
      <c r="M2461" t="str">
        <f>IF(Revv_bike_sales_data[[#This Row],[delivery_days]]&lt;=7, "Yes", "No")</f>
        <v>No</v>
      </c>
      <c r="N2461" t="s">
        <v>16</v>
      </c>
      <c r="O2461" s="2">
        <v>-4023</v>
      </c>
    </row>
    <row r="2462" spans="1:15" x14ac:dyDescent="0.3">
      <c r="A2462" s="2">
        <v>2452</v>
      </c>
      <c r="B2462" s="1">
        <v>45029.125</v>
      </c>
      <c r="C2462" s="1" t="str">
        <f t="shared" si="76"/>
        <v>04-2023</v>
      </c>
      <c r="D2462" s="2">
        <f t="shared" si="77"/>
        <v>15</v>
      </c>
      <c r="E2462" t="s">
        <v>22</v>
      </c>
      <c r="F2462" t="s">
        <v>14</v>
      </c>
      <c r="G2462" t="s">
        <v>15</v>
      </c>
      <c r="H2462" s="2">
        <v>6987</v>
      </c>
      <c r="I2462" s="2">
        <v>7</v>
      </c>
      <c r="J2462" s="2">
        <v>101022</v>
      </c>
      <c r="K2462" s="2">
        <v>41093</v>
      </c>
      <c r="L2462" s="2">
        <v>10</v>
      </c>
      <c r="M2462" t="str">
        <f>IF(Revv_bike_sales_data[[#This Row],[delivery_days]]&lt;=7, "Yes", "No")</f>
        <v>No</v>
      </c>
      <c r="N2462" t="s">
        <v>16</v>
      </c>
      <c r="O2462" s="2">
        <v>59929</v>
      </c>
    </row>
    <row r="2463" spans="1:15" x14ac:dyDescent="0.3">
      <c r="A2463" s="2">
        <v>2453</v>
      </c>
      <c r="B2463" s="1">
        <v>45029.166666666664</v>
      </c>
      <c r="C2463" s="1" t="str">
        <f t="shared" si="76"/>
        <v>04-2023</v>
      </c>
      <c r="D2463" s="2">
        <f t="shared" si="77"/>
        <v>15</v>
      </c>
      <c r="E2463" t="s">
        <v>17</v>
      </c>
      <c r="F2463" t="s">
        <v>14</v>
      </c>
      <c r="G2463" t="s">
        <v>19</v>
      </c>
      <c r="H2463" s="2">
        <v>61192</v>
      </c>
      <c r="I2463" s="2">
        <v>3</v>
      </c>
      <c r="J2463" s="2">
        <v>92628</v>
      </c>
      <c r="K2463" s="2">
        <v>126030</v>
      </c>
      <c r="L2463" s="2">
        <v>7</v>
      </c>
      <c r="M2463" t="str">
        <f>IF(Revv_bike_sales_data[[#This Row],[delivery_days]]&lt;=7, "Yes", "No")</f>
        <v>Yes</v>
      </c>
      <c r="N2463" t="s">
        <v>16</v>
      </c>
      <c r="O2463" s="2">
        <v>-33402</v>
      </c>
    </row>
    <row r="2464" spans="1:15" x14ac:dyDescent="0.3">
      <c r="A2464" s="2">
        <v>2454</v>
      </c>
      <c r="B2464" s="1">
        <v>45029.208333333336</v>
      </c>
      <c r="C2464" s="1" t="str">
        <f t="shared" si="76"/>
        <v>04-2023</v>
      </c>
      <c r="D2464" s="2">
        <f t="shared" si="77"/>
        <v>15</v>
      </c>
      <c r="E2464" t="s">
        <v>13</v>
      </c>
      <c r="F2464" t="s">
        <v>14</v>
      </c>
      <c r="G2464" t="s">
        <v>19</v>
      </c>
      <c r="H2464" s="2">
        <v>62612</v>
      </c>
      <c r="I2464" s="2">
        <v>9</v>
      </c>
      <c r="J2464" s="2">
        <v>95648</v>
      </c>
      <c r="K2464" s="2">
        <v>132385</v>
      </c>
      <c r="L2464" s="2">
        <v>13</v>
      </c>
      <c r="M2464" t="str">
        <f>IF(Revv_bike_sales_data[[#This Row],[delivery_days]]&lt;=7, "Yes", "No")</f>
        <v>No</v>
      </c>
      <c r="N2464" t="s">
        <v>16</v>
      </c>
      <c r="O2464" s="2">
        <v>-36737</v>
      </c>
    </row>
    <row r="2465" spans="1:15" x14ac:dyDescent="0.3">
      <c r="A2465" s="2">
        <v>2455</v>
      </c>
      <c r="B2465" s="1">
        <v>45029.25</v>
      </c>
      <c r="C2465" s="1" t="str">
        <f t="shared" si="76"/>
        <v>04-2023</v>
      </c>
      <c r="D2465" s="2">
        <f t="shared" si="77"/>
        <v>15</v>
      </c>
      <c r="E2465" t="s">
        <v>18</v>
      </c>
      <c r="F2465" t="s">
        <v>14</v>
      </c>
      <c r="G2465" t="s">
        <v>19</v>
      </c>
      <c r="H2465" s="2">
        <v>31610</v>
      </c>
      <c r="I2465" s="2">
        <v>1</v>
      </c>
      <c r="J2465" s="2">
        <v>41937</v>
      </c>
      <c r="K2465" s="2">
        <v>47525</v>
      </c>
      <c r="L2465" s="2">
        <v>7</v>
      </c>
      <c r="M2465" t="str">
        <f>IF(Revv_bike_sales_data[[#This Row],[delivery_days]]&lt;=7, "Yes", "No")</f>
        <v>Yes</v>
      </c>
      <c r="N2465" t="s">
        <v>16</v>
      </c>
      <c r="O2465" s="2">
        <v>-5588</v>
      </c>
    </row>
    <row r="2466" spans="1:15" x14ac:dyDescent="0.3">
      <c r="A2466" s="2">
        <v>2456</v>
      </c>
      <c r="B2466" s="1">
        <v>45029.291666666664</v>
      </c>
      <c r="C2466" s="1" t="str">
        <f t="shared" si="76"/>
        <v>04-2023</v>
      </c>
      <c r="D2466" s="2">
        <f t="shared" si="77"/>
        <v>15</v>
      </c>
      <c r="E2466" t="s">
        <v>17</v>
      </c>
      <c r="F2466" t="s">
        <v>14</v>
      </c>
      <c r="G2466" t="s">
        <v>20</v>
      </c>
      <c r="H2466" s="2">
        <v>16860</v>
      </c>
      <c r="I2466" s="2">
        <v>3</v>
      </c>
      <c r="J2466" s="2">
        <v>26112</v>
      </c>
      <c r="K2466" s="2">
        <v>44030</v>
      </c>
      <c r="L2466" s="2">
        <v>8</v>
      </c>
      <c r="M2466" t="str">
        <f>IF(Revv_bike_sales_data[[#This Row],[delivery_days]]&lt;=7, "Yes", "No")</f>
        <v>No</v>
      </c>
      <c r="N2466" t="s">
        <v>16</v>
      </c>
      <c r="O2466" s="2">
        <v>-17918</v>
      </c>
    </row>
    <row r="2467" spans="1:15" x14ac:dyDescent="0.3">
      <c r="A2467" s="2">
        <v>2457</v>
      </c>
      <c r="B2467" s="1">
        <v>45029.333333333336</v>
      </c>
      <c r="C2467" s="1" t="str">
        <f t="shared" si="76"/>
        <v>04-2023</v>
      </c>
      <c r="D2467" s="2">
        <f t="shared" si="77"/>
        <v>15</v>
      </c>
      <c r="E2467" t="s">
        <v>13</v>
      </c>
      <c r="F2467" t="s">
        <v>14</v>
      </c>
      <c r="G2467" t="s">
        <v>15</v>
      </c>
      <c r="H2467" s="2">
        <v>49910</v>
      </c>
      <c r="I2467" s="2">
        <v>1</v>
      </c>
      <c r="J2467" s="2">
        <v>73355</v>
      </c>
      <c r="K2467" s="2">
        <v>59067</v>
      </c>
      <c r="L2467" s="2">
        <v>5</v>
      </c>
      <c r="M2467" t="str">
        <f>IF(Revv_bike_sales_data[[#This Row],[delivery_days]]&lt;=7, "Yes", "No")</f>
        <v>Yes</v>
      </c>
      <c r="N2467" t="s">
        <v>24</v>
      </c>
      <c r="O2467" s="2">
        <v>14288</v>
      </c>
    </row>
    <row r="2468" spans="1:15" x14ac:dyDescent="0.3">
      <c r="A2468" s="2">
        <v>2458</v>
      </c>
      <c r="B2468" s="1">
        <v>45029.375</v>
      </c>
      <c r="C2468" s="1" t="str">
        <f t="shared" si="76"/>
        <v>04-2023</v>
      </c>
      <c r="D2468" s="2">
        <f t="shared" si="77"/>
        <v>15</v>
      </c>
      <c r="E2468" t="s">
        <v>25</v>
      </c>
      <c r="F2468" t="s">
        <v>14</v>
      </c>
      <c r="G2468" t="s">
        <v>15</v>
      </c>
      <c r="H2468" s="2">
        <v>90918</v>
      </c>
      <c r="I2468" s="2">
        <v>2</v>
      </c>
      <c r="J2468" s="2">
        <v>100561</v>
      </c>
      <c r="K2468" s="2">
        <v>130745</v>
      </c>
      <c r="L2468" s="2">
        <v>2</v>
      </c>
      <c r="M2468" t="str">
        <f>IF(Revv_bike_sales_data[[#This Row],[delivery_days]]&lt;=7, "Yes", "No")</f>
        <v>Yes</v>
      </c>
      <c r="N2468" t="s">
        <v>16</v>
      </c>
      <c r="O2468" s="2">
        <v>-30184</v>
      </c>
    </row>
    <row r="2469" spans="1:15" x14ac:dyDescent="0.3">
      <c r="A2469" s="2">
        <v>2459</v>
      </c>
      <c r="B2469" s="1">
        <v>45029.416666666664</v>
      </c>
      <c r="C2469" s="1" t="str">
        <f t="shared" si="76"/>
        <v>04-2023</v>
      </c>
      <c r="D2469" s="2">
        <f t="shared" si="77"/>
        <v>15</v>
      </c>
      <c r="E2469" t="s">
        <v>25</v>
      </c>
      <c r="F2469" t="s">
        <v>14</v>
      </c>
      <c r="G2469" t="s">
        <v>20</v>
      </c>
      <c r="H2469" s="2">
        <v>83538</v>
      </c>
      <c r="I2469" s="2">
        <v>3</v>
      </c>
      <c r="J2469" s="2">
        <v>143181</v>
      </c>
      <c r="K2469" s="2">
        <v>20207</v>
      </c>
      <c r="L2469" s="2">
        <v>13</v>
      </c>
      <c r="M2469" t="str">
        <f>IF(Revv_bike_sales_data[[#This Row],[delivery_days]]&lt;=7, "Yes", "No")</f>
        <v>No</v>
      </c>
      <c r="N2469" t="s">
        <v>16</v>
      </c>
      <c r="O2469" s="2">
        <v>122974</v>
      </c>
    </row>
    <row r="2470" spans="1:15" x14ac:dyDescent="0.3">
      <c r="A2470" s="2">
        <v>2460</v>
      </c>
      <c r="B2470" s="1">
        <v>45029.458333333336</v>
      </c>
      <c r="C2470" s="1" t="str">
        <f t="shared" si="76"/>
        <v>04-2023</v>
      </c>
      <c r="D2470" s="2">
        <f t="shared" si="77"/>
        <v>15</v>
      </c>
      <c r="E2470" t="s">
        <v>22</v>
      </c>
      <c r="F2470" t="s">
        <v>14</v>
      </c>
      <c r="G2470" t="s">
        <v>19</v>
      </c>
      <c r="H2470" s="2">
        <v>73667</v>
      </c>
      <c r="I2470" s="2">
        <v>3</v>
      </c>
      <c r="J2470" s="2">
        <v>85482</v>
      </c>
      <c r="K2470" s="2">
        <v>91433</v>
      </c>
      <c r="L2470" s="2">
        <v>3</v>
      </c>
      <c r="M2470" t="str">
        <f>IF(Revv_bike_sales_data[[#This Row],[delivery_days]]&lt;=7, "Yes", "No")</f>
        <v>Yes</v>
      </c>
      <c r="N2470" t="s">
        <v>24</v>
      </c>
      <c r="O2470" s="2">
        <v>-5951</v>
      </c>
    </row>
    <row r="2471" spans="1:15" x14ac:dyDescent="0.3">
      <c r="A2471" s="2">
        <v>2461</v>
      </c>
      <c r="B2471" s="1">
        <v>45029.5</v>
      </c>
      <c r="C2471" s="1" t="str">
        <f t="shared" si="76"/>
        <v>04-2023</v>
      </c>
      <c r="D2471" s="2">
        <f t="shared" si="77"/>
        <v>15</v>
      </c>
      <c r="E2471" t="s">
        <v>13</v>
      </c>
      <c r="F2471" t="s">
        <v>14</v>
      </c>
      <c r="G2471" t="s">
        <v>19</v>
      </c>
      <c r="H2471" s="2">
        <v>3517</v>
      </c>
      <c r="I2471" s="2">
        <v>9</v>
      </c>
      <c r="J2471" s="2">
        <v>104098</v>
      </c>
      <c r="K2471" s="2">
        <v>41639</v>
      </c>
      <c r="L2471" s="2">
        <v>9</v>
      </c>
      <c r="M2471" t="str">
        <f>IF(Revv_bike_sales_data[[#This Row],[delivery_days]]&lt;=7, "Yes", "No")</f>
        <v>No</v>
      </c>
      <c r="N2471" t="s">
        <v>16</v>
      </c>
      <c r="O2471" s="2">
        <v>62459</v>
      </c>
    </row>
    <row r="2472" spans="1:15" x14ac:dyDescent="0.3">
      <c r="A2472" s="2">
        <v>2462</v>
      </c>
      <c r="B2472" s="1">
        <v>45029.541666666664</v>
      </c>
      <c r="C2472" s="1" t="str">
        <f t="shared" si="76"/>
        <v>04-2023</v>
      </c>
      <c r="D2472" s="2">
        <f t="shared" si="77"/>
        <v>15</v>
      </c>
      <c r="E2472" t="s">
        <v>25</v>
      </c>
      <c r="F2472" t="s">
        <v>14</v>
      </c>
      <c r="G2472" t="s">
        <v>21</v>
      </c>
      <c r="H2472" s="2">
        <v>86761</v>
      </c>
      <c r="I2472" s="2">
        <v>8</v>
      </c>
      <c r="J2472" s="2">
        <v>167376</v>
      </c>
      <c r="K2472" s="2">
        <v>17792</v>
      </c>
      <c r="L2472" s="2">
        <v>6</v>
      </c>
      <c r="M2472" t="str">
        <f>IF(Revv_bike_sales_data[[#This Row],[delivery_days]]&lt;=7, "Yes", "No")</f>
        <v>Yes</v>
      </c>
      <c r="N2472" t="s">
        <v>16</v>
      </c>
      <c r="O2472" s="2">
        <v>149584</v>
      </c>
    </row>
    <row r="2473" spans="1:15" x14ac:dyDescent="0.3">
      <c r="A2473" s="2">
        <v>2463</v>
      </c>
      <c r="B2473" s="1">
        <v>45029.583333333336</v>
      </c>
      <c r="C2473" s="1" t="str">
        <f t="shared" si="76"/>
        <v>04-2023</v>
      </c>
      <c r="D2473" s="2">
        <f t="shared" si="77"/>
        <v>15</v>
      </c>
      <c r="E2473" t="s">
        <v>18</v>
      </c>
      <c r="F2473" t="s">
        <v>14</v>
      </c>
      <c r="G2473" t="s">
        <v>21</v>
      </c>
      <c r="H2473" s="2">
        <v>60624</v>
      </c>
      <c r="I2473" s="2">
        <v>9</v>
      </c>
      <c r="J2473" s="2">
        <v>147978</v>
      </c>
      <c r="K2473" s="2">
        <v>15420</v>
      </c>
      <c r="L2473" s="2">
        <v>8</v>
      </c>
      <c r="M2473" t="str">
        <f>IF(Revv_bike_sales_data[[#This Row],[delivery_days]]&lt;=7, "Yes", "No")</f>
        <v>No</v>
      </c>
      <c r="N2473" t="s">
        <v>16</v>
      </c>
      <c r="O2473" s="2">
        <v>132558</v>
      </c>
    </row>
    <row r="2474" spans="1:15" x14ac:dyDescent="0.3">
      <c r="A2474" s="2">
        <v>2464</v>
      </c>
      <c r="B2474" s="1">
        <v>45029.625</v>
      </c>
      <c r="C2474" s="1" t="str">
        <f t="shared" si="76"/>
        <v>04-2023</v>
      </c>
      <c r="D2474" s="2">
        <f t="shared" si="77"/>
        <v>15</v>
      </c>
      <c r="E2474" t="s">
        <v>13</v>
      </c>
      <c r="F2474" t="s">
        <v>14</v>
      </c>
      <c r="G2474" t="s">
        <v>21</v>
      </c>
      <c r="H2474" s="2">
        <v>90798</v>
      </c>
      <c r="I2474" s="2">
        <v>5</v>
      </c>
      <c r="J2474" s="2">
        <v>81625</v>
      </c>
      <c r="K2474" s="2">
        <v>109760</v>
      </c>
      <c r="L2474" s="2">
        <v>8</v>
      </c>
      <c r="M2474" t="str">
        <f>IF(Revv_bike_sales_data[[#This Row],[delivery_days]]&lt;=7, "Yes", "No")</f>
        <v>No</v>
      </c>
      <c r="N2474" t="s">
        <v>16</v>
      </c>
      <c r="O2474" s="2">
        <v>-28135</v>
      </c>
    </row>
    <row r="2475" spans="1:15" x14ac:dyDescent="0.3">
      <c r="A2475" s="2">
        <v>2465</v>
      </c>
      <c r="B2475" s="1">
        <v>45029.666666666664</v>
      </c>
      <c r="C2475" s="1" t="str">
        <f t="shared" si="76"/>
        <v>04-2023</v>
      </c>
      <c r="D2475" s="2">
        <f t="shared" si="77"/>
        <v>15</v>
      </c>
      <c r="E2475" t="s">
        <v>18</v>
      </c>
      <c r="F2475" t="s">
        <v>14</v>
      </c>
      <c r="G2475" t="s">
        <v>20</v>
      </c>
      <c r="H2475" s="2">
        <v>51449</v>
      </c>
      <c r="I2475" s="2">
        <v>8</v>
      </c>
      <c r="J2475" s="2">
        <v>149359</v>
      </c>
      <c r="K2475" s="2">
        <v>34198</v>
      </c>
      <c r="L2475" s="2">
        <v>14</v>
      </c>
      <c r="M2475" t="str">
        <f>IF(Revv_bike_sales_data[[#This Row],[delivery_days]]&lt;=7, "Yes", "No")</f>
        <v>No</v>
      </c>
      <c r="N2475" t="s">
        <v>16</v>
      </c>
      <c r="O2475" s="2">
        <v>115161</v>
      </c>
    </row>
    <row r="2476" spans="1:15" x14ac:dyDescent="0.3">
      <c r="A2476" s="2">
        <v>2466</v>
      </c>
      <c r="B2476" s="1">
        <v>45029.708333333336</v>
      </c>
      <c r="C2476" s="1" t="str">
        <f t="shared" si="76"/>
        <v>04-2023</v>
      </c>
      <c r="D2476" s="2">
        <f t="shared" si="77"/>
        <v>15</v>
      </c>
      <c r="E2476" t="s">
        <v>18</v>
      </c>
      <c r="F2476" t="s">
        <v>14</v>
      </c>
      <c r="G2476" t="s">
        <v>15</v>
      </c>
      <c r="H2476" s="2">
        <v>58768</v>
      </c>
      <c r="I2476" s="2">
        <v>3</v>
      </c>
      <c r="J2476" s="2">
        <v>96246</v>
      </c>
      <c r="K2476" s="2">
        <v>50608</v>
      </c>
      <c r="L2476" s="2">
        <v>5</v>
      </c>
      <c r="M2476" t="str">
        <f>IF(Revv_bike_sales_data[[#This Row],[delivery_days]]&lt;=7, "Yes", "No")</f>
        <v>Yes</v>
      </c>
      <c r="N2476" t="s">
        <v>16</v>
      </c>
      <c r="O2476" s="2">
        <v>45638</v>
      </c>
    </row>
    <row r="2477" spans="1:15" x14ac:dyDescent="0.3">
      <c r="A2477" s="2">
        <v>2467</v>
      </c>
      <c r="B2477" s="1">
        <v>45029.75</v>
      </c>
      <c r="C2477" s="1" t="str">
        <f t="shared" si="76"/>
        <v>04-2023</v>
      </c>
      <c r="D2477" s="2">
        <f t="shared" si="77"/>
        <v>15</v>
      </c>
      <c r="E2477" t="s">
        <v>25</v>
      </c>
      <c r="F2477" t="s">
        <v>23</v>
      </c>
      <c r="G2477" t="s">
        <v>21</v>
      </c>
      <c r="H2477" s="2">
        <v>66820</v>
      </c>
      <c r="I2477" s="2">
        <v>8</v>
      </c>
      <c r="J2477" s="2">
        <v>37588</v>
      </c>
      <c r="K2477" s="2">
        <v>61205</v>
      </c>
      <c r="L2477" s="2">
        <v>1</v>
      </c>
      <c r="M2477" t="str">
        <f>IF(Revv_bike_sales_data[[#This Row],[delivery_days]]&lt;=7, "Yes", "No")</f>
        <v>Yes</v>
      </c>
      <c r="N2477" t="s">
        <v>16</v>
      </c>
      <c r="O2477" s="2">
        <v>-23617</v>
      </c>
    </row>
    <row r="2478" spans="1:15" x14ac:dyDescent="0.3">
      <c r="A2478" s="2">
        <v>2468</v>
      </c>
      <c r="B2478" s="1">
        <v>45029.791666666664</v>
      </c>
      <c r="C2478" s="1" t="str">
        <f t="shared" si="76"/>
        <v>04-2023</v>
      </c>
      <c r="D2478" s="2">
        <f t="shared" si="77"/>
        <v>15</v>
      </c>
      <c r="E2478" t="s">
        <v>13</v>
      </c>
      <c r="F2478" t="s">
        <v>23</v>
      </c>
      <c r="G2478" t="s">
        <v>15</v>
      </c>
      <c r="H2478" s="2">
        <v>94056</v>
      </c>
      <c r="I2478" s="2">
        <v>8</v>
      </c>
      <c r="J2478" s="2">
        <v>140910</v>
      </c>
      <c r="K2478" s="2">
        <v>97951</v>
      </c>
      <c r="L2478" s="2">
        <v>6</v>
      </c>
      <c r="M2478" t="str">
        <f>IF(Revv_bike_sales_data[[#This Row],[delivery_days]]&lt;=7, "Yes", "No")</f>
        <v>Yes</v>
      </c>
      <c r="N2478" t="s">
        <v>16</v>
      </c>
      <c r="O2478" s="2">
        <v>42959</v>
      </c>
    </row>
    <row r="2479" spans="1:15" x14ac:dyDescent="0.3">
      <c r="A2479" s="2">
        <v>2469</v>
      </c>
      <c r="B2479" s="1">
        <v>45029.833333333336</v>
      </c>
      <c r="C2479" s="1" t="str">
        <f t="shared" si="76"/>
        <v>04-2023</v>
      </c>
      <c r="D2479" s="2">
        <f t="shared" si="77"/>
        <v>15</v>
      </c>
      <c r="E2479" t="s">
        <v>17</v>
      </c>
      <c r="F2479" t="s">
        <v>14</v>
      </c>
      <c r="G2479" t="s">
        <v>15</v>
      </c>
      <c r="H2479" s="2">
        <v>81801</v>
      </c>
      <c r="I2479" s="2">
        <v>5</v>
      </c>
      <c r="J2479" s="2">
        <v>153658</v>
      </c>
      <c r="K2479" s="2">
        <v>120943</v>
      </c>
      <c r="L2479" s="2">
        <v>7</v>
      </c>
      <c r="M2479" t="str">
        <f>IF(Revv_bike_sales_data[[#This Row],[delivery_days]]&lt;=7, "Yes", "No")</f>
        <v>Yes</v>
      </c>
      <c r="N2479" t="s">
        <v>16</v>
      </c>
      <c r="O2479" s="2">
        <v>32715</v>
      </c>
    </row>
    <row r="2480" spans="1:15" x14ac:dyDescent="0.3">
      <c r="A2480" s="2">
        <v>2470</v>
      </c>
      <c r="B2480" s="1">
        <v>45029.875</v>
      </c>
      <c r="C2480" s="1" t="str">
        <f t="shared" si="76"/>
        <v>04-2023</v>
      </c>
      <c r="D2480" s="2">
        <f t="shared" si="77"/>
        <v>15</v>
      </c>
      <c r="E2480" t="s">
        <v>25</v>
      </c>
      <c r="F2480" t="s">
        <v>14</v>
      </c>
      <c r="G2480" t="s">
        <v>15</v>
      </c>
      <c r="H2480" s="2">
        <v>31627</v>
      </c>
      <c r="I2480" s="2">
        <v>4</v>
      </c>
      <c r="J2480" s="2">
        <v>45967</v>
      </c>
      <c r="K2480" s="2">
        <v>32875</v>
      </c>
      <c r="L2480" s="2">
        <v>9</v>
      </c>
      <c r="M2480" t="str">
        <f>IF(Revv_bike_sales_data[[#This Row],[delivery_days]]&lt;=7, "Yes", "No")</f>
        <v>No</v>
      </c>
      <c r="N2480" t="s">
        <v>16</v>
      </c>
      <c r="O2480" s="2">
        <v>13092</v>
      </c>
    </row>
    <row r="2481" spans="1:15" x14ac:dyDescent="0.3">
      <c r="A2481" s="2">
        <v>2471</v>
      </c>
      <c r="B2481" s="1">
        <v>45029.916666666664</v>
      </c>
      <c r="C2481" s="1" t="str">
        <f t="shared" si="76"/>
        <v>04-2023</v>
      </c>
      <c r="D2481" s="2">
        <f t="shared" si="77"/>
        <v>15</v>
      </c>
      <c r="E2481" t="s">
        <v>25</v>
      </c>
      <c r="F2481" t="s">
        <v>14</v>
      </c>
      <c r="G2481" t="s">
        <v>20</v>
      </c>
      <c r="H2481" s="2">
        <v>3696</v>
      </c>
      <c r="I2481" s="2">
        <v>2</v>
      </c>
      <c r="J2481" s="2">
        <v>155153</v>
      </c>
      <c r="K2481" s="2">
        <v>85511</v>
      </c>
      <c r="L2481" s="2">
        <v>2</v>
      </c>
      <c r="M2481" t="str">
        <f>IF(Revv_bike_sales_data[[#This Row],[delivery_days]]&lt;=7, "Yes", "No")</f>
        <v>Yes</v>
      </c>
      <c r="N2481" t="s">
        <v>16</v>
      </c>
      <c r="O2481" s="2">
        <v>69642</v>
      </c>
    </row>
    <row r="2482" spans="1:15" x14ac:dyDescent="0.3">
      <c r="A2482" s="2">
        <v>2472</v>
      </c>
      <c r="B2482" s="1">
        <v>45029.958333333336</v>
      </c>
      <c r="C2482" s="1" t="str">
        <f t="shared" si="76"/>
        <v>04-2023</v>
      </c>
      <c r="D2482" s="2">
        <f t="shared" si="77"/>
        <v>15</v>
      </c>
      <c r="E2482" t="s">
        <v>13</v>
      </c>
      <c r="F2482" t="s">
        <v>14</v>
      </c>
      <c r="G2482" t="s">
        <v>20</v>
      </c>
      <c r="H2482" s="2">
        <v>75588</v>
      </c>
      <c r="I2482" s="2">
        <v>4</v>
      </c>
      <c r="J2482" s="2">
        <v>49256</v>
      </c>
      <c r="K2482" s="2">
        <v>106997</v>
      </c>
      <c r="L2482" s="2">
        <v>12</v>
      </c>
      <c r="M2482" t="str">
        <f>IF(Revv_bike_sales_data[[#This Row],[delivery_days]]&lt;=7, "Yes", "No")</f>
        <v>No</v>
      </c>
      <c r="N2482" t="s">
        <v>16</v>
      </c>
      <c r="O2482" s="2">
        <v>-57741</v>
      </c>
    </row>
    <row r="2483" spans="1:15" x14ac:dyDescent="0.3">
      <c r="A2483" s="2">
        <v>2473</v>
      </c>
      <c r="B2483" s="1">
        <v>45030</v>
      </c>
      <c r="C2483" s="1" t="str">
        <f t="shared" si="76"/>
        <v>04-2023</v>
      </c>
      <c r="D2483" s="2">
        <f t="shared" si="77"/>
        <v>15</v>
      </c>
      <c r="E2483" t="s">
        <v>13</v>
      </c>
      <c r="F2483" t="s">
        <v>23</v>
      </c>
      <c r="G2483" t="s">
        <v>20</v>
      </c>
      <c r="H2483" s="2">
        <v>41800</v>
      </c>
      <c r="I2483" s="2">
        <v>2</v>
      </c>
      <c r="J2483" s="2">
        <v>153121</v>
      </c>
      <c r="K2483" s="2">
        <v>36331</v>
      </c>
      <c r="L2483" s="2">
        <v>13</v>
      </c>
      <c r="M2483" t="str">
        <f>IF(Revv_bike_sales_data[[#This Row],[delivery_days]]&lt;=7, "Yes", "No")</f>
        <v>No</v>
      </c>
      <c r="N2483" t="s">
        <v>16</v>
      </c>
      <c r="O2483" s="2">
        <v>116790</v>
      </c>
    </row>
    <row r="2484" spans="1:15" x14ac:dyDescent="0.3">
      <c r="A2484" s="2">
        <v>2474</v>
      </c>
      <c r="B2484" s="1">
        <v>45030.041666666664</v>
      </c>
      <c r="C2484" s="1" t="str">
        <f t="shared" si="76"/>
        <v>04-2023</v>
      </c>
      <c r="D2484" s="2">
        <f t="shared" si="77"/>
        <v>15</v>
      </c>
      <c r="E2484" t="s">
        <v>18</v>
      </c>
      <c r="F2484" t="s">
        <v>14</v>
      </c>
      <c r="G2484" t="s">
        <v>20</v>
      </c>
      <c r="H2484" s="2">
        <v>50214</v>
      </c>
      <c r="I2484" s="2">
        <v>4</v>
      </c>
      <c r="J2484" s="2">
        <v>105732</v>
      </c>
      <c r="K2484" s="2">
        <v>31893</v>
      </c>
      <c r="L2484" s="2">
        <v>2</v>
      </c>
      <c r="M2484" t="str">
        <f>IF(Revv_bike_sales_data[[#This Row],[delivery_days]]&lt;=7, "Yes", "No")</f>
        <v>Yes</v>
      </c>
      <c r="N2484" t="s">
        <v>16</v>
      </c>
      <c r="O2484" s="2">
        <v>73839</v>
      </c>
    </row>
    <row r="2485" spans="1:15" x14ac:dyDescent="0.3">
      <c r="A2485" s="2">
        <v>2475</v>
      </c>
      <c r="B2485" s="1">
        <v>45030.083333333336</v>
      </c>
      <c r="C2485" s="1" t="str">
        <f t="shared" si="76"/>
        <v>04-2023</v>
      </c>
      <c r="D2485" s="2">
        <f t="shared" si="77"/>
        <v>15</v>
      </c>
      <c r="E2485" t="s">
        <v>13</v>
      </c>
      <c r="F2485" t="s">
        <v>14</v>
      </c>
      <c r="G2485" t="s">
        <v>21</v>
      </c>
      <c r="H2485" s="2">
        <v>32421</v>
      </c>
      <c r="I2485" s="2">
        <v>4</v>
      </c>
      <c r="J2485" s="2">
        <v>155145</v>
      </c>
      <c r="K2485" s="2">
        <v>79913</v>
      </c>
      <c r="L2485" s="2">
        <v>10</v>
      </c>
      <c r="M2485" t="str">
        <f>IF(Revv_bike_sales_data[[#This Row],[delivery_days]]&lt;=7, "Yes", "No")</f>
        <v>No</v>
      </c>
      <c r="N2485" t="s">
        <v>16</v>
      </c>
      <c r="O2485" s="2">
        <v>75232</v>
      </c>
    </row>
    <row r="2486" spans="1:15" x14ac:dyDescent="0.3">
      <c r="A2486" s="2">
        <v>2476</v>
      </c>
      <c r="B2486" s="1">
        <v>45030.125</v>
      </c>
      <c r="C2486" s="1" t="str">
        <f t="shared" si="76"/>
        <v>04-2023</v>
      </c>
      <c r="D2486" s="2">
        <f t="shared" si="77"/>
        <v>15</v>
      </c>
      <c r="E2486" t="s">
        <v>18</v>
      </c>
      <c r="F2486" t="s">
        <v>14</v>
      </c>
      <c r="G2486" t="s">
        <v>19</v>
      </c>
      <c r="H2486" s="2">
        <v>5246</v>
      </c>
      <c r="I2486" s="2">
        <v>1</v>
      </c>
      <c r="J2486" s="2">
        <v>158578</v>
      </c>
      <c r="K2486" s="2">
        <v>33243</v>
      </c>
      <c r="L2486" s="2">
        <v>1</v>
      </c>
      <c r="M2486" t="str">
        <f>IF(Revv_bike_sales_data[[#This Row],[delivery_days]]&lt;=7, "Yes", "No")</f>
        <v>Yes</v>
      </c>
      <c r="N2486" t="s">
        <v>16</v>
      </c>
      <c r="O2486" s="2">
        <v>125335</v>
      </c>
    </row>
    <row r="2487" spans="1:15" x14ac:dyDescent="0.3">
      <c r="A2487" s="2">
        <v>2477</v>
      </c>
      <c r="B2487" s="1">
        <v>45030.166666666664</v>
      </c>
      <c r="C2487" s="1" t="str">
        <f t="shared" si="76"/>
        <v>04-2023</v>
      </c>
      <c r="D2487" s="2">
        <f t="shared" si="77"/>
        <v>15</v>
      </c>
      <c r="E2487" t="s">
        <v>25</v>
      </c>
      <c r="F2487" t="s">
        <v>23</v>
      </c>
      <c r="G2487" t="s">
        <v>19</v>
      </c>
      <c r="H2487" s="2">
        <v>69035</v>
      </c>
      <c r="I2487" s="2">
        <v>8</v>
      </c>
      <c r="J2487" s="2">
        <v>123120</v>
      </c>
      <c r="K2487" s="2">
        <v>30535</v>
      </c>
      <c r="L2487" s="2">
        <v>5</v>
      </c>
      <c r="M2487" t="str">
        <f>IF(Revv_bike_sales_data[[#This Row],[delivery_days]]&lt;=7, "Yes", "No")</f>
        <v>Yes</v>
      </c>
      <c r="N2487" t="s">
        <v>16</v>
      </c>
      <c r="O2487" s="2">
        <v>92585</v>
      </c>
    </row>
    <row r="2488" spans="1:15" x14ac:dyDescent="0.3">
      <c r="A2488" s="2">
        <v>2478</v>
      </c>
      <c r="B2488" s="1">
        <v>45030.208333333336</v>
      </c>
      <c r="C2488" s="1" t="str">
        <f t="shared" si="76"/>
        <v>04-2023</v>
      </c>
      <c r="D2488" s="2">
        <f t="shared" si="77"/>
        <v>15</v>
      </c>
      <c r="E2488" t="s">
        <v>22</v>
      </c>
      <c r="F2488" t="s">
        <v>14</v>
      </c>
      <c r="G2488" t="s">
        <v>19</v>
      </c>
      <c r="H2488" s="2">
        <v>65850</v>
      </c>
      <c r="I2488" s="2">
        <v>6</v>
      </c>
      <c r="J2488" s="2">
        <v>176781</v>
      </c>
      <c r="K2488" s="2">
        <v>78203</v>
      </c>
      <c r="L2488" s="2">
        <v>2</v>
      </c>
      <c r="M2488" t="str">
        <f>IF(Revv_bike_sales_data[[#This Row],[delivery_days]]&lt;=7, "Yes", "No")</f>
        <v>Yes</v>
      </c>
      <c r="N2488" t="s">
        <v>16</v>
      </c>
      <c r="O2488" s="2">
        <v>98578</v>
      </c>
    </row>
    <row r="2489" spans="1:15" x14ac:dyDescent="0.3">
      <c r="A2489" s="2">
        <v>2479</v>
      </c>
      <c r="B2489" s="1">
        <v>45030.25</v>
      </c>
      <c r="C2489" s="1" t="str">
        <f t="shared" si="76"/>
        <v>04-2023</v>
      </c>
      <c r="D2489" s="2">
        <f t="shared" si="77"/>
        <v>15</v>
      </c>
      <c r="E2489" t="s">
        <v>17</v>
      </c>
      <c r="F2489" t="s">
        <v>14</v>
      </c>
      <c r="G2489" t="s">
        <v>21</v>
      </c>
      <c r="H2489" s="2">
        <v>50845</v>
      </c>
      <c r="I2489" s="2">
        <v>5</v>
      </c>
      <c r="J2489" s="2">
        <v>69840</v>
      </c>
      <c r="K2489" s="2">
        <v>85597</v>
      </c>
      <c r="L2489" s="2">
        <v>3</v>
      </c>
      <c r="M2489" t="str">
        <f>IF(Revv_bike_sales_data[[#This Row],[delivery_days]]&lt;=7, "Yes", "No")</f>
        <v>Yes</v>
      </c>
      <c r="N2489" t="s">
        <v>16</v>
      </c>
      <c r="O2489" s="2">
        <v>-15757</v>
      </c>
    </row>
    <row r="2490" spans="1:15" x14ac:dyDescent="0.3">
      <c r="A2490" s="2">
        <v>2480</v>
      </c>
      <c r="B2490" s="1">
        <v>45030.291666666664</v>
      </c>
      <c r="C2490" s="1" t="str">
        <f t="shared" si="76"/>
        <v>04-2023</v>
      </c>
      <c r="D2490" s="2">
        <f t="shared" si="77"/>
        <v>15</v>
      </c>
      <c r="E2490" t="s">
        <v>25</v>
      </c>
      <c r="F2490" t="s">
        <v>14</v>
      </c>
      <c r="G2490" t="s">
        <v>19</v>
      </c>
      <c r="H2490" s="2">
        <v>49720</v>
      </c>
      <c r="I2490" s="2">
        <v>4</v>
      </c>
      <c r="J2490" s="2">
        <v>137647</v>
      </c>
      <c r="K2490" s="2">
        <v>82394</v>
      </c>
      <c r="L2490" s="2">
        <v>2</v>
      </c>
      <c r="M2490" t="str">
        <f>IF(Revv_bike_sales_data[[#This Row],[delivery_days]]&lt;=7, "Yes", "No")</f>
        <v>Yes</v>
      </c>
      <c r="N2490" t="s">
        <v>16</v>
      </c>
      <c r="O2490" s="2">
        <v>55253</v>
      </c>
    </row>
    <row r="2491" spans="1:15" x14ac:dyDescent="0.3">
      <c r="A2491" s="2">
        <v>2481</v>
      </c>
      <c r="B2491" s="1">
        <v>45030.333333333336</v>
      </c>
      <c r="C2491" s="1" t="str">
        <f t="shared" si="76"/>
        <v>04-2023</v>
      </c>
      <c r="D2491" s="2">
        <f t="shared" si="77"/>
        <v>15</v>
      </c>
      <c r="E2491" t="s">
        <v>13</v>
      </c>
      <c r="F2491" t="s">
        <v>14</v>
      </c>
      <c r="G2491" t="s">
        <v>21</v>
      </c>
      <c r="H2491" s="2">
        <v>81631</v>
      </c>
      <c r="I2491" s="2">
        <v>3</v>
      </c>
      <c r="J2491" s="2">
        <v>84321</v>
      </c>
      <c r="K2491" s="2">
        <v>40489</v>
      </c>
      <c r="L2491" s="2">
        <v>11</v>
      </c>
      <c r="M2491" t="str">
        <f>IF(Revv_bike_sales_data[[#This Row],[delivery_days]]&lt;=7, "Yes", "No")</f>
        <v>No</v>
      </c>
      <c r="N2491" t="s">
        <v>16</v>
      </c>
      <c r="O2491" s="2">
        <v>43832</v>
      </c>
    </row>
    <row r="2492" spans="1:15" x14ac:dyDescent="0.3">
      <c r="A2492" s="2">
        <v>2482</v>
      </c>
      <c r="B2492" s="1">
        <v>45030.375</v>
      </c>
      <c r="C2492" s="1" t="str">
        <f t="shared" si="76"/>
        <v>04-2023</v>
      </c>
      <c r="D2492" s="2">
        <f t="shared" si="77"/>
        <v>15</v>
      </c>
      <c r="E2492" t="s">
        <v>17</v>
      </c>
      <c r="F2492" t="s">
        <v>14</v>
      </c>
      <c r="G2492" t="s">
        <v>21</v>
      </c>
      <c r="H2492" s="2">
        <v>22563</v>
      </c>
      <c r="I2492" s="2">
        <v>7</v>
      </c>
      <c r="J2492" s="2">
        <v>68202</v>
      </c>
      <c r="K2492" s="2">
        <v>94214</v>
      </c>
      <c r="L2492" s="2">
        <v>4</v>
      </c>
      <c r="M2492" t="str">
        <f>IF(Revv_bike_sales_data[[#This Row],[delivery_days]]&lt;=7, "Yes", "No")</f>
        <v>Yes</v>
      </c>
      <c r="N2492" t="s">
        <v>16</v>
      </c>
      <c r="O2492" s="2">
        <v>-26012</v>
      </c>
    </row>
    <row r="2493" spans="1:15" x14ac:dyDescent="0.3">
      <c r="A2493" s="2">
        <v>2483</v>
      </c>
      <c r="B2493" s="1">
        <v>45030.416666666664</v>
      </c>
      <c r="C2493" s="1" t="str">
        <f t="shared" si="76"/>
        <v>04-2023</v>
      </c>
      <c r="D2493" s="2">
        <f t="shared" si="77"/>
        <v>15</v>
      </c>
      <c r="E2493" t="s">
        <v>22</v>
      </c>
      <c r="F2493" t="s">
        <v>14</v>
      </c>
      <c r="G2493" t="s">
        <v>21</v>
      </c>
      <c r="H2493" s="2">
        <v>72236</v>
      </c>
      <c r="I2493" s="2">
        <v>1</v>
      </c>
      <c r="J2493" s="2">
        <v>159162</v>
      </c>
      <c r="K2493" s="2">
        <v>135295</v>
      </c>
      <c r="L2493" s="2">
        <v>11</v>
      </c>
      <c r="M2493" t="str">
        <f>IF(Revv_bike_sales_data[[#This Row],[delivery_days]]&lt;=7, "Yes", "No")</f>
        <v>No</v>
      </c>
      <c r="N2493" t="s">
        <v>16</v>
      </c>
      <c r="O2493" s="2">
        <v>23867</v>
      </c>
    </row>
    <row r="2494" spans="1:15" x14ac:dyDescent="0.3">
      <c r="A2494" s="2">
        <v>2484</v>
      </c>
      <c r="B2494" s="1">
        <v>45030.458333333336</v>
      </c>
      <c r="C2494" s="1" t="str">
        <f t="shared" si="76"/>
        <v>04-2023</v>
      </c>
      <c r="D2494" s="2">
        <f t="shared" si="77"/>
        <v>15</v>
      </c>
      <c r="E2494" t="s">
        <v>22</v>
      </c>
      <c r="F2494" t="s">
        <v>23</v>
      </c>
      <c r="G2494" t="s">
        <v>19</v>
      </c>
      <c r="H2494" s="2">
        <v>89413</v>
      </c>
      <c r="I2494" s="2">
        <v>7</v>
      </c>
      <c r="J2494" s="2">
        <v>84231</v>
      </c>
      <c r="K2494" s="2">
        <v>115369</v>
      </c>
      <c r="L2494" s="2">
        <v>3</v>
      </c>
      <c r="M2494" t="str">
        <f>IF(Revv_bike_sales_data[[#This Row],[delivery_days]]&lt;=7, "Yes", "No")</f>
        <v>Yes</v>
      </c>
      <c r="N2494" t="s">
        <v>16</v>
      </c>
      <c r="O2494" s="2">
        <v>-31138</v>
      </c>
    </row>
    <row r="2495" spans="1:15" x14ac:dyDescent="0.3">
      <c r="A2495" s="2">
        <v>2485</v>
      </c>
      <c r="B2495" s="1">
        <v>45030.5</v>
      </c>
      <c r="C2495" s="1" t="str">
        <f t="shared" si="76"/>
        <v>04-2023</v>
      </c>
      <c r="D2495" s="2">
        <f t="shared" si="77"/>
        <v>15</v>
      </c>
      <c r="E2495" t="s">
        <v>18</v>
      </c>
      <c r="F2495" t="s">
        <v>23</v>
      </c>
      <c r="G2495" t="s">
        <v>15</v>
      </c>
      <c r="H2495" s="2">
        <v>79446</v>
      </c>
      <c r="I2495" s="2">
        <v>0</v>
      </c>
      <c r="J2495" s="2">
        <v>46552</v>
      </c>
      <c r="K2495" s="2">
        <v>127695</v>
      </c>
      <c r="L2495" s="2">
        <v>9</v>
      </c>
      <c r="M2495" t="str">
        <f>IF(Revv_bike_sales_data[[#This Row],[delivery_days]]&lt;=7, "Yes", "No")</f>
        <v>No</v>
      </c>
      <c r="N2495" t="s">
        <v>24</v>
      </c>
      <c r="O2495" s="2">
        <v>-81143</v>
      </c>
    </row>
    <row r="2496" spans="1:15" x14ac:dyDescent="0.3">
      <c r="A2496" s="2">
        <v>2486</v>
      </c>
      <c r="B2496" s="1">
        <v>45030.541666666664</v>
      </c>
      <c r="C2496" s="1" t="str">
        <f t="shared" si="76"/>
        <v>04-2023</v>
      </c>
      <c r="D2496" s="2">
        <f t="shared" si="77"/>
        <v>15</v>
      </c>
      <c r="E2496" t="s">
        <v>17</v>
      </c>
      <c r="F2496" t="s">
        <v>23</v>
      </c>
      <c r="G2496" t="s">
        <v>19</v>
      </c>
      <c r="H2496" s="2">
        <v>46471</v>
      </c>
      <c r="I2496" s="2">
        <v>9</v>
      </c>
      <c r="J2496" s="2">
        <v>46661</v>
      </c>
      <c r="K2496" s="2">
        <v>99886</v>
      </c>
      <c r="L2496" s="2">
        <v>10</v>
      </c>
      <c r="M2496" t="str">
        <f>IF(Revv_bike_sales_data[[#This Row],[delivery_days]]&lt;=7, "Yes", "No")</f>
        <v>No</v>
      </c>
      <c r="N2496" t="s">
        <v>24</v>
      </c>
      <c r="O2496" s="2">
        <v>-53225</v>
      </c>
    </row>
    <row r="2497" spans="1:15" x14ac:dyDescent="0.3">
      <c r="A2497" s="2">
        <v>2487</v>
      </c>
      <c r="B2497" s="1">
        <v>45030.583333333336</v>
      </c>
      <c r="C2497" s="1" t="str">
        <f t="shared" si="76"/>
        <v>04-2023</v>
      </c>
      <c r="D2497" s="2">
        <f t="shared" si="77"/>
        <v>15</v>
      </c>
      <c r="E2497" t="s">
        <v>18</v>
      </c>
      <c r="F2497" t="s">
        <v>14</v>
      </c>
      <c r="G2497" t="s">
        <v>19</v>
      </c>
      <c r="H2497" s="2">
        <v>4098</v>
      </c>
      <c r="I2497" s="2">
        <v>0</v>
      </c>
      <c r="J2497" s="2">
        <v>162164</v>
      </c>
      <c r="K2497" s="2">
        <v>28346</v>
      </c>
      <c r="L2497" s="2">
        <v>12</v>
      </c>
      <c r="M2497" t="str">
        <f>IF(Revv_bike_sales_data[[#This Row],[delivery_days]]&lt;=7, "Yes", "No")</f>
        <v>No</v>
      </c>
      <c r="N2497" t="s">
        <v>16</v>
      </c>
      <c r="O2497" s="2">
        <v>133818</v>
      </c>
    </row>
    <row r="2498" spans="1:15" x14ac:dyDescent="0.3">
      <c r="A2498" s="2">
        <v>2488</v>
      </c>
      <c r="B2498" s="1">
        <v>45030.625</v>
      </c>
      <c r="C2498" s="1" t="str">
        <f t="shared" si="76"/>
        <v>04-2023</v>
      </c>
      <c r="D2498" s="2">
        <f t="shared" si="77"/>
        <v>15</v>
      </c>
      <c r="E2498" t="s">
        <v>25</v>
      </c>
      <c r="F2498" t="s">
        <v>14</v>
      </c>
      <c r="G2498" t="s">
        <v>20</v>
      </c>
      <c r="H2498" s="2">
        <v>11064</v>
      </c>
      <c r="I2498" s="2">
        <v>2</v>
      </c>
      <c r="J2498" s="2">
        <v>156642</v>
      </c>
      <c r="K2498" s="2">
        <v>63005</v>
      </c>
      <c r="L2498" s="2">
        <v>2</v>
      </c>
      <c r="M2498" t="str">
        <f>IF(Revv_bike_sales_data[[#This Row],[delivery_days]]&lt;=7, "Yes", "No")</f>
        <v>Yes</v>
      </c>
      <c r="N2498" t="s">
        <v>16</v>
      </c>
      <c r="O2498" s="2">
        <v>93637</v>
      </c>
    </row>
    <row r="2499" spans="1:15" x14ac:dyDescent="0.3">
      <c r="A2499" s="2">
        <v>2489</v>
      </c>
      <c r="B2499" s="1">
        <v>45030.666666666664</v>
      </c>
      <c r="C2499" s="1" t="str">
        <f t="shared" si="76"/>
        <v>04-2023</v>
      </c>
      <c r="D2499" s="2">
        <f t="shared" si="77"/>
        <v>15</v>
      </c>
      <c r="E2499" t="s">
        <v>17</v>
      </c>
      <c r="F2499" t="s">
        <v>14</v>
      </c>
      <c r="G2499" t="s">
        <v>21</v>
      </c>
      <c r="H2499" s="2">
        <v>96934</v>
      </c>
      <c r="I2499" s="2">
        <v>4</v>
      </c>
      <c r="J2499" s="2">
        <v>168156</v>
      </c>
      <c r="K2499" s="2">
        <v>21773</v>
      </c>
      <c r="L2499" s="2">
        <v>7</v>
      </c>
      <c r="M2499" t="str">
        <f>IF(Revv_bike_sales_data[[#This Row],[delivery_days]]&lt;=7, "Yes", "No")</f>
        <v>Yes</v>
      </c>
      <c r="N2499" t="s">
        <v>16</v>
      </c>
      <c r="O2499" s="2">
        <v>146383</v>
      </c>
    </row>
    <row r="2500" spans="1:15" x14ac:dyDescent="0.3">
      <c r="A2500" s="2">
        <v>2490</v>
      </c>
      <c r="B2500" s="1">
        <v>45030.708333333336</v>
      </c>
      <c r="C2500" s="1" t="str">
        <f t="shared" si="76"/>
        <v>04-2023</v>
      </c>
      <c r="D2500" s="2">
        <f t="shared" si="77"/>
        <v>15</v>
      </c>
      <c r="E2500" t="s">
        <v>25</v>
      </c>
      <c r="F2500" t="s">
        <v>14</v>
      </c>
      <c r="G2500" t="s">
        <v>15</v>
      </c>
      <c r="H2500" s="2">
        <v>50225</v>
      </c>
      <c r="I2500" s="2">
        <v>5</v>
      </c>
      <c r="J2500" s="2">
        <v>90843</v>
      </c>
      <c r="K2500" s="2">
        <v>110001</v>
      </c>
      <c r="L2500" s="2">
        <v>11</v>
      </c>
      <c r="M2500" t="str">
        <f>IF(Revv_bike_sales_data[[#This Row],[delivery_days]]&lt;=7, "Yes", "No")</f>
        <v>No</v>
      </c>
      <c r="N2500" t="s">
        <v>16</v>
      </c>
      <c r="O2500" s="2">
        <v>-19158</v>
      </c>
    </row>
    <row r="2501" spans="1:15" x14ac:dyDescent="0.3">
      <c r="A2501" s="2">
        <v>2491</v>
      </c>
      <c r="B2501" s="1">
        <v>45030.75</v>
      </c>
      <c r="C2501" s="1" t="str">
        <f t="shared" si="76"/>
        <v>04-2023</v>
      </c>
      <c r="D2501" s="2">
        <f t="shared" si="77"/>
        <v>15</v>
      </c>
      <c r="E2501" t="s">
        <v>18</v>
      </c>
      <c r="F2501" t="s">
        <v>14</v>
      </c>
      <c r="G2501" t="s">
        <v>20</v>
      </c>
      <c r="H2501" s="2">
        <v>86634</v>
      </c>
      <c r="I2501" s="2">
        <v>3</v>
      </c>
      <c r="J2501" s="2">
        <v>94278</v>
      </c>
      <c r="K2501" s="2">
        <v>137580</v>
      </c>
      <c r="L2501" s="2">
        <v>14</v>
      </c>
      <c r="M2501" t="str">
        <f>IF(Revv_bike_sales_data[[#This Row],[delivery_days]]&lt;=7, "Yes", "No")</f>
        <v>No</v>
      </c>
      <c r="N2501" t="s">
        <v>16</v>
      </c>
      <c r="O2501" s="2">
        <v>-43302</v>
      </c>
    </row>
    <row r="2502" spans="1:15" x14ac:dyDescent="0.3">
      <c r="A2502" s="2">
        <v>2492</v>
      </c>
      <c r="B2502" s="1">
        <v>45030.791666666664</v>
      </c>
      <c r="C2502" s="1" t="str">
        <f t="shared" si="76"/>
        <v>04-2023</v>
      </c>
      <c r="D2502" s="2">
        <f t="shared" si="77"/>
        <v>15</v>
      </c>
      <c r="E2502" t="s">
        <v>17</v>
      </c>
      <c r="F2502" t="s">
        <v>14</v>
      </c>
      <c r="G2502" t="s">
        <v>15</v>
      </c>
      <c r="H2502" s="2">
        <v>60440</v>
      </c>
      <c r="I2502" s="2">
        <v>6</v>
      </c>
      <c r="J2502" s="2">
        <v>119328</v>
      </c>
      <c r="K2502" s="2">
        <v>90324</v>
      </c>
      <c r="L2502" s="2">
        <v>3</v>
      </c>
      <c r="M2502" t="str">
        <f>IF(Revv_bike_sales_data[[#This Row],[delivery_days]]&lt;=7, "Yes", "No")</f>
        <v>Yes</v>
      </c>
      <c r="N2502" t="s">
        <v>16</v>
      </c>
      <c r="O2502" s="2">
        <v>29004</v>
      </c>
    </row>
    <row r="2503" spans="1:15" x14ac:dyDescent="0.3">
      <c r="A2503" s="2">
        <v>2493</v>
      </c>
      <c r="B2503" s="1">
        <v>45030.833333333336</v>
      </c>
      <c r="C2503" s="1" t="str">
        <f t="shared" si="76"/>
        <v>04-2023</v>
      </c>
      <c r="D2503" s="2">
        <f t="shared" si="77"/>
        <v>15</v>
      </c>
      <c r="E2503" t="s">
        <v>18</v>
      </c>
      <c r="F2503" t="s">
        <v>14</v>
      </c>
      <c r="G2503" t="s">
        <v>15</v>
      </c>
      <c r="H2503" s="2">
        <v>62585</v>
      </c>
      <c r="I2503" s="2">
        <v>6</v>
      </c>
      <c r="J2503" s="2">
        <v>156837</v>
      </c>
      <c r="K2503" s="2">
        <v>47343</v>
      </c>
      <c r="L2503" s="2">
        <v>10</v>
      </c>
      <c r="M2503" t="str">
        <f>IF(Revv_bike_sales_data[[#This Row],[delivery_days]]&lt;=7, "Yes", "No")</f>
        <v>No</v>
      </c>
      <c r="N2503" t="s">
        <v>16</v>
      </c>
      <c r="O2503" s="2">
        <v>109494</v>
      </c>
    </row>
    <row r="2504" spans="1:15" x14ac:dyDescent="0.3">
      <c r="A2504" s="2">
        <v>2494</v>
      </c>
      <c r="B2504" s="1">
        <v>45030.875</v>
      </c>
      <c r="C2504" s="1" t="str">
        <f t="shared" si="76"/>
        <v>04-2023</v>
      </c>
      <c r="D2504" s="2">
        <f t="shared" si="77"/>
        <v>15</v>
      </c>
      <c r="E2504" t="s">
        <v>17</v>
      </c>
      <c r="F2504" t="s">
        <v>14</v>
      </c>
      <c r="G2504" t="s">
        <v>21</v>
      </c>
      <c r="H2504" s="2">
        <v>18362</v>
      </c>
      <c r="I2504" s="2">
        <v>1</v>
      </c>
      <c r="J2504" s="2">
        <v>151355</v>
      </c>
      <c r="K2504" s="2">
        <v>127398</v>
      </c>
      <c r="L2504" s="2">
        <v>8</v>
      </c>
      <c r="M2504" t="str">
        <f>IF(Revv_bike_sales_data[[#This Row],[delivery_days]]&lt;=7, "Yes", "No")</f>
        <v>No</v>
      </c>
      <c r="N2504" t="s">
        <v>16</v>
      </c>
      <c r="O2504" s="2">
        <v>23957</v>
      </c>
    </row>
    <row r="2505" spans="1:15" x14ac:dyDescent="0.3">
      <c r="A2505" s="2">
        <v>2495</v>
      </c>
      <c r="B2505" s="1">
        <v>45030.916666666664</v>
      </c>
      <c r="C2505" s="1" t="str">
        <f t="shared" si="76"/>
        <v>04-2023</v>
      </c>
      <c r="D2505" s="2">
        <f t="shared" si="77"/>
        <v>15</v>
      </c>
      <c r="E2505" t="s">
        <v>18</v>
      </c>
      <c r="F2505" t="s">
        <v>14</v>
      </c>
      <c r="G2505" t="s">
        <v>19</v>
      </c>
      <c r="H2505" s="2">
        <v>10765</v>
      </c>
      <c r="I2505" s="2">
        <v>1</v>
      </c>
      <c r="J2505" s="2">
        <v>49198</v>
      </c>
      <c r="K2505" s="2">
        <v>117746</v>
      </c>
      <c r="L2505" s="2">
        <v>4</v>
      </c>
      <c r="M2505" t="str">
        <f>IF(Revv_bike_sales_data[[#This Row],[delivery_days]]&lt;=7, "Yes", "No")</f>
        <v>Yes</v>
      </c>
      <c r="N2505" t="s">
        <v>16</v>
      </c>
      <c r="O2505" s="2">
        <v>-68548</v>
      </c>
    </row>
    <row r="2506" spans="1:15" x14ac:dyDescent="0.3">
      <c r="A2506" s="2">
        <v>2496</v>
      </c>
      <c r="B2506" s="1">
        <v>45030.958333333336</v>
      </c>
      <c r="C2506" s="1" t="str">
        <f t="shared" si="76"/>
        <v>04-2023</v>
      </c>
      <c r="D2506" s="2">
        <f t="shared" si="77"/>
        <v>15</v>
      </c>
      <c r="E2506" t="s">
        <v>22</v>
      </c>
      <c r="F2506" t="s">
        <v>14</v>
      </c>
      <c r="G2506" t="s">
        <v>21</v>
      </c>
      <c r="H2506" s="2">
        <v>10205</v>
      </c>
      <c r="I2506" s="2">
        <v>1</v>
      </c>
      <c r="J2506" s="2">
        <v>86201</v>
      </c>
      <c r="K2506" s="2">
        <v>89783</v>
      </c>
      <c r="L2506" s="2">
        <v>14</v>
      </c>
      <c r="M2506" t="str">
        <f>IF(Revv_bike_sales_data[[#This Row],[delivery_days]]&lt;=7, "Yes", "No")</f>
        <v>No</v>
      </c>
      <c r="N2506" t="s">
        <v>24</v>
      </c>
      <c r="O2506" s="2">
        <v>-3582</v>
      </c>
    </row>
    <row r="2507" spans="1:15" x14ac:dyDescent="0.3">
      <c r="A2507" s="2">
        <v>2497</v>
      </c>
      <c r="B2507" s="1">
        <v>45031</v>
      </c>
      <c r="C2507" s="1" t="str">
        <f t="shared" ref="C2507:C2570" si="78">TEXT(B2507,"mm-yyyy")</f>
        <v>04-2023</v>
      </c>
      <c r="D2507" s="2">
        <f t="shared" ref="D2507:D2570" si="79">WEEKNUM(B2507)</f>
        <v>15</v>
      </c>
      <c r="E2507" t="s">
        <v>18</v>
      </c>
      <c r="F2507" t="s">
        <v>14</v>
      </c>
      <c r="G2507" t="s">
        <v>21</v>
      </c>
      <c r="H2507" s="2">
        <v>55779</v>
      </c>
      <c r="I2507" s="2">
        <v>1</v>
      </c>
      <c r="J2507" s="2">
        <v>98271</v>
      </c>
      <c r="K2507" s="2">
        <v>60963</v>
      </c>
      <c r="L2507" s="2">
        <v>4</v>
      </c>
      <c r="M2507" t="str">
        <f>IF(Revv_bike_sales_data[[#This Row],[delivery_days]]&lt;=7, "Yes", "No")</f>
        <v>Yes</v>
      </c>
      <c r="N2507" t="s">
        <v>16</v>
      </c>
      <c r="O2507" s="2">
        <v>37308</v>
      </c>
    </row>
    <row r="2508" spans="1:15" x14ac:dyDescent="0.3">
      <c r="A2508" s="2">
        <v>2498</v>
      </c>
      <c r="B2508" s="1">
        <v>45031.041666666664</v>
      </c>
      <c r="C2508" s="1" t="str">
        <f t="shared" si="78"/>
        <v>04-2023</v>
      </c>
      <c r="D2508" s="2">
        <f t="shared" si="79"/>
        <v>15</v>
      </c>
      <c r="E2508" t="s">
        <v>22</v>
      </c>
      <c r="F2508" t="s">
        <v>14</v>
      </c>
      <c r="G2508" t="s">
        <v>20</v>
      </c>
      <c r="H2508" s="2">
        <v>62971</v>
      </c>
      <c r="I2508" s="2">
        <v>8</v>
      </c>
      <c r="J2508" s="2">
        <v>167449</v>
      </c>
      <c r="K2508" s="2">
        <v>56983</v>
      </c>
      <c r="L2508" s="2">
        <v>9</v>
      </c>
      <c r="M2508" t="str">
        <f>IF(Revv_bike_sales_data[[#This Row],[delivery_days]]&lt;=7, "Yes", "No")</f>
        <v>No</v>
      </c>
      <c r="N2508" t="s">
        <v>16</v>
      </c>
      <c r="O2508" s="2">
        <v>110466</v>
      </c>
    </row>
    <row r="2509" spans="1:15" x14ac:dyDescent="0.3">
      <c r="A2509" s="2">
        <v>2499</v>
      </c>
      <c r="B2509" s="1">
        <v>45031.083333333336</v>
      </c>
      <c r="C2509" s="1" t="str">
        <f t="shared" si="78"/>
        <v>04-2023</v>
      </c>
      <c r="D2509" s="2">
        <f t="shared" si="79"/>
        <v>15</v>
      </c>
      <c r="E2509" t="s">
        <v>18</v>
      </c>
      <c r="F2509" t="s">
        <v>14</v>
      </c>
      <c r="G2509" t="s">
        <v>21</v>
      </c>
      <c r="H2509" s="2">
        <v>91580</v>
      </c>
      <c r="I2509" s="2">
        <v>4</v>
      </c>
      <c r="J2509" s="2">
        <v>136578</v>
      </c>
      <c r="K2509" s="2">
        <v>50972</v>
      </c>
      <c r="L2509" s="2">
        <v>11</v>
      </c>
      <c r="M2509" t="str">
        <f>IF(Revv_bike_sales_data[[#This Row],[delivery_days]]&lt;=7, "Yes", "No")</f>
        <v>No</v>
      </c>
      <c r="N2509" t="s">
        <v>16</v>
      </c>
      <c r="O2509" s="2">
        <v>85606</v>
      </c>
    </row>
    <row r="2510" spans="1:15" x14ac:dyDescent="0.3">
      <c r="A2510" s="2">
        <v>2500</v>
      </c>
      <c r="B2510" s="1">
        <v>45031.125</v>
      </c>
      <c r="C2510" s="1" t="str">
        <f t="shared" si="78"/>
        <v>04-2023</v>
      </c>
      <c r="D2510" s="2">
        <f t="shared" si="79"/>
        <v>15</v>
      </c>
      <c r="E2510" t="s">
        <v>17</v>
      </c>
      <c r="F2510" t="s">
        <v>14</v>
      </c>
      <c r="G2510" t="s">
        <v>19</v>
      </c>
      <c r="H2510" s="2">
        <v>80334</v>
      </c>
      <c r="I2510" s="2">
        <v>7</v>
      </c>
      <c r="J2510" s="2">
        <v>164108</v>
      </c>
      <c r="K2510" s="2">
        <v>31959</v>
      </c>
      <c r="L2510" s="2">
        <v>3</v>
      </c>
      <c r="M2510" t="str">
        <f>IF(Revv_bike_sales_data[[#This Row],[delivery_days]]&lt;=7, "Yes", "No")</f>
        <v>Yes</v>
      </c>
      <c r="N2510" t="s">
        <v>16</v>
      </c>
      <c r="O2510" s="2">
        <v>132149</v>
      </c>
    </row>
    <row r="2511" spans="1:15" x14ac:dyDescent="0.3">
      <c r="A2511" s="2">
        <v>2501</v>
      </c>
      <c r="B2511" s="1">
        <v>45031.166666666664</v>
      </c>
      <c r="C2511" s="1" t="str">
        <f t="shared" si="78"/>
        <v>04-2023</v>
      </c>
      <c r="D2511" s="2">
        <f t="shared" si="79"/>
        <v>15</v>
      </c>
      <c r="E2511" t="s">
        <v>17</v>
      </c>
      <c r="F2511" t="s">
        <v>14</v>
      </c>
      <c r="G2511" t="s">
        <v>15</v>
      </c>
      <c r="H2511" s="2">
        <v>63479</v>
      </c>
      <c r="I2511" s="2">
        <v>4</v>
      </c>
      <c r="J2511" s="2">
        <v>65364</v>
      </c>
      <c r="K2511" s="2">
        <v>129886</v>
      </c>
      <c r="L2511" s="2">
        <v>7</v>
      </c>
      <c r="M2511" t="str">
        <f>IF(Revv_bike_sales_data[[#This Row],[delivery_days]]&lt;=7, "Yes", "No")</f>
        <v>Yes</v>
      </c>
      <c r="N2511" t="s">
        <v>16</v>
      </c>
      <c r="O2511" s="2">
        <v>-64522</v>
      </c>
    </row>
    <row r="2512" spans="1:15" x14ac:dyDescent="0.3">
      <c r="A2512" s="2">
        <v>2502</v>
      </c>
      <c r="B2512" s="1">
        <v>45031.208333333336</v>
      </c>
      <c r="C2512" s="1" t="str">
        <f t="shared" si="78"/>
        <v>04-2023</v>
      </c>
      <c r="D2512" s="2">
        <f t="shared" si="79"/>
        <v>15</v>
      </c>
      <c r="E2512" t="s">
        <v>17</v>
      </c>
      <c r="F2512" t="s">
        <v>14</v>
      </c>
      <c r="G2512" t="s">
        <v>21</v>
      </c>
      <c r="H2512" s="2">
        <v>56328</v>
      </c>
      <c r="I2512" s="2">
        <v>4</v>
      </c>
      <c r="J2512" s="2">
        <v>140227</v>
      </c>
      <c r="K2512" s="2">
        <v>104343</v>
      </c>
      <c r="L2512" s="2">
        <v>1</v>
      </c>
      <c r="M2512" t="str">
        <f>IF(Revv_bike_sales_data[[#This Row],[delivery_days]]&lt;=7, "Yes", "No")</f>
        <v>Yes</v>
      </c>
      <c r="N2512" t="s">
        <v>16</v>
      </c>
      <c r="O2512" s="2">
        <v>35884</v>
      </c>
    </row>
    <row r="2513" spans="1:15" x14ac:dyDescent="0.3">
      <c r="A2513" s="2">
        <v>2503</v>
      </c>
      <c r="B2513" s="1">
        <v>45031.25</v>
      </c>
      <c r="C2513" s="1" t="str">
        <f t="shared" si="78"/>
        <v>04-2023</v>
      </c>
      <c r="D2513" s="2">
        <f t="shared" si="79"/>
        <v>15</v>
      </c>
      <c r="E2513" t="s">
        <v>13</v>
      </c>
      <c r="F2513" t="s">
        <v>14</v>
      </c>
      <c r="G2513" t="s">
        <v>15</v>
      </c>
      <c r="H2513" s="2">
        <v>98706</v>
      </c>
      <c r="I2513" s="2">
        <v>0</v>
      </c>
      <c r="J2513" s="2">
        <v>125353</v>
      </c>
      <c r="K2513" s="2">
        <v>49133</v>
      </c>
      <c r="L2513" s="2">
        <v>7</v>
      </c>
      <c r="M2513" t="str">
        <f>IF(Revv_bike_sales_data[[#This Row],[delivery_days]]&lt;=7, "Yes", "No")</f>
        <v>Yes</v>
      </c>
      <c r="N2513" t="s">
        <v>16</v>
      </c>
      <c r="O2513" s="2">
        <v>76220</v>
      </c>
    </row>
    <row r="2514" spans="1:15" x14ac:dyDescent="0.3">
      <c r="A2514" s="2">
        <v>2504</v>
      </c>
      <c r="B2514" s="1">
        <v>45031.291666666664</v>
      </c>
      <c r="C2514" s="1" t="str">
        <f t="shared" si="78"/>
        <v>04-2023</v>
      </c>
      <c r="D2514" s="2">
        <f t="shared" si="79"/>
        <v>15</v>
      </c>
      <c r="E2514" t="s">
        <v>25</v>
      </c>
      <c r="F2514" t="s">
        <v>14</v>
      </c>
      <c r="G2514" t="s">
        <v>21</v>
      </c>
      <c r="H2514" s="2">
        <v>46604</v>
      </c>
      <c r="I2514" s="2">
        <v>5</v>
      </c>
      <c r="J2514" s="2">
        <v>157735</v>
      </c>
      <c r="K2514" s="2">
        <v>104754</v>
      </c>
      <c r="L2514" s="2">
        <v>10</v>
      </c>
      <c r="M2514" t="str">
        <f>IF(Revv_bike_sales_data[[#This Row],[delivery_days]]&lt;=7, "Yes", "No")</f>
        <v>No</v>
      </c>
      <c r="N2514" t="s">
        <v>16</v>
      </c>
      <c r="O2514" s="2">
        <v>52981</v>
      </c>
    </row>
    <row r="2515" spans="1:15" x14ac:dyDescent="0.3">
      <c r="A2515" s="2">
        <v>2505</v>
      </c>
      <c r="B2515" s="1">
        <v>45031.333333333336</v>
      </c>
      <c r="C2515" s="1" t="str">
        <f t="shared" si="78"/>
        <v>04-2023</v>
      </c>
      <c r="D2515" s="2">
        <f t="shared" si="79"/>
        <v>15</v>
      </c>
      <c r="E2515" t="s">
        <v>17</v>
      </c>
      <c r="F2515" t="s">
        <v>14</v>
      </c>
      <c r="G2515" t="s">
        <v>15</v>
      </c>
      <c r="H2515" s="2">
        <v>41434</v>
      </c>
      <c r="I2515" s="2">
        <v>3</v>
      </c>
      <c r="J2515" s="2">
        <v>102564</v>
      </c>
      <c r="K2515" s="2">
        <v>66150</v>
      </c>
      <c r="L2515" s="2">
        <v>11</v>
      </c>
      <c r="M2515" t="str">
        <f>IF(Revv_bike_sales_data[[#This Row],[delivery_days]]&lt;=7, "Yes", "No")</f>
        <v>No</v>
      </c>
      <c r="N2515" t="s">
        <v>16</v>
      </c>
      <c r="O2515" s="2">
        <v>36414</v>
      </c>
    </row>
    <row r="2516" spans="1:15" x14ac:dyDescent="0.3">
      <c r="A2516" s="2">
        <v>2506</v>
      </c>
      <c r="B2516" s="1">
        <v>45031.375</v>
      </c>
      <c r="C2516" s="1" t="str">
        <f t="shared" si="78"/>
        <v>04-2023</v>
      </c>
      <c r="D2516" s="2">
        <f t="shared" si="79"/>
        <v>15</v>
      </c>
      <c r="E2516" t="s">
        <v>22</v>
      </c>
      <c r="F2516" t="s">
        <v>14</v>
      </c>
      <c r="G2516" t="s">
        <v>21</v>
      </c>
      <c r="H2516" s="2">
        <v>6550</v>
      </c>
      <c r="I2516" s="2">
        <v>2</v>
      </c>
      <c r="J2516" s="2">
        <v>171149</v>
      </c>
      <c r="K2516" s="2">
        <v>36734</v>
      </c>
      <c r="L2516" s="2">
        <v>2</v>
      </c>
      <c r="M2516" t="str">
        <f>IF(Revv_bike_sales_data[[#This Row],[delivery_days]]&lt;=7, "Yes", "No")</f>
        <v>Yes</v>
      </c>
      <c r="N2516" t="s">
        <v>16</v>
      </c>
      <c r="O2516" s="2">
        <v>134415</v>
      </c>
    </row>
    <row r="2517" spans="1:15" x14ac:dyDescent="0.3">
      <c r="A2517" s="2">
        <v>2507</v>
      </c>
      <c r="B2517" s="1">
        <v>45031.416666666664</v>
      </c>
      <c r="C2517" s="1" t="str">
        <f t="shared" si="78"/>
        <v>04-2023</v>
      </c>
      <c r="D2517" s="2">
        <f t="shared" si="79"/>
        <v>15</v>
      </c>
      <c r="E2517" t="s">
        <v>17</v>
      </c>
      <c r="F2517" t="s">
        <v>14</v>
      </c>
      <c r="G2517" t="s">
        <v>20</v>
      </c>
      <c r="H2517" s="2">
        <v>44452</v>
      </c>
      <c r="I2517" s="2">
        <v>5</v>
      </c>
      <c r="J2517" s="2">
        <v>130447</v>
      </c>
      <c r="K2517" s="2">
        <v>103364</v>
      </c>
      <c r="L2517" s="2">
        <v>12</v>
      </c>
      <c r="M2517" t="str">
        <f>IF(Revv_bike_sales_data[[#This Row],[delivery_days]]&lt;=7, "Yes", "No")</f>
        <v>No</v>
      </c>
      <c r="N2517" t="s">
        <v>16</v>
      </c>
      <c r="O2517" s="2">
        <v>27083</v>
      </c>
    </row>
    <row r="2518" spans="1:15" x14ac:dyDescent="0.3">
      <c r="A2518" s="2">
        <v>2508</v>
      </c>
      <c r="B2518" s="1">
        <v>45031.458333333336</v>
      </c>
      <c r="C2518" s="1" t="str">
        <f t="shared" si="78"/>
        <v>04-2023</v>
      </c>
      <c r="D2518" s="2">
        <f t="shared" si="79"/>
        <v>15</v>
      </c>
      <c r="E2518" t="s">
        <v>13</v>
      </c>
      <c r="F2518" t="s">
        <v>14</v>
      </c>
      <c r="G2518" t="s">
        <v>15</v>
      </c>
      <c r="H2518" s="2">
        <v>87070</v>
      </c>
      <c r="I2518" s="2">
        <v>1</v>
      </c>
      <c r="J2518" s="2">
        <v>44631</v>
      </c>
      <c r="K2518" s="2">
        <v>32400</v>
      </c>
      <c r="L2518" s="2">
        <v>14</v>
      </c>
      <c r="M2518" t="str">
        <f>IF(Revv_bike_sales_data[[#This Row],[delivery_days]]&lt;=7, "Yes", "No")</f>
        <v>No</v>
      </c>
      <c r="N2518" t="s">
        <v>16</v>
      </c>
      <c r="O2518" s="2">
        <v>12231</v>
      </c>
    </row>
    <row r="2519" spans="1:15" x14ac:dyDescent="0.3">
      <c r="A2519" s="2">
        <v>2509</v>
      </c>
      <c r="B2519" s="1">
        <v>45031.5</v>
      </c>
      <c r="C2519" s="1" t="str">
        <f t="shared" si="78"/>
        <v>04-2023</v>
      </c>
      <c r="D2519" s="2">
        <f t="shared" si="79"/>
        <v>15</v>
      </c>
      <c r="E2519" t="s">
        <v>22</v>
      </c>
      <c r="F2519" t="s">
        <v>14</v>
      </c>
      <c r="G2519" t="s">
        <v>21</v>
      </c>
      <c r="H2519" s="2">
        <v>8984</v>
      </c>
      <c r="I2519" s="2">
        <v>7</v>
      </c>
      <c r="J2519" s="2">
        <v>58500</v>
      </c>
      <c r="K2519" s="2">
        <v>35002</v>
      </c>
      <c r="L2519" s="2">
        <v>14</v>
      </c>
      <c r="M2519" t="str">
        <f>IF(Revv_bike_sales_data[[#This Row],[delivery_days]]&lt;=7, "Yes", "No")</f>
        <v>No</v>
      </c>
      <c r="N2519" t="s">
        <v>16</v>
      </c>
      <c r="O2519" s="2">
        <v>23498</v>
      </c>
    </row>
    <row r="2520" spans="1:15" x14ac:dyDescent="0.3">
      <c r="A2520" s="2">
        <v>2510</v>
      </c>
      <c r="B2520" s="1">
        <v>45031.541666666664</v>
      </c>
      <c r="C2520" s="1" t="str">
        <f t="shared" si="78"/>
        <v>04-2023</v>
      </c>
      <c r="D2520" s="2">
        <f t="shared" si="79"/>
        <v>15</v>
      </c>
      <c r="E2520" t="s">
        <v>13</v>
      </c>
      <c r="F2520" t="s">
        <v>14</v>
      </c>
      <c r="G2520" t="s">
        <v>21</v>
      </c>
      <c r="H2520" s="2">
        <v>63148</v>
      </c>
      <c r="I2520" s="2">
        <v>0</v>
      </c>
      <c r="J2520" s="2">
        <v>175969</v>
      </c>
      <c r="K2520" s="2">
        <v>113329</v>
      </c>
      <c r="L2520" s="2">
        <v>6</v>
      </c>
      <c r="M2520" t="str">
        <f>IF(Revv_bike_sales_data[[#This Row],[delivery_days]]&lt;=7, "Yes", "No")</f>
        <v>Yes</v>
      </c>
      <c r="N2520" t="s">
        <v>16</v>
      </c>
      <c r="O2520" s="2">
        <v>62640</v>
      </c>
    </row>
    <row r="2521" spans="1:15" x14ac:dyDescent="0.3">
      <c r="A2521" s="2">
        <v>2511</v>
      </c>
      <c r="B2521" s="1">
        <v>45031.583333333336</v>
      </c>
      <c r="C2521" s="1" t="str">
        <f t="shared" si="78"/>
        <v>04-2023</v>
      </c>
      <c r="D2521" s="2">
        <f t="shared" si="79"/>
        <v>15</v>
      </c>
      <c r="E2521" t="s">
        <v>22</v>
      </c>
      <c r="F2521" t="s">
        <v>14</v>
      </c>
      <c r="G2521" t="s">
        <v>20</v>
      </c>
      <c r="H2521" s="2">
        <v>60445</v>
      </c>
      <c r="I2521" s="2">
        <v>8</v>
      </c>
      <c r="J2521" s="2">
        <v>83915</v>
      </c>
      <c r="K2521" s="2">
        <v>139438</v>
      </c>
      <c r="L2521" s="2">
        <v>13</v>
      </c>
      <c r="M2521" t="str">
        <f>IF(Revv_bike_sales_data[[#This Row],[delivery_days]]&lt;=7, "Yes", "No")</f>
        <v>No</v>
      </c>
      <c r="N2521" t="s">
        <v>16</v>
      </c>
      <c r="O2521" s="2">
        <v>-55523</v>
      </c>
    </row>
    <row r="2522" spans="1:15" x14ac:dyDescent="0.3">
      <c r="A2522" s="2">
        <v>2512</v>
      </c>
      <c r="B2522" s="1">
        <v>45031.625</v>
      </c>
      <c r="C2522" s="1" t="str">
        <f t="shared" si="78"/>
        <v>04-2023</v>
      </c>
      <c r="D2522" s="2">
        <f t="shared" si="79"/>
        <v>15</v>
      </c>
      <c r="E2522" t="s">
        <v>18</v>
      </c>
      <c r="F2522" t="s">
        <v>23</v>
      </c>
      <c r="G2522" t="s">
        <v>20</v>
      </c>
      <c r="H2522" s="2">
        <v>54178</v>
      </c>
      <c r="I2522" s="2">
        <v>7</v>
      </c>
      <c r="J2522" s="2">
        <v>127760</v>
      </c>
      <c r="K2522" s="2">
        <v>51492</v>
      </c>
      <c r="L2522" s="2">
        <v>9</v>
      </c>
      <c r="M2522" t="str">
        <f>IF(Revv_bike_sales_data[[#This Row],[delivery_days]]&lt;=7, "Yes", "No")</f>
        <v>No</v>
      </c>
      <c r="N2522" t="s">
        <v>16</v>
      </c>
      <c r="O2522" s="2">
        <v>76268</v>
      </c>
    </row>
    <row r="2523" spans="1:15" x14ac:dyDescent="0.3">
      <c r="A2523" s="2">
        <v>2513</v>
      </c>
      <c r="B2523" s="1">
        <v>45031.666666666664</v>
      </c>
      <c r="C2523" s="1" t="str">
        <f t="shared" si="78"/>
        <v>04-2023</v>
      </c>
      <c r="D2523" s="2">
        <f t="shared" si="79"/>
        <v>15</v>
      </c>
      <c r="E2523" t="s">
        <v>25</v>
      </c>
      <c r="F2523" t="s">
        <v>14</v>
      </c>
      <c r="G2523" t="s">
        <v>20</v>
      </c>
      <c r="H2523" s="2">
        <v>31823</v>
      </c>
      <c r="I2523" s="2">
        <v>0</v>
      </c>
      <c r="J2523" s="2">
        <v>51897</v>
      </c>
      <c r="K2523" s="2">
        <v>112753</v>
      </c>
      <c r="L2523" s="2">
        <v>6</v>
      </c>
      <c r="M2523" t="str">
        <f>IF(Revv_bike_sales_data[[#This Row],[delivery_days]]&lt;=7, "Yes", "No")</f>
        <v>Yes</v>
      </c>
      <c r="N2523" t="s">
        <v>16</v>
      </c>
      <c r="O2523" s="2">
        <v>-60856</v>
      </c>
    </row>
    <row r="2524" spans="1:15" x14ac:dyDescent="0.3">
      <c r="A2524" s="2">
        <v>2514</v>
      </c>
      <c r="B2524" s="1">
        <v>45031.708333333336</v>
      </c>
      <c r="C2524" s="1" t="str">
        <f t="shared" si="78"/>
        <v>04-2023</v>
      </c>
      <c r="D2524" s="2">
        <f t="shared" si="79"/>
        <v>15</v>
      </c>
      <c r="E2524" t="s">
        <v>25</v>
      </c>
      <c r="F2524" t="s">
        <v>14</v>
      </c>
      <c r="G2524" t="s">
        <v>15</v>
      </c>
      <c r="H2524" s="2">
        <v>86832</v>
      </c>
      <c r="I2524" s="2">
        <v>9</v>
      </c>
      <c r="J2524" s="2">
        <v>126639</v>
      </c>
      <c r="K2524" s="2">
        <v>116762</v>
      </c>
      <c r="L2524" s="2">
        <v>3</v>
      </c>
      <c r="M2524" t="str">
        <f>IF(Revv_bike_sales_data[[#This Row],[delivery_days]]&lt;=7, "Yes", "No")</f>
        <v>Yes</v>
      </c>
      <c r="N2524" t="s">
        <v>16</v>
      </c>
      <c r="O2524" s="2">
        <v>9877</v>
      </c>
    </row>
    <row r="2525" spans="1:15" x14ac:dyDescent="0.3">
      <c r="A2525" s="2">
        <v>2515</v>
      </c>
      <c r="B2525" s="1">
        <v>45031.75</v>
      </c>
      <c r="C2525" s="1" t="str">
        <f t="shared" si="78"/>
        <v>04-2023</v>
      </c>
      <c r="D2525" s="2">
        <f t="shared" si="79"/>
        <v>15</v>
      </c>
      <c r="E2525" t="s">
        <v>13</v>
      </c>
      <c r="F2525" t="s">
        <v>14</v>
      </c>
      <c r="G2525" t="s">
        <v>15</v>
      </c>
      <c r="H2525" s="2">
        <v>95105</v>
      </c>
      <c r="I2525" s="2">
        <v>8</v>
      </c>
      <c r="J2525" s="2">
        <v>138849</v>
      </c>
      <c r="K2525" s="2">
        <v>108468</v>
      </c>
      <c r="L2525" s="2">
        <v>1</v>
      </c>
      <c r="M2525" t="str">
        <f>IF(Revv_bike_sales_data[[#This Row],[delivery_days]]&lt;=7, "Yes", "No")</f>
        <v>Yes</v>
      </c>
      <c r="N2525" t="s">
        <v>16</v>
      </c>
      <c r="O2525" s="2">
        <v>30381</v>
      </c>
    </row>
    <row r="2526" spans="1:15" x14ac:dyDescent="0.3">
      <c r="A2526" s="2">
        <v>2516</v>
      </c>
      <c r="B2526" s="1">
        <v>45031.791666666664</v>
      </c>
      <c r="C2526" s="1" t="str">
        <f t="shared" si="78"/>
        <v>04-2023</v>
      </c>
      <c r="D2526" s="2">
        <f t="shared" si="79"/>
        <v>15</v>
      </c>
      <c r="E2526" t="s">
        <v>25</v>
      </c>
      <c r="F2526" t="s">
        <v>14</v>
      </c>
      <c r="G2526" t="s">
        <v>20</v>
      </c>
      <c r="H2526" s="2">
        <v>87863</v>
      </c>
      <c r="I2526" s="2">
        <v>1</v>
      </c>
      <c r="J2526" s="2">
        <v>136118</v>
      </c>
      <c r="K2526" s="2">
        <v>136281</v>
      </c>
      <c r="L2526" s="2">
        <v>12</v>
      </c>
      <c r="M2526" t="str">
        <f>IF(Revv_bike_sales_data[[#This Row],[delivery_days]]&lt;=7, "Yes", "No")</f>
        <v>No</v>
      </c>
      <c r="N2526" t="s">
        <v>16</v>
      </c>
      <c r="O2526" s="2">
        <v>-163</v>
      </c>
    </row>
    <row r="2527" spans="1:15" x14ac:dyDescent="0.3">
      <c r="A2527" s="2">
        <v>2517</v>
      </c>
      <c r="B2527" s="1">
        <v>45031.833333333336</v>
      </c>
      <c r="C2527" s="1" t="str">
        <f t="shared" si="78"/>
        <v>04-2023</v>
      </c>
      <c r="D2527" s="2">
        <f t="shared" si="79"/>
        <v>15</v>
      </c>
      <c r="E2527" t="s">
        <v>13</v>
      </c>
      <c r="F2527" t="s">
        <v>14</v>
      </c>
      <c r="G2527" t="s">
        <v>19</v>
      </c>
      <c r="H2527" s="2">
        <v>35861</v>
      </c>
      <c r="I2527" s="2">
        <v>2</v>
      </c>
      <c r="J2527" s="2">
        <v>82320</v>
      </c>
      <c r="K2527" s="2">
        <v>123863</v>
      </c>
      <c r="L2527" s="2">
        <v>12</v>
      </c>
      <c r="M2527" t="str">
        <f>IF(Revv_bike_sales_data[[#This Row],[delivery_days]]&lt;=7, "Yes", "No")</f>
        <v>No</v>
      </c>
      <c r="N2527" t="s">
        <v>16</v>
      </c>
      <c r="O2527" s="2">
        <v>-41543</v>
      </c>
    </row>
    <row r="2528" spans="1:15" x14ac:dyDescent="0.3">
      <c r="A2528" s="2">
        <v>2518</v>
      </c>
      <c r="B2528" s="1">
        <v>45031.875</v>
      </c>
      <c r="C2528" s="1" t="str">
        <f t="shared" si="78"/>
        <v>04-2023</v>
      </c>
      <c r="D2528" s="2">
        <f t="shared" si="79"/>
        <v>15</v>
      </c>
      <c r="E2528" t="s">
        <v>13</v>
      </c>
      <c r="F2528" t="s">
        <v>14</v>
      </c>
      <c r="G2528" t="s">
        <v>19</v>
      </c>
      <c r="H2528" s="2">
        <v>10815</v>
      </c>
      <c r="I2528" s="2">
        <v>1</v>
      </c>
      <c r="J2528" s="2">
        <v>93289</v>
      </c>
      <c r="K2528" s="2">
        <v>45875</v>
      </c>
      <c r="L2528" s="2">
        <v>4</v>
      </c>
      <c r="M2528" t="str">
        <f>IF(Revv_bike_sales_data[[#This Row],[delivery_days]]&lt;=7, "Yes", "No")</f>
        <v>Yes</v>
      </c>
      <c r="N2528" t="s">
        <v>16</v>
      </c>
      <c r="O2528" s="2">
        <v>47414</v>
      </c>
    </row>
    <row r="2529" spans="1:15" x14ac:dyDescent="0.3">
      <c r="A2529" s="2">
        <v>2519</v>
      </c>
      <c r="B2529" s="1">
        <v>45031.916666666664</v>
      </c>
      <c r="C2529" s="1" t="str">
        <f t="shared" si="78"/>
        <v>04-2023</v>
      </c>
      <c r="D2529" s="2">
        <f t="shared" si="79"/>
        <v>15</v>
      </c>
      <c r="E2529" t="s">
        <v>13</v>
      </c>
      <c r="F2529" t="s">
        <v>14</v>
      </c>
      <c r="G2529" t="s">
        <v>21</v>
      </c>
      <c r="H2529" s="2">
        <v>48468</v>
      </c>
      <c r="I2529" s="2">
        <v>7</v>
      </c>
      <c r="J2529" s="2">
        <v>56941</v>
      </c>
      <c r="K2529" s="2">
        <v>40046</v>
      </c>
      <c r="L2529" s="2">
        <v>4</v>
      </c>
      <c r="M2529" t="str">
        <f>IF(Revv_bike_sales_data[[#This Row],[delivery_days]]&lt;=7, "Yes", "No")</f>
        <v>Yes</v>
      </c>
      <c r="N2529" t="s">
        <v>16</v>
      </c>
      <c r="O2529" s="2">
        <v>16895</v>
      </c>
    </row>
    <row r="2530" spans="1:15" x14ac:dyDescent="0.3">
      <c r="A2530" s="2">
        <v>2520</v>
      </c>
      <c r="B2530" s="1">
        <v>45031.958333333336</v>
      </c>
      <c r="C2530" s="1" t="str">
        <f t="shared" si="78"/>
        <v>04-2023</v>
      </c>
      <c r="D2530" s="2">
        <f t="shared" si="79"/>
        <v>15</v>
      </c>
      <c r="E2530" t="s">
        <v>25</v>
      </c>
      <c r="F2530" t="s">
        <v>14</v>
      </c>
      <c r="G2530" t="s">
        <v>19</v>
      </c>
      <c r="H2530" s="2">
        <v>27019</v>
      </c>
      <c r="I2530" s="2">
        <v>1</v>
      </c>
      <c r="J2530" s="2">
        <v>170306</v>
      </c>
      <c r="K2530" s="2">
        <v>38664</v>
      </c>
      <c r="L2530" s="2">
        <v>13</v>
      </c>
      <c r="M2530" t="str">
        <f>IF(Revv_bike_sales_data[[#This Row],[delivery_days]]&lt;=7, "Yes", "No")</f>
        <v>No</v>
      </c>
      <c r="N2530" t="s">
        <v>16</v>
      </c>
      <c r="O2530" s="2">
        <v>131642</v>
      </c>
    </row>
    <row r="2531" spans="1:15" x14ac:dyDescent="0.3">
      <c r="A2531" s="2">
        <v>2521</v>
      </c>
      <c r="B2531" s="1">
        <v>45032</v>
      </c>
      <c r="C2531" s="1" t="str">
        <f t="shared" si="78"/>
        <v>04-2023</v>
      </c>
      <c r="D2531" s="2">
        <f t="shared" si="79"/>
        <v>16</v>
      </c>
      <c r="E2531" t="s">
        <v>13</v>
      </c>
      <c r="F2531" t="s">
        <v>14</v>
      </c>
      <c r="G2531" t="s">
        <v>21</v>
      </c>
      <c r="H2531" s="2">
        <v>9607</v>
      </c>
      <c r="I2531" s="2">
        <v>9</v>
      </c>
      <c r="J2531" s="2">
        <v>100172</v>
      </c>
      <c r="K2531" s="2">
        <v>39453</v>
      </c>
      <c r="L2531" s="2">
        <v>8</v>
      </c>
      <c r="M2531" t="str">
        <f>IF(Revv_bike_sales_data[[#This Row],[delivery_days]]&lt;=7, "Yes", "No")</f>
        <v>No</v>
      </c>
      <c r="N2531" t="s">
        <v>16</v>
      </c>
      <c r="O2531" s="2">
        <v>60719</v>
      </c>
    </row>
    <row r="2532" spans="1:15" x14ac:dyDescent="0.3">
      <c r="A2532" s="2">
        <v>2522</v>
      </c>
      <c r="B2532" s="1">
        <v>45032.041666666664</v>
      </c>
      <c r="C2532" s="1" t="str">
        <f t="shared" si="78"/>
        <v>04-2023</v>
      </c>
      <c r="D2532" s="2">
        <f t="shared" si="79"/>
        <v>16</v>
      </c>
      <c r="E2532" t="s">
        <v>25</v>
      </c>
      <c r="F2532" t="s">
        <v>14</v>
      </c>
      <c r="G2532" t="s">
        <v>15</v>
      </c>
      <c r="H2532" s="2">
        <v>56281</v>
      </c>
      <c r="I2532" s="2">
        <v>1</v>
      </c>
      <c r="J2532" s="2">
        <v>28376</v>
      </c>
      <c r="K2532" s="2">
        <v>19746</v>
      </c>
      <c r="L2532" s="2">
        <v>10</v>
      </c>
      <c r="M2532" t="str">
        <f>IF(Revv_bike_sales_data[[#This Row],[delivery_days]]&lt;=7, "Yes", "No")</f>
        <v>No</v>
      </c>
      <c r="N2532" t="s">
        <v>16</v>
      </c>
      <c r="O2532" s="2">
        <v>8630</v>
      </c>
    </row>
    <row r="2533" spans="1:15" x14ac:dyDescent="0.3">
      <c r="A2533" s="2">
        <v>2523</v>
      </c>
      <c r="B2533" s="1">
        <v>45032.083333333336</v>
      </c>
      <c r="C2533" s="1" t="str">
        <f t="shared" si="78"/>
        <v>04-2023</v>
      </c>
      <c r="D2533" s="2">
        <f t="shared" si="79"/>
        <v>16</v>
      </c>
      <c r="E2533" t="s">
        <v>13</v>
      </c>
      <c r="F2533" t="s">
        <v>14</v>
      </c>
      <c r="G2533" t="s">
        <v>15</v>
      </c>
      <c r="H2533" s="2">
        <v>4369</v>
      </c>
      <c r="I2533" s="2">
        <v>0</v>
      </c>
      <c r="J2533" s="2">
        <v>55783</v>
      </c>
      <c r="K2533" s="2">
        <v>104509</v>
      </c>
      <c r="L2533" s="2">
        <v>10</v>
      </c>
      <c r="M2533" t="str">
        <f>IF(Revv_bike_sales_data[[#This Row],[delivery_days]]&lt;=7, "Yes", "No")</f>
        <v>No</v>
      </c>
      <c r="N2533" t="s">
        <v>16</v>
      </c>
      <c r="O2533" s="2">
        <v>-48726</v>
      </c>
    </row>
    <row r="2534" spans="1:15" x14ac:dyDescent="0.3">
      <c r="A2534" s="2">
        <v>2524</v>
      </c>
      <c r="B2534" s="1">
        <v>45032.125</v>
      </c>
      <c r="C2534" s="1" t="str">
        <f t="shared" si="78"/>
        <v>04-2023</v>
      </c>
      <c r="D2534" s="2">
        <f t="shared" si="79"/>
        <v>16</v>
      </c>
      <c r="E2534" t="s">
        <v>17</v>
      </c>
      <c r="F2534" t="s">
        <v>14</v>
      </c>
      <c r="G2534" t="s">
        <v>19</v>
      </c>
      <c r="H2534" s="2">
        <v>81483</v>
      </c>
      <c r="I2534" s="2">
        <v>6</v>
      </c>
      <c r="J2534" s="2">
        <v>68025</v>
      </c>
      <c r="K2534" s="2">
        <v>138765</v>
      </c>
      <c r="L2534" s="2">
        <v>14</v>
      </c>
      <c r="M2534" t="str">
        <f>IF(Revv_bike_sales_data[[#This Row],[delivery_days]]&lt;=7, "Yes", "No")</f>
        <v>No</v>
      </c>
      <c r="N2534" t="s">
        <v>16</v>
      </c>
      <c r="O2534" s="2">
        <v>-70740</v>
      </c>
    </row>
    <row r="2535" spans="1:15" x14ac:dyDescent="0.3">
      <c r="A2535" s="2">
        <v>2525</v>
      </c>
      <c r="B2535" s="1">
        <v>45032.166666666664</v>
      </c>
      <c r="C2535" s="1" t="str">
        <f t="shared" si="78"/>
        <v>04-2023</v>
      </c>
      <c r="D2535" s="2">
        <f t="shared" si="79"/>
        <v>16</v>
      </c>
      <c r="E2535" t="s">
        <v>13</v>
      </c>
      <c r="F2535" t="s">
        <v>14</v>
      </c>
      <c r="G2535" t="s">
        <v>15</v>
      </c>
      <c r="H2535" s="2">
        <v>27870</v>
      </c>
      <c r="I2535" s="2">
        <v>1</v>
      </c>
      <c r="J2535" s="2">
        <v>41447</v>
      </c>
      <c r="K2535" s="2">
        <v>28217</v>
      </c>
      <c r="L2535" s="2">
        <v>13</v>
      </c>
      <c r="M2535" t="str">
        <f>IF(Revv_bike_sales_data[[#This Row],[delivery_days]]&lt;=7, "Yes", "No")</f>
        <v>No</v>
      </c>
      <c r="N2535" t="s">
        <v>16</v>
      </c>
      <c r="O2535" s="2">
        <v>13230</v>
      </c>
    </row>
    <row r="2536" spans="1:15" x14ac:dyDescent="0.3">
      <c r="A2536" s="2">
        <v>2526</v>
      </c>
      <c r="B2536" s="1">
        <v>45032.208333333336</v>
      </c>
      <c r="C2536" s="1" t="str">
        <f t="shared" si="78"/>
        <v>04-2023</v>
      </c>
      <c r="D2536" s="2">
        <f t="shared" si="79"/>
        <v>16</v>
      </c>
      <c r="E2536" t="s">
        <v>22</v>
      </c>
      <c r="F2536" t="s">
        <v>23</v>
      </c>
      <c r="G2536" t="s">
        <v>20</v>
      </c>
      <c r="H2536" s="2">
        <v>63195</v>
      </c>
      <c r="I2536" s="2">
        <v>9</v>
      </c>
      <c r="J2536" s="2">
        <v>41713</v>
      </c>
      <c r="K2536" s="2">
        <v>78184</v>
      </c>
      <c r="L2536" s="2">
        <v>7</v>
      </c>
      <c r="M2536" t="str">
        <f>IF(Revv_bike_sales_data[[#This Row],[delivery_days]]&lt;=7, "Yes", "No")</f>
        <v>Yes</v>
      </c>
      <c r="N2536" t="s">
        <v>16</v>
      </c>
      <c r="O2536" s="2">
        <v>-36471</v>
      </c>
    </row>
    <row r="2537" spans="1:15" x14ac:dyDescent="0.3">
      <c r="A2537" s="2">
        <v>2527</v>
      </c>
      <c r="B2537" s="1">
        <v>45032.25</v>
      </c>
      <c r="C2537" s="1" t="str">
        <f t="shared" si="78"/>
        <v>04-2023</v>
      </c>
      <c r="D2537" s="2">
        <f t="shared" si="79"/>
        <v>16</v>
      </c>
      <c r="E2537" t="s">
        <v>13</v>
      </c>
      <c r="F2537" t="s">
        <v>14</v>
      </c>
      <c r="G2537" t="s">
        <v>20</v>
      </c>
      <c r="H2537" s="2">
        <v>60922</v>
      </c>
      <c r="I2537" s="2">
        <v>4</v>
      </c>
      <c r="J2537" s="2">
        <v>153869</v>
      </c>
      <c r="K2537" s="2">
        <v>103898</v>
      </c>
      <c r="L2537" s="2">
        <v>10</v>
      </c>
      <c r="M2537" t="str">
        <f>IF(Revv_bike_sales_data[[#This Row],[delivery_days]]&lt;=7, "Yes", "No")</f>
        <v>No</v>
      </c>
      <c r="N2537" t="s">
        <v>16</v>
      </c>
      <c r="O2537" s="2">
        <v>49971</v>
      </c>
    </row>
    <row r="2538" spans="1:15" x14ac:dyDescent="0.3">
      <c r="A2538" s="2">
        <v>2528</v>
      </c>
      <c r="B2538" s="1">
        <v>45032.291666666664</v>
      </c>
      <c r="C2538" s="1" t="str">
        <f t="shared" si="78"/>
        <v>04-2023</v>
      </c>
      <c r="D2538" s="2">
        <f t="shared" si="79"/>
        <v>16</v>
      </c>
      <c r="E2538" t="s">
        <v>18</v>
      </c>
      <c r="F2538" t="s">
        <v>14</v>
      </c>
      <c r="G2538" t="s">
        <v>19</v>
      </c>
      <c r="H2538" s="2">
        <v>8471</v>
      </c>
      <c r="I2538" s="2">
        <v>4</v>
      </c>
      <c r="J2538" s="2">
        <v>29858</v>
      </c>
      <c r="K2538" s="2">
        <v>56835</v>
      </c>
      <c r="L2538" s="2">
        <v>7</v>
      </c>
      <c r="M2538" t="str">
        <f>IF(Revv_bike_sales_data[[#This Row],[delivery_days]]&lt;=7, "Yes", "No")</f>
        <v>Yes</v>
      </c>
      <c r="N2538" t="s">
        <v>16</v>
      </c>
      <c r="O2538" s="2">
        <v>-26977</v>
      </c>
    </row>
    <row r="2539" spans="1:15" x14ac:dyDescent="0.3">
      <c r="A2539" s="2">
        <v>2529</v>
      </c>
      <c r="B2539" s="1">
        <v>45032.333333333336</v>
      </c>
      <c r="C2539" s="1" t="str">
        <f t="shared" si="78"/>
        <v>04-2023</v>
      </c>
      <c r="D2539" s="2">
        <f t="shared" si="79"/>
        <v>16</v>
      </c>
      <c r="E2539" t="s">
        <v>13</v>
      </c>
      <c r="F2539" t="s">
        <v>14</v>
      </c>
      <c r="G2539" t="s">
        <v>19</v>
      </c>
      <c r="H2539" s="2">
        <v>97305</v>
      </c>
      <c r="I2539" s="2">
        <v>2</v>
      </c>
      <c r="J2539" s="2">
        <v>84834</v>
      </c>
      <c r="K2539" s="2">
        <v>24133</v>
      </c>
      <c r="L2539" s="2">
        <v>7</v>
      </c>
      <c r="M2539" t="str">
        <f>IF(Revv_bike_sales_data[[#This Row],[delivery_days]]&lt;=7, "Yes", "No")</f>
        <v>Yes</v>
      </c>
      <c r="N2539" t="s">
        <v>24</v>
      </c>
      <c r="O2539" s="2">
        <v>60701</v>
      </c>
    </row>
    <row r="2540" spans="1:15" x14ac:dyDescent="0.3">
      <c r="A2540" s="2">
        <v>2530</v>
      </c>
      <c r="B2540" s="1">
        <v>45032.375</v>
      </c>
      <c r="C2540" s="1" t="str">
        <f t="shared" si="78"/>
        <v>04-2023</v>
      </c>
      <c r="D2540" s="2">
        <f t="shared" si="79"/>
        <v>16</v>
      </c>
      <c r="E2540" t="s">
        <v>22</v>
      </c>
      <c r="F2540" t="s">
        <v>14</v>
      </c>
      <c r="G2540" t="s">
        <v>21</v>
      </c>
      <c r="H2540" s="2">
        <v>26151</v>
      </c>
      <c r="I2540" s="2">
        <v>2</v>
      </c>
      <c r="J2540" s="2">
        <v>107060</v>
      </c>
      <c r="K2540" s="2">
        <v>116345</v>
      </c>
      <c r="L2540" s="2">
        <v>12</v>
      </c>
      <c r="M2540" t="str">
        <f>IF(Revv_bike_sales_data[[#This Row],[delivery_days]]&lt;=7, "Yes", "No")</f>
        <v>No</v>
      </c>
      <c r="N2540" t="s">
        <v>16</v>
      </c>
      <c r="O2540" s="2">
        <v>-9285</v>
      </c>
    </row>
    <row r="2541" spans="1:15" x14ac:dyDescent="0.3">
      <c r="A2541" s="2">
        <v>2531</v>
      </c>
      <c r="B2541" s="1">
        <v>45032.416666666664</v>
      </c>
      <c r="C2541" s="1" t="str">
        <f t="shared" si="78"/>
        <v>04-2023</v>
      </c>
      <c r="D2541" s="2">
        <f t="shared" si="79"/>
        <v>16</v>
      </c>
      <c r="E2541" t="s">
        <v>22</v>
      </c>
      <c r="F2541" t="s">
        <v>23</v>
      </c>
      <c r="G2541" t="s">
        <v>15</v>
      </c>
      <c r="H2541" s="2">
        <v>57474</v>
      </c>
      <c r="I2541" s="2">
        <v>2</v>
      </c>
      <c r="J2541" s="2">
        <v>160611</v>
      </c>
      <c r="K2541" s="2">
        <v>55533</v>
      </c>
      <c r="L2541" s="2">
        <v>2</v>
      </c>
      <c r="M2541" t="str">
        <f>IF(Revv_bike_sales_data[[#This Row],[delivery_days]]&lt;=7, "Yes", "No")</f>
        <v>Yes</v>
      </c>
      <c r="N2541" t="s">
        <v>16</v>
      </c>
      <c r="O2541" s="2">
        <v>105078</v>
      </c>
    </row>
    <row r="2542" spans="1:15" x14ac:dyDescent="0.3">
      <c r="A2542" s="2">
        <v>2532</v>
      </c>
      <c r="B2542" s="1">
        <v>45032.458333333336</v>
      </c>
      <c r="C2542" s="1" t="str">
        <f t="shared" si="78"/>
        <v>04-2023</v>
      </c>
      <c r="D2542" s="2">
        <f t="shared" si="79"/>
        <v>16</v>
      </c>
      <c r="E2542" t="s">
        <v>25</v>
      </c>
      <c r="F2542" t="s">
        <v>14</v>
      </c>
      <c r="G2542" t="s">
        <v>21</v>
      </c>
      <c r="H2542" s="2">
        <v>23946</v>
      </c>
      <c r="I2542" s="2">
        <v>5</v>
      </c>
      <c r="J2542" s="2">
        <v>174929</v>
      </c>
      <c r="K2542" s="2">
        <v>20404</v>
      </c>
      <c r="L2542" s="2">
        <v>9</v>
      </c>
      <c r="M2542" t="str">
        <f>IF(Revv_bike_sales_data[[#This Row],[delivery_days]]&lt;=7, "Yes", "No")</f>
        <v>No</v>
      </c>
      <c r="N2542" t="s">
        <v>16</v>
      </c>
      <c r="O2542" s="2">
        <v>154525</v>
      </c>
    </row>
    <row r="2543" spans="1:15" x14ac:dyDescent="0.3">
      <c r="A2543" s="2">
        <v>2533</v>
      </c>
      <c r="B2543" s="1">
        <v>45032.5</v>
      </c>
      <c r="C2543" s="1" t="str">
        <f t="shared" si="78"/>
        <v>04-2023</v>
      </c>
      <c r="D2543" s="2">
        <f t="shared" si="79"/>
        <v>16</v>
      </c>
      <c r="E2543" t="s">
        <v>17</v>
      </c>
      <c r="F2543" t="s">
        <v>23</v>
      </c>
      <c r="G2543" t="s">
        <v>21</v>
      </c>
      <c r="H2543" s="2">
        <v>38608</v>
      </c>
      <c r="I2543" s="2">
        <v>3</v>
      </c>
      <c r="J2543" s="2">
        <v>128898</v>
      </c>
      <c r="K2543" s="2">
        <v>48339</v>
      </c>
      <c r="L2543" s="2">
        <v>6</v>
      </c>
      <c r="M2543" t="str">
        <f>IF(Revv_bike_sales_data[[#This Row],[delivery_days]]&lt;=7, "Yes", "No")</f>
        <v>Yes</v>
      </c>
      <c r="N2543" t="s">
        <v>16</v>
      </c>
      <c r="O2543" s="2">
        <v>80559</v>
      </c>
    </row>
    <row r="2544" spans="1:15" x14ac:dyDescent="0.3">
      <c r="A2544" s="2">
        <v>2534</v>
      </c>
      <c r="B2544" s="1">
        <v>45032.541666666664</v>
      </c>
      <c r="C2544" s="1" t="str">
        <f t="shared" si="78"/>
        <v>04-2023</v>
      </c>
      <c r="D2544" s="2">
        <f t="shared" si="79"/>
        <v>16</v>
      </c>
      <c r="E2544" t="s">
        <v>13</v>
      </c>
      <c r="F2544" t="s">
        <v>14</v>
      </c>
      <c r="G2544" t="s">
        <v>20</v>
      </c>
      <c r="H2544" s="2">
        <v>75679</v>
      </c>
      <c r="I2544" s="2">
        <v>2</v>
      </c>
      <c r="J2544" s="2">
        <v>127207</v>
      </c>
      <c r="K2544" s="2">
        <v>43725</v>
      </c>
      <c r="L2544" s="2">
        <v>2</v>
      </c>
      <c r="M2544" t="str">
        <f>IF(Revv_bike_sales_data[[#This Row],[delivery_days]]&lt;=7, "Yes", "No")</f>
        <v>Yes</v>
      </c>
      <c r="N2544" t="s">
        <v>24</v>
      </c>
      <c r="O2544" s="2">
        <v>83482</v>
      </c>
    </row>
    <row r="2545" spans="1:15" x14ac:dyDescent="0.3">
      <c r="A2545" s="2">
        <v>2535</v>
      </c>
      <c r="B2545" s="1">
        <v>45032.583333333336</v>
      </c>
      <c r="C2545" s="1" t="str">
        <f t="shared" si="78"/>
        <v>04-2023</v>
      </c>
      <c r="D2545" s="2">
        <f t="shared" si="79"/>
        <v>16</v>
      </c>
      <c r="E2545" t="s">
        <v>25</v>
      </c>
      <c r="F2545" t="s">
        <v>14</v>
      </c>
      <c r="G2545" t="s">
        <v>20</v>
      </c>
      <c r="H2545" s="2">
        <v>4323</v>
      </c>
      <c r="I2545" s="2">
        <v>1</v>
      </c>
      <c r="J2545" s="2">
        <v>161436</v>
      </c>
      <c r="K2545" s="2">
        <v>89332</v>
      </c>
      <c r="L2545" s="2">
        <v>1</v>
      </c>
      <c r="M2545" t="str">
        <f>IF(Revv_bike_sales_data[[#This Row],[delivery_days]]&lt;=7, "Yes", "No")</f>
        <v>Yes</v>
      </c>
      <c r="N2545" t="s">
        <v>16</v>
      </c>
      <c r="O2545" s="2">
        <v>72104</v>
      </c>
    </row>
    <row r="2546" spans="1:15" x14ac:dyDescent="0.3">
      <c r="A2546" s="2">
        <v>2536</v>
      </c>
      <c r="B2546" s="1">
        <v>45032.625</v>
      </c>
      <c r="C2546" s="1" t="str">
        <f t="shared" si="78"/>
        <v>04-2023</v>
      </c>
      <c r="D2546" s="2">
        <f t="shared" si="79"/>
        <v>16</v>
      </c>
      <c r="E2546" t="s">
        <v>17</v>
      </c>
      <c r="F2546" t="s">
        <v>14</v>
      </c>
      <c r="G2546" t="s">
        <v>20</v>
      </c>
      <c r="H2546" s="2">
        <v>13954</v>
      </c>
      <c r="I2546" s="2">
        <v>2</v>
      </c>
      <c r="J2546" s="2">
        <v>111366</v>
      </c>
      <c r="K2546" s="2">
        <v>60380</v>
      </c>
      <c r="L2546" s="2">
        <v>11</v>
      </c>
      <c r="M2546" t="str">
        <f>IF(Revv_bike_sales_data[[#This Row],[delivery_days]]&lt;=7, "Yes", "No")</f>
        <v>No</v>
      </c>
      <c r="N2546" t="s">
        <v>16</v>
      </c>
      <c r="O2546" s="2">
        <v>50986</v>
      </c>
    </row>
    <row r="2547" spans="1:15" x14ac:dyDescent="0.3">
      <c r="A2547" s="2">
        <v>2537</v>
      </c>
      <c r="B2547" s="1">
        <v>45032.666666666664</v>
      </c>
      <c r="C2547" s="1" t="str">
        <f t="shared" si="78"/>
        <v>04-2023</v>
      </c>
      <c r="D2547" s="2">
        <f t="shared" si="79"/>
        <v>16</v>
      </c>
      <c r="E2547" t="s">
        <v>13</v>
      </c>
      <c r="F2547" t="s">
        <v>23</v>
      </c>
      <c r="G2547" t="s">
        <v>20</v>
      </c>
      <c r="H2547" s="2">
        <v>4432</v>
      </c>
      <c r="I2547" s="2">
        <v>3</v>
      </c>
      <c r="J2547" s="2">
        <v>177150</v>
      </c>
      <c r="K2547" s="2">
        <v>63073</v>
      </c>
      <c r="L2547" s="2">
        <v>1</v>
      </c>
      <c r="M2547" t="str">
        <f>IF(Revv_bike_sales_data[[#This Row],[delivery_days]]&lt;=7, "Yes", "No")</f>
        <v>Yes</v>
      </c>
      <c r="N2547" t="s">
        <v>16</v>
      </c>
      <c r="O2547" s="2">
        <v>114077</v>
      </c>
    </row>
    <row r="2548" spans="1:15" x14ac:dyDescent="0.3">
      <c r="A2548" s="2">
        <v>2538</v>
      </c>
      <c r="B2548" s="1">
        <v>45032.708333333336</v>
      </c>
      <c r="C2548" s="1" t="str">
        <f t="shared" si="78"/>
        <v>04-2023</v>
      </c>
      <c r="D2548" s="2">
        <f t="shared" si="79"/>
        <v>16</v>
      </c>
      <c r="E2548" t="s">
        <v>18</v>
      </c>
      <c r="F2548" t="s">
        <v>14</v>
      </c>
      <c r="G2548" t="s">
        <v>21</v>
      </c>
      <c r="H2548" s="2">
        <v>10720</v>
      </c>
      <c r="I2548" s="2">
        <v>5</v>
      </c>
      <c r="J2548" s="2">
        <v>25869</v>
      </c>
      <c r="K2548" s="2">
        <v>75873</v>
      </c>
      <c r="L2548" s="2">
        <v>1</v>
      </c>
      <c r="M2548" t="str">
        <f>IF(Revv_bike_sales_data[[#This Row],[delivery_days]]&lt;=7, "Yes", "No")</f>
        <v>Yes</v>
      </c>
      <c r="N2548" t="s">
        <v>16</v>
      </c>
      <c r="O2548" s="2">
        <v>-50004</v>
      </c>
    </row>
    <row r="2549" spans="1:15" x14ac:dyDescent="0.3">
      <c r="A2549" s="2">
        <v>2539</v>
      </c>
      <c r="B2549" s="1">
        <v>45032.75</v>
      </c>
      <c r="C2549" s="1" t="str">
        <f t="shared" si="78"/>
        <v>04-2023</v>
      </c>
      <c r="D2549" s="2">
        <f t="shared" si="79"/>
        <v>16</v>
      </c>
      <c r="E2549" t="s">
        <v>13</v>
      </c>
      <c r="F2549" t="s">
        <v>14</v>
      </c>
      <c r="G2549" t="s">
        <v>20</v>
      </c>
      <c r="H2549" s="2">
        <v>74590</v>
      </c>
      <c r="I2549" s="2">
        <v>3</v>
      </c>
      <c r="J2549" s="2">
        <v>87624</v>
      </c>
      <c r="K2549" s="2">
        <v>101900</v>
      </c>
      <c r="L2549" s="2">
        <v>4</v>
      </c>
      <c r="M2549" t="str">
        <f>IF(Revv_bike_sales_data[[#This Row],[delivery_days]]&lt;=7, "Yes", "No")</f>
        <v>Yes</v>
      </c>
      <c r="N2549" t="s">
        <v>16</v>
      </c>
      <c r="O2549" s="2">
        <v>-14276</v>
      </c>
    </row>
    <row r="2550" spans="1:15" x14ac:dyDescent="0.3">
      <c r="A2550" s="2">
        <v>2540</v>
      </c>
      <c r="B2550" s="1">
        <v>45032.791666666664</v>
      </c>
      <c r="C2550" s="1" t="str">
        <f t="shared" si="78"/>
        <v>04-2023</v>
      </c>
      <c r="D2550" s="2">
        <f t="shared" si="79"/>
        <v>16</v>
      </c>
      <c r="E2550" t="s">
        <v>22</v>
      </c>
      <c r="F2550" t="s">
        <v>14</v>
      </c>
      <c r="G2550" t="s">
        <v>15</v>
      </c>
      <c r="H2550" s="2">
        <v>68465</v>
      </c>
      <c r="I2550" s="2">
        <v>7</v>
      </c>
      <c r="J2550" s="2">
        <v>118676</v>
      </c>
      <c r="K2550" s="2">
        <v>56341</v>
      </c>
      <c r="L2550" s="2">
        <v>4</v>
      </c>
      <c r="M2550" t="str">
        <f>IF(Revv_bike_sales_data[[#This Row],[delivery_days]]&lt;=7, "Yes", "No")</f>
        <v>Yes</v>
      </c>
      <c r="N2550" t="s">
        <v>24</v>
      </c>
      <c r="O2550" s="2">
        <v>62335</v>
      </c>
    </row>
    <row r="2551" spans="1:15" x14ac:dyDescent="0.3">
      <c r="A2551" s="2">
        <v>2541</v>
      </c>
      <c r="B2551" s="1">
        <v>45032.833333333336</v>
      </c>
      <c r="C2551" s="1" t="str">
        <f t="shared" si="78"/>
        <v>04-2023</v>
      </c>
      <c r="D2551" s="2">
        <f t="shared" si="79"/>
        <v>16</v>
      </c>
      <c r="E2551" t="s">
        <v>22</v>
      </c>
      <c r="F2551" t="s">
        <v>14</v>
      </c>
      <c r="G2551" t="s">
        <v>20</v>
      </c>
      <c r="H2551" s="2">
        <v>28708</v>
      </c>
      <c r="I2551" s="2">
        <v>2</v>
      </c>
      <c r="J2551" s="2">
        <v>28659</v>
      </c>
      <c r="K2551" s="2">
        <v>16236</v>
      </c>
      <c r="L2551" s="2">
        <v>14</v>
      </c>
      <c r="M2551" t="str">
        <f>IF(Revv_bike_sales_data[[#This Row],[delivery_days]]&lt;=7, "Yes", "No")</f>
        <v>No</v>
      </c>
      <c r="N2551" t="s">
        <v>16</v>
      </c>
      <c r="O2551" s="2">
        <v>12423</v>
      </c>
    </row>
    <row r="2552" spans="1:15" x14ac:dyDescent="0.3">
      <c r="A2552" s="2">
        <v>2542</v>
      </c>
      <c r="B2552" s="1">
        <v>45032.875</v>
      </c>
      <c r="C2552" s="1" t="str">
        <f t="shared" si="78"/>
        <v>04-2023</v>
      </c>
      <c r="D2552" s="2">
        <f t="shared" si="79"/>
        <v>16</v>
      </c>
      <c r="E2552" t="s">
        <v>18</v>
      </c>
      <c r="F2552" t="s">
        <v>23</v>
      </c>
      <c r="G2552" t="s">
        <v>20</v>
      </c>
      <c r="H2552" s="2">
        <v>73480</v>
      </c>
      <c r="I2552" s="2">
        <v>2</v>
      </c>
      <c r="J2552" s="2">
        <v>131888</v>
      </c>
      <c r="K2552" s="2">
        <v>82916</v>
      </c>
      <c r="L2552" s="2">
        <v>12</v>
      </c>
      <c r="M2552" t="str">
        <f>IF(Revv_bike_sales_data[[#This Row],[delivery_days]]&lt;=7, "Yes", "No")</f>
        <v>No</v>
      </c>
      <c r="N2552" t="s">
        <v>16</v>
      </c>
      <c r="O2552" s="2">
        <v>48972</v>
      </c>
    </row>
    <row r="2553" spans="1:15" x14ac:dyDescent="0.3">
      <c r="A2553" s="2">
        <v>2543</v>
      </c>
      <c r="B2553" s="1">
        <v>45032.916666666664</v>
      </c>
      <c r="C2553" s="1" t="str">
        <f t="shared" si="78"/>
        <v>04-2023</v>
      </c>
      <c r="D2553" s="2">
        <f t="shared" si="79"/>
        <v>16</v>
      </c>
      <c r="E2553" t="s">
        <v>25</v>
      </c>
      <c r="F2553" t="s">
        <v>14</v>
      </c>
      <c r="G2553" t="s">
        <v>20</v>
      </c>
      <c r="H2553" s="2">
        <v>11010</v>
      </c>
      <c r="I2553" s="2">
        <v>2</v>
      </c>
      <c r="J2553" s="2">
        <v>83185</v>
      </c>
      <c r="K2553" s="2">
        <v>120481</v>
      </c>
      <c r="L2553" s="2">
        <v>9</v>
      </c>
      <c r="M2553" t="str">
        <f>IF(Revv_bike_sales_data[[#This Row],[delivery_days]]&lt;=7, "Yes", "No")</f>
        <v>No</v>
      </c>
      <c r="N2553" t="s">
        <v>16</v>
      </c>
      <c r="O2553" s="2">
        <v>-37296</v>
      </c>
    </row>
    <row r="2554" spans="1:15" x14ac:dyDescent="0.3">
      <c r="A2554" s="2">
        <v>2544</v>
      </c>
      <c r="B2554" s="1">
        <v>45032.958333333336</v>
      </c>
      <c r="C2554" s="1" t="str">
        <f t="shared" si="78"/>
        <v>04-2023</v>
      </c>
      <c r="D2554" s="2">
        <f t="shared" si="79"/>
        <v>16</v>
      </c>
      <c r="E2554" t="s">
        <v>17</v>
      </c>
      <c r="F2554" t="s">
        <v>14</v>
      </c>
      <c r="G2554" t="s">
        <v>19</v>
      </c>
      <c r="H2554" s="2">
        <v>44545</v>
      </c>
      <c r="I2554" s="2">
        <v>7</v>
      </c>
      <c r="J2554" s="2">
        <v>142136</v>
      </c>
      <c r="K2554" s="2">
        <v>29538</v>
      </c>
      <c r="L2554" s="2">
        <v>13</v>
      </c>
      <c r="M2554" t="str">
        <f>IF(Revv_bike_sales_data[[#This Row],[delivery_days]]&lt;=7, "Yes", "No")</f>
        <v>No</v>
      </c>
      <c r="N2554" t="s">
        <v>24</v>
      </c>
      <c r="O2554" s="2">
        <v>112598</v>
      </c>
    </row>
    <row r="2555" spans="1:15" x14ac:dyDescent="0.3">
      <c r="A2555" s="2">
        <v>2545</v>
      </c>
      <c r="B2555" s="1">
        <v>45033</v>
      </c>
      <c r="C2555" s="1" t="str">
        <f t="shared" si="78"/>
        <v>04-2023</v>
      </c>
      <c r="D2555" s="2">
        <f t="shared" si="79"/>
        <v>16</v>
      </c>
      <c r="E2555" t="s">
        <v>13</v>
      </c>
      <c r="F2555" t="s">
        <v>14</v>
      </c>
      <c r="G2555" t="s">
        <v>15</v>
      </c>
      <c r="H2555" s="2">
        <v>11037</v>
      </c>
      <c r="I2555" s="2">
        <v>3</v>
      </c>
      <c r="J2555" s="2">
        <v>87758</v>
      </c>
      <c r="K2555" s="2">
        <v>26971</v>
      </c>
      <c r="L2555" s="2">
        <v>12</v>
      </c>
      <c r="M2555" t="str">
        <f>IF(Revv_bike_sales_data[[#This Row],[delivery_days]]&lt;=7, "Yes", "No")</f>
        <v>No</v>
      </c>
      <c r="N2555" t="s">
        <v>16</v>
      </c>
      <c r="O2555" s="2">
        <v>60787</v>
      </c>
    </row>
    <row r="2556" spans="1:15" x14ac:dyDescent="0.3">
      <c r="A2556" s="2">
        <v>2546</v>
      </c>
      <c r="B2556" s="1">
        <v>45033.041666666664</v>
      </c>
      <c r="C2556" s="1" t="str">
        <f t="shared" si="78"/>
        <v>04-2023</v>
      </c>
      <c r="D2556" s="2">
        <f t="shared" si="79"/>
        <v>16</v>
      </c>
      <c r="E2556" t="s">
        <v>22</v>
      </c>
      <c r="F2556" t="s">
        <v>14</v>
      </c>
      <c r="G2556" t="s">
        <v>15</v>
      </c>
      <c r="H2556" s="2">
        <v>73183</v>
      </c>
      <c r="I2556" s="2">
        <v>0</v>
      </c>
      <c r="J2556" s="2">
        <v>161203</v>
      </c>
      <c r="K2556" s="2">
        <v>123601</v>
      </c>
      <c r="L2556" s="2">
        <v>12</v>
      </c>
      <c r="M2556" t="str">
        <f>IF(Revv_bike_sales_data[[#This Row],[delivery_days]]&lt;=7, "Yes", "No")</f>
        <v>No</v>
      </c>
      <c r="N2556" t="s">
        <v>16</v>
      </c>
      <c r="O2556" s="2">
        <v>37602</v>
      </c>
    </row>
    <row r="2557" spans="1:15" x14ac:dyDescent="0.3">
      <c r="A2557" s="2">
        <v>2547</v>
      </c>
      <c r="B2557" s="1">
        <v>45033.083333333336</v>
      </c>
      <c r="C2557" s="1" t="str">
        <f t="shared" si="78"/>
        <v>04-2023</v>
      </c>
      <c r="D2557" s="2">
        <f t="shared" si="79"/>
        <v>16</v>
      </c>
      <c r="E2557" t="s">
        <v>25</v>
      </c>
      <c r="F2557" t="s">
        <v>23</v>
      </c>
      <c r="G2557" t="s">
        <v>21</v>
      </c>
      <c r="H2557" s="2">
        <v>69634</v>
      </c>
      <c r="I2557" s="2">
        <v>1</v>
      </c>
      <c r="J2557" s="2">
        <v>157430</v>
      </c>
      <c r="K2557" s="2">
        <v>114821</v>
      </c>
      <c r="L2557" s="2">
        <v>1</v>
      </c>
      <c r="M2557" t="str">
        <f>IF(Revv_bike_sales_data[[#This Row],[delivery_days]]&lt;=7, "Yes", "No")</f>
        <v>Yes</v>
      </c>
      <c r="N2557" t="s">
        <v>16</v>
      </c>
      <c r="O2557" s="2">
        <v>42609</v>
      </c>
    </row>
    <row r="2558" spans="1:15" x14ac:dyDescent="0.3">
      <c r="A2558" s="2">
        <v>2548</v>
      </c>
      <c r="B2558" s="1">
        <v>45033.125</v>
      </c>
      <c r="C2558" s="1" t="str">
        <f t="shared" si="78"/>
        <v>04-2023</v>
      </c>
      <c r="D2558" s="2">
        <f t="shared" si="79"/>
        <v>16</v>
      </c>
      <c r="E2558" t="s">
        <v>18</v>
      </c>
      <c r="F2558" t="s">
        <v>14</v>
      </c>
      <c r="G2558" t="s">
        <v>21</v>
      </c>
      <c r="H2558" s="2">
        <v>72754</v>
      </c>
      <c r="I2558" s="2">
        <v>9</v>
      </c>
      <c r="J2558" s="2">
        <v>116150</v>
      </c>
      <c r="K2558" s="2">
        <v>98453</v>
      </c>
      <c r="L2558" s="2">
        <v>3</v>
      </c>
      <c r="M2558" t="str">
        <f>IF(Revv_bike_sales_data[[#This Row],[delivery_days]]&lt;=7, "Yes", "No")</f>
        <v>Yes</v>
      </c>
      <c r="N2558" t="s">
        <v>16</v>
      </c>
      <c r="O2558" s="2">
        <v>17697</v>
      </c>
    </row>
    <row r="2559" spans="1:15" x14ac:dyDescent="0.3">
      <c r="A2559" s="2">
        <v>2549</v>
      </c>
      <c r="B2559" s="1">
        <v>45033.166666666664</v>
      </c>
      <c r="C2559" s="1" t="str">
        <f t="shared" si="78"/>
        <v>04-2023</v>
      </c>
      <c r="D2559" s="2">
        <f t="shared" si="79"/>
        <v>16</v>
      </c>
      <c r="E2559" t="s">
        <v>22</v>
      </c>
      <c r="F2559" t="s">
        <v>14</v>
      </c>
      <c r="G2559" t="s">
        <v>20</v>
      </c>
      <c r="H2559" s="2">
        <v>14282</v>
      </c>
      <c r="I2559" s="2">
        <v>1</v>
      </c>
      <c r="J2559" s="2">
        <v>172318</v>
      </c>
      <c r="K2559" s="2">
        <v>53655</v>
      </c>
      <c r="L2559" s="2">
        <v>3</v>
      </c>
      <c r="M2559" t="str">
        <f>IF(Revv_bike_sales_data[[#This Row],[delivery_days]]&lt;=7, "Yes", "No")</f>
        <v>Yes</v>
      </c>
      <c r="N2559" t="s">
        <v>16</v>
      </c>
      <c r="O2559" s="2">
        <v>118663</v>
      </c>
    </row>
    <row r="2560" spans="1:15" x14ac:dyDescent="0.3">
      <c r="A2560" s="2">
        <v>2550</v>
      </c>
      <c r="B2560" s="1">
        <v>45033.208333333336</v>
      </c>
      <c r="C2560" s="1" t="str">
        <f t="shared" si="78"/>
        <v>04-2023</v>
      </c>
      <c r="D2560" s="2">
        <f t="shared" si="79"/>
        <v>16</v>
      </c>
      <c r="E2560" t="s">
        <v>18</v>
      </c>
      <c r="F2560" t="s">
        <v>23</v>
      </c>
      <c r="G2560" t="s">
        <v>19</v>
      </c>
      <c r="H2560" s="2">
        <v>66087</v>
      </c>
      <c r="I2560" s="2">
        <v>2</v>
      </c>
      <c r="J2560" s="2">
        <v>42216</v>
      </c>
      <c r="K2560" s="2">
        <v>92022</v>
      </c>
      <c r="L2560" s="2">
        <v>8</v>
      </c>
      <c r="M2560" t="str">
        <f>IF(Revv_bike_sales_data[[#This Row],[delivery_days]]&lt;=7, "Yes", "No")</f>
        <v>No</v>
      </c>
      <c r="N2560" t="s">
        <v>16</v>
      </c>
      <c r="O2560" s="2">
        <v>-49806</v>
      </c>
    </row>
    <row r="2561" spans="1:15" x14ac:dyDescent="0.3">
      <c r="A2561" s="2">
        <v>2551</v>
      </c>
      <c r="B2561" s="1">
        <v>45033.25</v>
      </c>
      <c r="C2561" s="1" t="str">
        <f t="shared" si="78"/>
        <v>04-2023</v>
      </c>
      <c r="D2561" s="2">
        <f t="shared" si="79"/>
        <v>16</v>
      </c>
      <c r="E2561" t="s">
        <v>13</v>
      </c>
      <c r="F2561" t="s">
        <v>14</v>
      </c>
      <c r="G2561" t="s">
        <v>21</v>
      </c>
      <c r="H2561" s="2">
        <v>82738</v>
      </c>
      <c r="I2561" s="2">
        <v>5</v>
      </c>
      <c r="J2561" s="2">
        <v>66209</v>
      </c>
      <c r="K2561" s="2">
        <v>75784</v>
      </c>
      <c r="L2561" s="2">
        <v>2</v>
      </c>
      <c r="M2561" t="str">
        <f>IF(Revv_bike_sales_data[[#This Row],[delivery_days]]&lt;=7, "Yes", "No")</f>
        <v>Yes</v>
      </c>
      <c r="N2561" t="s">
        <v>16</v>
      </c>
      <c r="O2561" s="2">
        <v>-9575</v>
      </c>
    </row>
    <row r="2562" spans="1:15" x14ac:dyDescent="0.3">
      <c r="A2562" s="2">
        <v>2552</v>
      </c>
      <c r="B2562" s="1">
        <v>45033.291666666664</v>
      </c>
      <c r="C2562" s="1" t="str">
        <f t="shared" si="78"/>
        <v>04-2023</v>
      </c>
      <c r="D2562" s="2">
        <f t="shared" si="79"/>
        <v>16</v>
      </c>
      <c r="E2562" t="s">
        <v>17</v>
      </c>
      <c r="F2562" t="s">
        <v>14</v>
      </c>
      <c r="G2562" t="s">
        <v>21</v>
      </c>
      <c r="H2562" s="2">
        <v>76220</v>
      </c>
      <c r="I2562" s="2">
        <v>7</v>
      </c>
      <c r="J2562" s="2">
        <v>67987</v>
      </c>
      <c r="K2562" s="2">
        <v>137547</v>
      </c>
      <c r="L2562" s="2">
        <v>6</v>
      </c>
      <c r="M2562" t="str">
        <f>IF(Revv_bike_sales_data[[#This Row],[delivery_days]]&lt;=7, "Yes", "No")</f>
        <v>Yes</v>
      </c>
      <c r="N2562" t="s">
        <v>16</v>
      </c>
      <c r="O2562" s="2">
        <v>-69560</v>
      </c>
    </row>
    <row r="2563" spans="1:15" x14ac:dyDescent="0.3">
      <c r="A2563" s="2">
        <v>2553</v>
      </c>
      <c r="B2563" s="1">
        <v>45033.333333333336</v>
      </c>
      <c r="C2563" s="1" t="str">
        <f t="shared" si="78"/>
        <v>04-2023</v>
      </c>
      <c r="D2563" s="2">
        <f t="shared" si="79"/>
        <v>16</v>
      </c>
      <c r="E2563" t="s">
        <v>22</v>
      </c>
      <c r="F2563" t="s">
        <v>14</v>
      </c>
      <c r="G2563" t="s">
        <v>20</v>
      </c>
      <c r="H2563" s="2">
        <v>78504</v>
      </c>
      <c r="I2563" s="2">
        <v>0</v>
      </c>
      <c r="J2563" s="2">
        <v>133024</v>
      </c>
      <c r="K2563" s="2">
        <v>133177</v>
      </c>
      <c r="L2563" s="2">
        <v>11</v>
      </c>
      <c r="M2563" t="str">
        <f>IF(Revv_bike_sales_data[[#This Row],[delivery_days]]&lt;=7, "Yes", "No")</f>
        <v>No</v>
      </c>
      <c r="N2563" t="s">
        <v>16</v>
      </c>
      <c r="O2563" s="2">
        <v>-153</v>
      </c>
    </row>
    <row r="2564" spans="1:15" x14ac:dyDescent="0.3">
      <c r="A2564" s="2">
        <v>2554</v>
      </c>
      <c r="B2564" s="1">
        <v>45033.375</v>
      </c>
      <c r="C2564" s="1" t="str">
        <f t="shared" si="78"/>
        <v>04-2023</v>
      </c>
      <c r="D2564" s="2">
        <f t="shared" si="79"/>
        <v>16</v>
      </c>
      <c r="E2564" t="s">
        <v>22</v>
      </c>
      <c r="F2564" t="s">
        <v>14</v>
      </c>
      <c r="G2564" t="s">
        <v>20</v>
      </c>
      <c r="H2564" s="2">
        <v>22572</v>
      </c>
      <c r="I2564" s="2">
        <v>8</v>
      </c>
      <c r="J2564" s="2">
        <v>176649</v>
      </c>
      <c r="K2564" s="2">
        <v>76289</v>
      </c>
      <c r="L2564" s="2">
        <v>4</v>
      </c>
      <c r="M2564" t="str">
        <f>IF(Revv_bike_sales_data[[#This Row],[delivery_days]]&lt;=7, "Yes", "No")</f>
        <v>Yes</v>
      </c>
      <c r="N2564" t="s">
        <v>16</v>
      </c>
      <c r="O2564" s="2">
        <v>100360</v>
      </c>
    </row>
    <row r="2565" spans="1:15" x14ac:dyDescent="0.3">
      <c r="A2565" s="2">
        <v>2555</v>
      </c>
      <c r="B2565" s="1">
        <v>45033.416666666664</v>
      </c>
      <c r="C2565" s="1" t="str">
        <f t="shared" si="78"/>
        <v>04-2023</v>
      </c>
      <c r="D2565" s="2">
        <f t="shared" si="79"/>
        <v>16</v>
      </c>
      <c r="E2565" t="s">
        <v>13</v>
      </c>
      <c r="F2565" t="s">
        <v>14</v>
      </c>
      <c r="G2565" t="s">
        <v>21</v>
      </c>
      <c r="H2565" s="2">
        <v>81515</v>
      </c>
      <c r="I2565" s="2">
        <v>0</v>
      </c>
      <c r="J2565" s="2">
        <v>67320</v>
      </c>
      <c r="K2565" s="2">
        <v>52410</v>
      </c>
      <c r="L2565" s="2">
        <v>13</v>
      </c>
      <c r="M2565" t="str">
        <f>IF(Revv_bike_sales_data[[#This Row],[delivery_days]]&lt;=7, "Yes", "No")</f>
        <v>No</v>
      </c>
      <c r="N2565" t="s">
        <v>24</v>
      </c>
      <c r="O2565" s="2">
        <v>14910</v>
      </c>
    </row>
    <row r="2566" spans="1:15" x14ac:dyDescent="0.3">
      <c r="A2566" s="2">
        <v>2556</v>
      </c>
      <c r="B2566" s="1">
        <v>45033.458333333336</v>
      </c>
      <c r="C2566" s="1" t="str">
        <f t="shared" si="78"/>
        <v>04-2023</v>
      </c>
      <c r="D2566" s="2">
        <f t="shared" si="79"/>
        <v>16</v>
      </c>
      <c r="E2566" t="s">
        <v>25</v>
      </c>
      <c r="F2566" t="s">
        <v>23</v>
      </c>
      <c r="G2566" t="s">
        <v>21</v>
      </c>
      <c r="H2566" s="2">
        <v>94503</v>
      </c>
      <c r="I2566" s="2">
        <v>9</v>
      </c>
      <c r="J2566" s="2">
        <v>36301</v>
      </c>
      <c r="K2566" s="2">
        <v>105982</v>
      </c>
      <c r="L2566" s="2">
        <v>10</v>
      </c>
      <c r="M2566" t="str">
        <f>IF(Revv_bike_sales_data[[#This Row],[delivery_days]]&lt;=7, "Yes", "No")</f>
        <v>No</v>
      </c>
      <c r="N2566" t="s">
        <v>16</v>
      </c>
      <c r="O2566" s="2">
        <v>-69681</v>
      </c>
    </row>
    <row r="2567" spans="1:15" x14ac:dyDescent="0.3">
      <c r="A2567" s="2">
        <v>2557</v>
      </c>
      <c r="B2567" s="1">
        <v>45033.5</v>
      </c>
      <c r="C2567" s="1" t="str">
        <f t="shared" si="78"/>
        <v>04-2023</v>
      </c>
      <c r="D2567" s="2">
        <f t="shared" si="79"/>
        <v>16</v>
      </c>
      <c r="E2567" t="s">
        <v>17</v>
      </c>
      <c r="F2567" t="s">
        <v>14</v>
      </c>
      <c r="G2567" t="s">
        <v>15</v>
      </c>
      <c r="H2567" s="2">
        <v>89438</v>
      </c>
      <c r="I2567" s="2">
        <v>1</v>
      </c>
      <c r="J2567" s="2">
        <v>151560</v>
      </c>
      <c r="K2567" s="2">
        <v>66302</v>
      </c>
      <c r="L2567" s="2">
        <v>6</v>
      </c>
      <c r="M2567" t="str">
        <f>IF(Revv_bike_sales_data[[#This Row],[delivery_days]]&lt;=7, "Yes", "No")</f>
        <v>Yes</v>
      </c>
      <c r="N2567" t="s">
        <v>16</v>
      </c>
      <c r="O2567" s="2">
        <v>85258</v>
      </c>
    </row>
    <row r="2568" spans="1:15" x14ac:dyDescent="0.3">
      <c r="A2568" s="2">
        <v>2558</v>
      </c>
      <c r="B2568" s="1">
        <v>45033.541666666664</v>
      </c>
      <c r="C2568" s="1" t="str">
        <f t="shared" si="78"/>
        <v>04-2023</v>
      </c>
      <c r="D2568" s="2">
        <f t="shared" si="79"/>
        <v>16</v>
      </c>
      <c r="E2568" t="s">
        <v>22</v>
      </c>
      <c r="F2568" t="s">
        <v>14</v>
      </c>
      <c r="G2568" t="s">
        <v>19</v>
      </c>
      <c r="H2568" s="2">
        <v>73246</v>
      </c>
      <c r="I2568" s="2">
        <v>2</v>
      </c>
      <c r="J2568" s="2">
        <v>25891</v>
      </c>
      <c r="K2568" s="2">
        <v>36703</v>
      </c>
      <c r="L2568" s="2">
        <v>13</v>
      </c>
      <c r="M2568" t="str">
        <f>IF(Revv_bike_sales_data[[#This Row],[delivery_days]]&lt;=7, "Yes", "No")</f>
        <v>No</v>
      </c>
      <c r="N2568" t="s">
        <v>16</v>
      </c>
      <c r="O2568" s="2">
        <v>-10812</v>
      </c>
    </row>
    <row r="2569" spans="1:15" x14ac:dyDescent="0.3">
      <c r="A2569" s="2">
        <v>2559</v>
      </c>
      <c r="B2569" s="1">
        <v>45033.583333333336</v>
      </c>
      <c r="C2569" s="1" t="str">
        <f t="shared" si="78"/>
        <v>04-2023</v>
      </c>
      <c r="D2569" s="2">
        <f t="shared" si="79"/>
        <v>16</v>
      </c>
      <c r="E2569" t="s">
        <v>17</v>
      </c>
      <c r="F2569" t="s">
        <v>23</v>
      </c>
      <c r="G2569" t="s">
        <v>15</v>
      </c>
      <c r="H2569" s="2">
        <v>46202</v>
      </c>
      <c r="I2569" s="2">
        <v>6</v>
      </c>
      <c r="J2569" s="2">
        <v>178044</v>
      </c>
      <c r="K2569" s="2">
        <v>59191</v>
      </c>
      <c r="L2569" s="2">
        <v>5</v>
      </c>
      <c r="M2569" t="str">
        <f>IF(Revv_bike_sales_data[[#This Row],[delivery_days]]&lt;=7, "Yes", "No")</f>
        <v>Yes</v>
      </c>
      <c r="N2569" t="s">
        <v>24</v>
      </c>
      <c r="O2569" s="2">
        <v>118853</v>
      </c>
    </row>
    <row r="2570" spans="1:15" x14ac:dyDescent="0.3">
      <c r="A2570" s="2">
        <v>2560</v>
      </c>
      <c r="B2570" s="1">
        <v>45033.625</v>
      </c>
      <c r="C2570" s="1" t="str">
        <f t="shared" si="78"/>
        <v>04-2023</v>
      </c>
      <c r="D2570" s="2">
        <f t="shared" si="79"/>
        <v>16</v>
      </c>
      <c r="E2570" t="s">
        <v>22</v>
      </c>
      <c r="F2570" t="s">
        <v>14</v>
      </c>
      <c r="G2570" t="s">
        <v>21</v>
      </c>
      <c r="H2570" s="2">
        <v>6557</v>
      </c>
      <c r="I2570" s="2">
        <v>8</v>
      </c>
      <c r="J2570" s="2">
        <v>75457</v>
      </c>
      <c r="K2570" s="2">
        <v>133454</v>
      </c>
      <c r="L2570" s="2">
        <v>12</v>
      </c>
      <c r="M2570" t="str">
        <f>IF(Revv_bike_sales_data[[#This Row],[delivery_days]]&lt;=7, "Yes", "No")</f>
        <v>No</v>
      </c>
      <c r="N2570" t="s">
        <v>16</v>
      </c>
      <c r="O2570" s="2">
        <v>-57997</v>
      </c>
    </row>
    <row r="2571" spans="1:15" x14ac:dyDescent="0.3">
      <c r="A2571" s="2">
        <v>2561</v>
      </c>
      <c r="B2571" s="1">
        <v>45033.666666666664</v>
      </c>
      <c r="C2571" s="1" t="str">
        <f t="shared" ref="C2571:C2634" si="80">TEXT(B2571,"mm-yyyy")</f>
        <v>04-2023</v>
      </c>
      <c r="D2571" s="2">
        <f t="shared" ref="D2571:D2634" si="81">WEEKNUM(B2571)</f>
        <v>16</v>
      </c>
      <c r="E2571" t="s">
        <v>17</v>
      </c>
      <c r="F2571" t="s">
        <v>14</v>
      </c>
      <c r="G2571" t="s">
        <v>15</v>
      </c>
      <c r="H2571" s="2">
        <v>31416</v>
      </c>
      <c r="I2571" s="2">
        <v>2</v>
      </c>
      <c r="J2571" s="2">
        <v>138389</v>
      </c>
      <c r="K2571" s="2">
        <v>69112</v>
      </c>
      <c r="L2571" s="2">
        <v>9</v>
      </c>
      <c r="M2571" t="str">
        <f>IF(Revv_bike_sales_data[[#This Row],[delivery_days]]&lt;=7, "Yes", "No")</f>
        <v>No</v>
      </c>
      <c r="N2571" t="s">
        <v>16</v>
      </c>
      <c r="O2571" s="2">
        <v>69277</v>
      </c>
    </row>
    <row r="2572" spans="1:15" x14ac:dyDescent="0.3">
      <c r="A2572" s="2">
        <v>2562</v>
      </c>
      <c r="B2572" s="1">
        <v>45033.708333333336</v>
      </c>
      <c r="C2572" s="1" t="str">
        <f t="shared" si="80"/>
        <v>04-2023</v>
      </c>
      <c r="D2572" s="2">
        <f t="shared" si="81"/>
        <v>16</v>
      </c>
      <c r="E2572" t="s">
        <v>18</v>
      </c>
      <c r="F2572" t="s">
        <v>14</v>
      </c>
      <c r="G2572" t="s">
        <v>15</v>
      </c>
      <c r="H2572" s="2">
        <v>27768</v>
      </c>
      <c r="I2572" s="2">
        <v>7</v>
      </c>
      <c r="J2572" s="2">
        <v>45932</v>
      </c>
      <c r="K2572" s="2">
        <v>26399</v>
      </c>
      <c r="L2572" s="2">
        <v>9</v>
      </c>
      <c r="M2572" t="str">
        <f>IF(Revv_bike_sales_data[[#This Row],[delivery_days]]&lt;=7, "Yes", "No")</f>
        <v>No</v>
      </c>
      <c r="N2572" t="s">
        <v>16</v>
      </c>
      <c r="O2572" s="2">
        <v>19533</v>
      </c>
    </row>
    <row r="2573" spans="1:15" x14ac:dyDescent="0.3">
      <c r="A2573" s="2">
        <v>2563</v>
      </c>
      <c r="B2573" s="1">
        <v>45033.75</v>
      </c>
      <c r="C2573" s="1" t="str">
        <f t="shared" si="80"/>
        <v>04-2023</v>
      </c>
      <c r="D2573" s="2">
        <f t="shared" si="81"/>
        <v>16</v>
      </c>
      <c r="E2573" t="s">
        <v>22</v>
      </c>
      <c r="F2573" t="s">
        <v>23</v>
      </c>
      <c r="G2573" t="s">
        <v>21</v>
      </c>
      <c r="H2573" s="2">
        <v>44478</v>
      </c>
      <c r="I2573" s="2">
        <v>8</v>
      </c>
      <c r="J2573" s="2">
        <v>29192</v>
      </c>
      <c r="K2573" s="2">
        <v>119365</v>
      </c>
      <c r="L2573" s="2">
        <v>1</v>
      </c>
      <c r="M2573" t="str">
        <f>IF(Revv_bike_sales_data[[#This Row],[delivery_days]]&lt;=7, "Yes", "No")</f>
        <v>Yes</v>
      </c>
      <c r="N2573" t="s">
        <v>16</v>
      </c>
      <c r="O2573" s="2">
        <v>-90173</v>
      </c>
    </row>
    <row r="2574" spans="1:15" x14ac:dyDescent="0.3">
      <c r="A2574" s="2">
        <v>2564</v>
      </c>
      <c r="B2574" s="1">
        <v>45033.791666666664</v>
      </c>
      <c r="C2574" s="1" t="str">
        <f t="shared" si="80"/>
        <v>04-2023</v>
      </c>
      <c r="D2574" s="2">
        <f t="shared" si="81"/>
        <v>16</v>
      </c>
      <c r="E2574" t="s">
        <v>17</v>
      </c>
      <c r="F2574" t="s">
        <v>14</v>
      </c>
      <c r="G2574" t="s">
        <v>20</v>
      </c>
      <c r="H2574" s="2">
        <v>23759</v>
      </c>
      <c r="I2574" s="2">
        <v>9</v>
      </c>
      <c r="J2574" s="2">
        <v>41128</v>
      </c>
      <c r="K2574" s="2">
        <v>27685</v>
      </c>
      <c r="L2574" s="2">
        <v>3</v>
      </c>
      <c r="M2574" t="str">
        <f>IF(Revv_bike_sales_data[[#This Row],[delivery_days]]&lt;=7, "Yes", "No")</f>
        <v>Yes</v>
      </c>
      <c r="N2574" t="s">
        <v>16</v>
      </c>
      <c r="O2574" s="2">
        <v>13443</v>
      </c>
    </row>
    <row r="2575" spans="1:15" x14ac:dyDescent="0.3">
      <c r="A2575" s="2">
        <v>2565</v>
      </c>
      <c r="B2575" s="1">
        <v>45033.833333333336</v>
      </c>
      <c r="C2575" s="1" t="str">
        <f t="shared" si="80"/>
        <v>04-2023</v>
      </c>
      <c r="D2575" s="2">
        <f t="shared" si="81"/>
        <v>16</v>
      </c>
      <c r="E2575" t="s">
        <v>25</v>
      </c>
      <c r="F2575" t="s">
        <v>14</v>
      </c>
      <c r="G2575" t="s">
        <v>21</v>
      </c>
      <c r="H2575" s="2">
        <v>54083</v>
      </c>
      <c r="I2575" s="2">
        <v>6</v>
      </c>
      <c r="J2575" s="2">
        <v>47836</v>
      </c>
      <c r="K2575" s="2">
        <v>102777</v>
      </c>
      <c r="L2575" s="2">
        <v>1</v>
      </c>
      <c r="M2575" t="str">
        <f>IF(Revv_bike_sales_data[[#This Row],[delivery_days]]&lt;=7, "Yes", "No")</f>
        <v>Yes</v>
      </c>
      <c r="N2575" t="s">
        <v>24</v>
      </c>
      <c r="O2575" s="2">
        <v>-54941</v>
      </c>
    </row>
    <row r="2576" spans="1:15" x14ac:dyDescent="0.3">
      <c r="A2576" s="2">
        <v>2566</v>
      </c>
      <c r="B2576" s="1">
        <v>45033.875</v>
      </c>
      <c r="C2576" s="1" t="str">
        <f t="shared" si="80"/>
        <v>04-2023</v>
      </c>
      <c r="D2576" s="2">
        <f t="shared" si="81"/>
        <v>16</v>
      </c>
      <c r="E2576" t="s">
        <v>18</v>
      </c>
      <c r="F2576" t="s">
        <v>14</v>
      </c>
      <c r="G2576" t="s">
        <v>20</v>
      </c>
      <c r="H2576" s="2">
        <v>79900</v>
      </c>
      <c r="I2576" s="2">
        <v>3</v>
      </c>
      <c r="J2576" s="2">
        <v>49837</v>
      </c>
      <c r="K2576" s="2">
        <v>19487</v>
      </c>
      <c r="L2576" s="2">
        <v>6</v>
      </c>
      <c r="M2576" t="str">
        <f>IF(Revv_bike_sales_data[[#This Row],[delivery_days]]&lt;=7, "Yes", "No")</f>
        <v>Yes</v>
      </c>
      <c r="N2576" t="s">
        <v>16</v>
      </c>
      <c r="O2576" s="2">
        <v>30350</v>
      </c>
    </row>
    <row r="2577" spans="1:15" x14ac:dyDescent="0.3">
      <c r="A2577" s="2">
        <v>2567</v>
      </c>
      <c r="B2577" s="1">
        <v>45033.916666666664</v>
      </c>
      <c r="C2577" s="1" t="str">
        <f t="shared" si="80"/>
        <v>04-2023</v>
      </c>
      <c r="D2577" s="2">
        <f t="shared" si="81"/>
        <v>16</v>
      </c>
      <c r="E2577" t="s">
        <v>18</v>
      </c>
      <c r="F2577" t="s">
        <v>14</v>
      </c>
      <c r="G2577" t="s">
        <v>21</v>
      </c>
      <c r="H2577" s="2">
        <v>34793</v>
      </c>
      <c r="I2577" s="2">
        <v>3</v>
      </c>
      <c r="J2577" s="2">
        <v>142028</v>
      </c>
      <c r="K2577" s="2">
        <v>27018</v>
      </c>
      <c r="L2577" s="2">
        <v>12</v>
      </c>
      <c r="M2577" t="str">
        <f>IF(Revv_bike_sales_data[[#This Row],[delivery_days]]&lt;=7, "Yes", "No")</f>
        <v>No</v>
      </c>
      <c r="N2577" t="s">
        <v>16</v>
      </c>
      <c r="O2577" s="2">
        <v>115010</v>
      </c>
    </row>
    <row r="2578" spans="1:15" x14ac:dyDescent="0.3">
      <c r="A2578" s="2">
        <v>2568</v>
      </c>
      <c r="B2578" s="1">
        <v>45033.958333333336</v>
      </c>
      <c r="C2578" s="1" t="str">
        <f t="shared" si="80"/>
        <v>04-2023</v>
      </c>
      <c r="D2578" s="2">
        <f t="shared" si="81"/>
        <v>16</v>
      </c>
      <c r="E2578" t="s">
        <v>25</v>
      </c>
      <c r="F2578" t="s">
        <v>14</v>
      </c>
      <c r="G2578" t="s">
        <v>21</v>
      </c>
      <c r="H2578" s="2">
        <v>7543</v>
      </c>
      <c r="I2578" s="2">
        <v>3</v>
      </c>
      <c r="J2578" s="2">
        <v>141481</v>
      </c>
      <c r="K2578" s="2">
        <v>45825</v>
      </c>
      <c r="L2578" s="2">
        <v>3</v>
      </c>
      <c r="M2578" t="str">
        <f>IF(Revv_bike_sales_data[[#This Row],[delivery_days]]&lt;=7, "Yes", "No")</f>
        <v>Yes</v>
      </c>
      <c r="N2578" t="s">
        <v>16</v>
      </c>
      <c r="O2578" s="2">
        <v>95656</v>
      </c>
    </row>
    <row r="2579" spans="1:15" x14ac:dyDescent="0.3">
      <c r="A2579" s="2">
        <v>2569</v>
      </c>
      <c r="B2579" s="1">
        <v>45034</v>
      </c>
      <c r="C2579" s="1" t="str">
        <f t="shared" si="80"/>
        <v>04-2023</v>
      </c>
      <c r="D2579" s="2">
        <f t="shared" si="81"/>
        <v>16</v>
      </c>
      <c r="E2579" t="s">
        <v>17</v>
      </c>
      <c r="F2579" t="s">
        <v>14</v>
      </c>
      <c r="G2579" t="s">
        <v>21</v>
      </c>
      <c r="H2579" s="2">
        <v>50930</v>
      </c>
      <c r="I2579" s="2">
        <v>5</v>
      </c>
      <c r="J2579" s="2">
        <v>150176</v>
      </c>
      <c r="K2579" s="2">
        <v>22750</v>
      </c>
      <c r="L2579" s="2">
        <v>14</v>
      </c>
      <c r="M2579" t="str">
        <f>IF(Revv_bike_sales_data[[#This Row],[delivery_days]]&lt;=7, "Yes", "No")</f>
        <v>No</v>
      </c>
      <c r="N2579" t="s">
        <v>16</v>
      </c>
      <c r="O2579" s="2">
        <v>127426</v>
      </c>
    </row>
    <row r="2580" spans="1:15" x14ac:dyDescent="0.3">
      <c r="A2580" s="2">
        <v>2570</v>
      </c>
      <c r="B2580" s="1">
        <v>45034.041666666664</v>
      </c>
      <c r="C2580" s="1" t="str">
        <f t="shared" si="80"/>
        <v>04-2023</v>
      </c>
      <c r="D2580" s="2">
        <f t="shared" si="81"/>
        <v>16</v>
      </c>
      <c r="E2580" t="s">
        <v>13</v>
      </c>
      <c r="F2580" t="s">
        <v>14</v>
      </c>
      <c r="G2580" t="s">
        <v>19</v>
      </c>
      <c r="H2580" s="2">
        <v>39393</v>
      </c>
      <c r="I2580" s="2">
        <v>3</v>
      </c>
      <c r="J2580" s="2">
        <v>150172</v>
      </c>
      <c r="K2580" s="2">
        <v>73956</v>
      </c>
      <c r="L2580" s="2">
        <v>1</v>
      </c>
      <c r="M2580" t="str">
        <f>IF(Revv_bike_sales_data[[#This Row],[delivery_days]]&lt;=7, "Yes", "No")</f>
        <v>Yes</v>
      </c>
      <c r="N2580" t="s">
        <v>16</v>
      </c>
      <c r="O2580" s="2">
        <v>76216</v>
      </c>
    </row>
    <row r="2581" spans="1:15" x14ac:dyDescent="0.3">
      <c r="A2581" s="2">
        <v>2571</v>
      </c>
      <c r="B2581" s="1">
        <v>45034.083333333336</v>
      </c>
      <c r="C2581" s="1" t="str">
        <f t="shared" si="80"/>
        <v>04-2023</v>
      </c>
      <c r="D2581" s="2">
        <f t="shared" si="81"/>
        <v>16</v>
      </c>
      <c r="E2581" t="s">
        <v>25</v>
      </c>
      <c r="F2581" t="s">
        <v>14</v>
      </c>
      <c r="G2581" t="s">
        <v>20</v>
      </c>
      <c r="H2581" s="2">
        <v>41142</v>
      </c>
      <c r="I2581" s="2">
        <v>4</v>
      </c>
      <c r="J2581" s="2">
        <v>47778</v>
      </c>
      <c r="K2581" s="2">
        <v>65229</v>
      </c>
      <c r="L2581" s="2">
        <v>6</v>
      </c>
      <c r="M2581" t="str">
        <f>IF(Revv_bike_sales_data[[#This Row],[delivery_days]]&lt;=7, "Yes", "No")</f>
        <v>Yes</v>
      </c>
      <c r="N2581" t="s">
        <v>16</v>
      </c>
      <c r="O2581" s="2">
        <v>-17451</v>
      </c>
    </row>
    <row r="2582" spans="1:15" x14ac:dyDescent="0.3">
      <c r="A2582" s="2">
        <v>2572</v>
      </c>
      <c r="B2582" s="1">
        <v>45034.125</v>
      </c>
      <c r="C2582" s="1" t="str">
        <f t="shared" si="80"/>
        <v>04-2023</v>
      </c>
      <c r="D2582" s="2">
        <f t="shared" si="81"/>
        <v>16</v>
      </c>
      <c r="E2582" t="s">
        <v>17</v>
      </c>
      <c r="F2582" t="s">
        <v>23</v>
      </c>
      <c r="G2582" t="s">
        <v>19</v>
      </c>
      <c r="H2582" s="2">
        <v>78565</v>
      </c>
      <c r="I2582" s="2">
        <v>8</v>
      </c>
      <c r="J2582" s="2">
        <v>68130</v>
      </c>
      <c r="K2582" s="2">
        <v>98220</v>
      </c>
      <c r="L2582" s="2">
        <v>5</v>
      </c>
      <c r="M2582" t="str">
        <f>IF(Revv_bike_sales_data[[#This Row],[delivery_days]]&lt;=7, "Yes", "No")</f>
        <v>Yes</v>
      </c>
      <c r="N2582" t="s">
        <v>16</v>
      </c>
      <c r="O2582" s="2">
        <v>-30090</v>
      </c>
    </row>
    <row r="2583" spans="1:15" x14ac:dyDescent="0.3">
      <c r="A2583" s="2">
        <v>2573</v>
      </c>
      <c r="B2583" s="1">
        <v>45034.166666666664</v>
      </c>
      <c r="C2583" s="1" t="str">
        <f t="shared" si="80"/>
        <v>04-2023</v>
      </c>
      <c r="D2583" s="2">
        <f t="shared" si="81"/>
        <v>16</v>
      </c>
      <c r="E2583" t="s">
        <v>25</v>
      </c>
      <c r="F2583" t="s">
        <v>14</v>
      </c>
      <c r="G2583" t="s">
        <v>21</v>
      </c>
      <c r="H2583" s="2">
        <v>31368</v>
      </c>
      <c r="I2583" s="2">
        <v>6</v>
      </c>
      <c r="J2583" s="2">
        <v>41708</v>
      </c>
      <c r="K2583" s="2">
        <v>58118</v>
      </c>
      <c r="L2583" s="2">
        <v>12</v>
      </c>
      <c r="M2583" t="str">
        <f>IF(Revv_bike_sales_data[[#This Row],[delivery_days]]&lt;=7, "Yes", "No")</f>
        <v>No</v>
      </c>
      <c r="N2583" t="s">
        <v>24</v>
      </c>
      <c r="O2583" s="2">
        <v>-16410</v>
      </c>
    </row>
    <row r="2584" spans="1:15" x14ac:dyDescent="0.3">
      <c r="A2584" s="2">
        <v>2574</v>
      </c>
      <c r="B2584" s="1">
        <v>45034.208333333336</v>
      </c>
      <c r="C2584" s="1" t="str">
        <f t="shared" si="80"/>
        <v>04-2023</v>
      </c>
      <c r="D2584" s="2">
        <f t="shared" si="81"/>
        <v>16</v>
      </c>
      <c r="E2584" t="s">
        <v>25</v>
      </c>
      <c r="F2584" t="s">
        <v>14</v>
      </c>
      <c r="G2584" t="s">
        <v>15</v>
      </c>
      <c r="H2584" s="2">
        <v>26809</v>
      </c>
      <c r="I2584" s="2">
        <v>7</v>
      </c>
      <c r="J2584" s="2">
        <v>132481</v>
      </c>
      <c r="K2584" s="2">
        <v>74615</v>
      </c>
      <c r="L2584" s="2">
        <v>12</v>
      </c>
      <c r="M2584" t="str">
        <f>IF(Revv_bike_sales_data[[#This Row],[delivery_days]]&lt;=7, "Yes", "No")</f>
        <v>No</v>
      </c>
      <c r="N2584" t="s">
        <v>16</v>
      </c>
      <c r="O2584" s="2">
        <v>57866</v>
      </c>
    </row>
    <row r="2585" spans="1:15" x14ac:dyDescent="0.3">
      <c r="A2585" s="2">
        <v>2575</v>
      </c>
      <c r="B2585" s="1">
        <v>45034.25</v>
      </c>
      <c r="C2585" s="1" t="str">
        <f t="shared" si="80"/>
        <v>04-2023</v>
      </c>
      <c r="D2585" s="2">
        <f t="shared" si="81"/>
        <v>16</v>
      </c>
      <c r="E2585" t="s">
        <v>22</v>
      </c>
      <c r="F2585" t="s">
        <v>14</v>
      </c>
      <c r="G2585" t="s">
        <v>19</v>
      </c>
      <c r="H2585" s="2">
        <v>23784</v>
      </c>
      <c r="I2585" s="2">
        <v>4</v>
      </c>
      <c r="J2585" s="2">
        <v>29782</v>
      </c>
      <c r="K2585" s="2">
        <v>94946</v>
      </c>
      <c r="L2585" s="2">
        <v>8</v>
      </c>
      <c r="M2585" t="str">
        <f>IF(Revv_bike_sales_data[[#This Row],[delivery_days]]&lt;=7, "Yes", "No")</f>
        <v>No</v>
      </c>
      <c r="N2585" t="s">
        <v>16</v>
      </c>
      <c r="O2585" s="2">
        <v>-65164</v>
      </c>
    </row>
    <row r="2586" spans="1:15" x14ac:dyDescent="0.3">
      <c r="A2586" s="2">
        <v>2576</v>
      </c>
      <c r="B2586" s="1">
        <v>45034.291666666664</v>
      </c>
      <c r="C2586" s="1" t="str">
        <f t="shared" si="80"/>
        <v>04-2023</v>
      </c>
      <c r="D2586" s="2">
        <f t="shared" si="81"/>
        <v>16</v>
      </c>
      <c r="E2586" t="s">
        <v>17</v>
      </c>
      <c r="F2586" t="s">
        <v>14</v>
      </c>
      <c r="G2586" t="s">
        <v>20</v>
      </c>
      <c r="H2586" s="2">
        <v>69500</v>
      </c>
      <c r="I2586" s="2">
        <v>4</v>
      </c>
      <c r="J2586" s="2">
        <v>35052</v>
      </c>
      <c r="K2586" s="2">
        <v>136337</v>
      </c>
      <c r="L2586" s="2">
        <v>14</v>
      </c>
      <c r="M2586" t="str">
        <f>IF(Revv_bike_sales_data[[#This Row],[delivery_days]]&lt;=7, "Yes", "No")</f>
        <v>No</v>
      </c>
      <c r="N2586" t="s">
        <v>16</v>
      </c>
      <c r="O2586" s="2">
        <v>-101285</v>
      </c>
    </row>
    <row r="2587" spans="1:15" x14ac:dyDescent="0.3">
      <c r="A2587" s="2">
        <v>2577</v>
      </c>
      <c r="B2587" s="1">
        <v>45034.333333333336</v>
      </c>
      <c r="C2587" s="1" t="str">
        <f t="shared" si="80"/>
        <v>04-2023</v>
      </c>
      <c r="D2587" s="2">
        <f t="shared" si="81"/>
        <v>16</v>
      </c>
      <c r="E2587" t="s">
        <v>13</v>
      </c>
      <c r="F2587" t="s">
        <v>14</v>
      </c>
      <c r="G2587" t="s">
        <v>21</v>
      </c>
      <c r="H2587" s="2">
        <v>84679</v>
      </c>
      <c r="I2587" s="2">
        <v>6</v>
      </c>
      <c r="J2587" s="2">
        <v>44521</v>
      </c>
      <c r="K2587" s="2">
        <v>136869</v>
      </c>
      <c r="L2587" s="2">
        <v>2</v>
      </c>
      <c r="M2587" t="str">
        <f>IF(Revv_bike_sales_data[[#This Row],[delivery_days]]&lt;=7, "Yes", "No")</f>
        <v>Yes</v>
      </c>
      <c r="N2587" t="s">
        <v>16</v>
      </c>
      <c r="O2587" s="2">
        <v>-92348</v>
      </c>
    </row>
    <row r="2588" spans="1:15" x14ac:dyDescent="0.3">
      <c r="A2588" s="2">
        <v>2578</v>
      </c>
      <c r="B2588" s="1">
        <v>45034.375</v>
      </c>
      <c r="C2588" s="1" t="str">
        <f t="shared" si="80"/>
        <v>04-2023</v>
      </c>
      <c r="D2588" s="2">
        <f t="shared" si="81"/>
        <v>16</v>
      </c>
      <c r="E2588" t="s">
        <v>22</v>
      </c>
      <c r="F2588" t="s">
        <v>14</v>
      </c>
      <c r="G2588" t="s">
        <v>19</v>
      </c>
      <c r="H2588" s="2">
        <v>62607</v>
      </c>
      <c r="I2588" s="2">
        <v>7</v>
      </c>
      <c r="J2588" s="2">
        <v>94690</v>
      </c>
      <c r="K2588" s="2">
        <v>72290</v>
      </c>
      <c r="L2588" s="2">
        <v>8</v>
      </c>
      <c r="M2588" t="str">
        <f>IF(Revv_bike_sales_data[[#This Row],[delivery_days]]&lt;=7, "Yes", "No")</f>
        <v>No</v>
      </c>
      <c r="N2588" t="s">
        <v>16</v>
      </c>
      <c r="O2588" s="2">
        <v>22400</v>
      </c>
    </row>
    <row r="2589" spans="1:15" x14ac:dyDescent="0.3">
      <c r="A2589" s="2">
        <v>2579</v>
      </c>
      <c r="B2589" s="1">
        <v>45034.416666666664</v>
      </c>
      <c r="C2589" s="1" t="str">
        <f t="shared" si="80"/>
        <v>04-2023</v>
      </c>
      <c r="D2589" s="2">
        <f t="shared" si="81"/>
        <v>16</v>
      </c>
      <c r="E2589" t="s">
        <v>25</v>
      </c>
      <c r="F2589" t="s">
        <v>14</v>
      </c>
      <c r="G2589" t="s">
        <v>15</v>
      </c>
      <c r="H2589" s="2">
        <v>65549</v>
      </c>
      <c r="I2589" s="2">
        <v>8</v>
      </c>
      <c r="J2589" s="2">
        <v>60546</v>
      </c>
      <c r="K2589" s="2">
        <v>30105</v>
      </c>
      <c r="L2589" s="2">
        <v>12</v>
      </c>
      <c r="M2589" t="str">
        <f>IF(Revv_bike_sales_data[[#This Row],[delivery_days]]&lt;=7, "Yes", "No")</f>
        <v>No</v>
      </c>
      <c r="N2589" t="s">
        <v>16</v>
      </c>
      <c r="O2589" s="2">
        <v>30441</v>
      </c>
    </row>
    <row r="2590" spans="1:15" x14ac:dyDescent="0.3">
      <c r="A2590" s="2">
        <v>2580</v>
      </c>
      <c r="B2590" s="1">
        <v>45034.458333333336</v>
      </c>
      <c r="C2590" s="1" t="str">
        <f t="shared" si="80"/>
        <v>04-2023</v>
      </c>
      <c r="D2590" s="2">
        <f t="shared" si="81"/>
        <v>16</v>
      </c>
      <c r="E2590" t="s">
        <v>25</v>
      </c>
      <c r="F2590" t="s">
        <v>14</v>
      </c>
      <c r="G2590" t="s">
        <v>19</v>
      </c>
      <c r="H2590" s="2">
        <v>29765</v>
      </c>
      <c r="I2590" s="2">
        <v>1</v>
      </c>
      <c r="J2590" s="2">
        <v>129713</v>
      </c>
      <c r="K2590" s="2">
        <v>33913</v>
      </c>
      <c r="L2590" s="2">
        <v>5</v>
      </c>
      <c r="M2590" t="str">
        <f>IF(Revv_bike_sales_data[[#This Row],[delivery_days]]&lt;=7, "Yes", "No")</f>
        <v>Yes</v>
      </c>
      <c r="N2590" t="s">
        <v>24</v>
      </c>
      <c r="O2590" s="2">
        <v>95800</v>
      </c>
    </row>
    <row r="2591" spans="1:15" x14ac:dyDescent="0.3">
      <c r="A2591" s="2">
        <v>2581</v>
      </c>
      <c r="B2591" s="1">
        <v>45034.5</v>
      </c>
      <c r="C2591" s="1" t="str">
        <f t="shared" si="80"/>
        <v>04-2023</v>
      </c>
      <c r="D2591" s="2">
        <f t="shared" si="81"/>
        <v>16</v>
      </c>
      <c r="E2591" t="s">
        <v>25</v>
      </c>
      <c r="F2591" t="s">
        <v>14</v>
      </c>
      <c r="G2591" t="s">
        <v>20</v>
      </c>
      <c r="H2591" s="2">
        <v>81990</v>
      </c>
      <c r="I2591" s="2">
        <v>2</v>
      </c>
      <c r="J2591" s="2">
        <v>127617</v>
      </c>
      <c r="K2591" s="2">
        <v>116564</v>
      </c>
      <c r="L2591" s="2">
        <v>8</v>
      </c>
      <c r="M2591" t="str">
        <f>IF(Revv_bike_sales_data[[#This Row],[delivery_days]]&lt;=7, "Yes", "No")</f>
        <v>No</v>
      </c>
      <c r="N2591" t="s">
        <v>16</v>
      </c>
      <c r="O2591" s="2">
        <v>11053</v>
      </c>
    </row>
    <row r="2592" spans="1:15" x14ac:dyDescent="0.3">
      <c r="A2592" s="2">
        <v>2582</v>
      </c>
      <c r="B2592" s="1">
        <v>45034.541666666664</v>
      </c>
      <c r="C2592" s="1" t="str">
        <f t="shared" si="80"/>
        <v>04-2023</v>
      </c>
      <c r="D2592" s="2">
        <f t="shared" si="81"/>
        <v>16</v>
      </c>
      <c r="E2592" t="s">
        <v>17</v>
      </c>
      <c r="F2592" t="s">
        <v>14</v>
      </c>
      <c r="G2592" t="s">
        <v>19</v>
      </c>
      <c r="H2592" s="2">
        <v>24380</v>
      </c>
      <c r="I2592" s="2">
        <v>1</v>
      </c>
      <c r="J2592" s="2">
        <v>47030</v>
      </c>
      <c r="K2592" s="2">
        <v>64515</v>
      </c>
      <c r="L2592" s="2">
        <v>12</v>
      </c>
      <c r="M2592" t="str">
        <f>IF(Revv_bike_sales_data[[#This Row],[delivery_days]]&lt;=7, "Yes", "No")</f>
        <v>No</v>
      </c>
      <c r="N2592" t="s">
        <v>16</v>
      </c>
      <c r="O2592" s="2">
        <v>-17485</v>
      </c>
    </row>
    <row r="2593" spans="1:15" x14ac:dyDescent="0.3">
      <c r="A2593" s="2">
        <v>2583</v>
      </c>
      <c r="B2593" s="1">
        <v>45034.583333333336</v>
      </c>
      <c r="C2593" s="1" t="str">
        <f t="shared" si="80"/>
        <v>04-2023</v>
      </c>
      <c r="D2593" s="2">
        <f t="shared" si="81"/>
        <v>16</v>
      </c>
      <c r="E2593" t="s">
        <v>17</v>
      </c>
      <c r="F2593" t="s">
        <v>14</v>
      </c>
      <c r="G2593" t="s">
        <v>15</v>
      </c>
      <c r="H2593" s="2">
        <v>85079</v>
      </c>
      <c r="I2593" s="2">
        <v>9</v>
      </c>
      <c r="J2593" s="2">
        <v>114831</v>
      </c>
      <c r="K2593" s="2">
        <v>62342</v>
      </c>
      <c r="L2593" s="2">
        <v>10</v>
      </c>
      <c r="M2593" t="str">
        <f>IF(Revv_bike_sales_data[[#This Row],[delivery_days]]&lt;=7, "Yes", "No")</f>
        <v>No</v>
      </c>
      <c r="N2593" t="s">
        <v>16</v>
      </c>
      <c r="O2593" s="2">
        <v>52489</v>
      </c>
    </row>
    <row r="2594" spans="1:15" x14ac:dyDescent="0.3">
      <c r="A2594" s="2">
        <v>2584</v>
      </c>
      <c r="B2594" s="1">
        <v>45034.625</v>
      </c>
      <c r="C2594" s="1" t="str">
        <f t="shared" si="80"/>
        <v>04-2023</v>
      </c>
      <c r="D2594" s="2">
        <f t="shared" si="81"/>
        <v>16</v>
      </c>
      <c r="E2594" t="s">
        <v>22</v>
      </c>
      <c r="F2594" t="s">
        <v>14</v>
      </c>
      <c r="G2594" t="s">
        <v>15</v>
      </c>
      <c r="H2594" s="2">
        <v>755</v>
      </c>
      <c r="I2594" s="2">
        <v>6</v>
      </c>
      <c r="J2594" s="2">
        <v>102400</v>
      </c>
      <c r="K2594" s="2">
        <v>127016</v>
      </c>
      <c r="L2594" s="2">
        <v>4</v>
      </c>
      <c r="M2594" t="str">
        <f>IF(Revv_bike_sales_data[[#This Row],[delivery_days]]&lt;=7, "Yes", "No")</f>
        <v>Yes</v>
      </c>
      <c r="N2594" t="s">
        <v>16</v>
      </c>
      <c r="O2594" s="2">
        <v>-24616</v>
      </c>
    </row>
    <row r="2595" spans="1:15" x14ac:dyDescent="0.3">
      <c r="A2595" s="2">
        <v>2585</v>
      </c>
      <c r="B2595" s="1">
        <v>45034.666666666664</v>
      </c>
      <c r="C2595" s="1" t="str">
        <f t="shared" si="80"/>
        <v>04-2023</v>
      </c>
      <c r="D2595" s="2">
        <f t="shared" si="81"/>
        <v>16</v>
      </c>
      <c r="E2595" t="s">
        <v>13</v>
      </c>
      <c r="F2595" t="s">
        <v>14</v>
      </c>
      <c r="G2595" t="s">
        <v>20</v>
      </c>
      <c r="H2595" s="2">
        <v>2002</v>
      </c>
      <c r="I2595" s="2">
        <v>1</v>
      </c>
      <c r="J2595" s="2">
        <v>43055</v>
      </c>
      <c r="K2595" s="2">
        <v>130533</v>
      </c>
      <c r="L2595" s="2">
        <v>4</v>
      </c>
      <c r="M2595" t="str">
        <f>IF(Revv_bike_sales_data[[#This Row],[delivery_days]]&lt;=7, "Yes", "No")</f>
        <v>Yes</v>
      </c>
      <c r="N2595" t="s">
        <v>16</v>
      </c>
      <c r="O2595" s="2">
        <v>-87478</v>
      </c>
    </row>
    <row r="2596" spans="1:15" x14ac:dyDescent="0.3">
      <c r="A2596" s="2">
        <v>2586</v>
      </c>
      <c r="B2596" s="1">
        <v>45034.708333333336</v>
      </c>
      <c r="C2596" s="1" t="str">
        <f t="shared" si="80"/>
        <v>04-2023</v>
      </c>
      <c r="D2596" s="2">
        <f t="shared" si="81"/>
        <v>16</v>
      </c>
      <c r="E2596" t="s">
        <v>22</v>
      </c>
      <c r="F2596" t="s">
        <v>14</v>
      </c>
      <c r="G2596" t="s">
        <v>15</v>
      </c>
      <c r="H2596" s="2">
        <v>70692</v>
      </c>
      <c r="I2596" s="2">
        <v>1</v>
      </c>
      <c r="J2596" s="2">
        <v>99861</v>
      </c>
      <c r="K2596" s="2">
        <v>67184</v>
      </c>
      <c r="L2596" s="2">
        <v>10</v>
      </c>
      <c r="M2596" t="str">
        <f>IF(Revv_bike_sales_data[[#This Row],[delivery_days]]&lt;=7, "Yes", "No")</f>
        <v>No</v>
      </c>
      <c r="N2596" t="s">
        <v>16</v>
      </c>
      <c r="O2596" s="2">
        <v>32677</v>
      </c>
    </row>
    <row r="2597" spans="1:15" x14ac:dyDescent="0.3">
      <c r="A2597" s="2">
        <v>2587</v>
      </c>
      <c r="B2597" s="1">
        <v>45034.75</v>
      </c>
      <c r="C2597" s="1" t="str">
        <f t="shared" si="80"/>
        <v>04-2023</v>
      </c>
      <c r="D2597" s="2">
        <f t="shared" si="81"/>
        <v>16</v>
      </c>
      <c r="E2597" t="s">
        <v>18</v>
      </c>
      <c r="F2597" t="s">
        <v>14</v>
      </c>
      <c r="G2597" t="s">
        <v>21</v>
      </c>
      <c r="H2597" s="2">
        <v>65924</v>
      </c>
      <c r="I2597" s="2">
        <v>1</v>
      </c>
      <c r="J2597" s="2">
        <v>146184</v>
      </c>
      <c r="K2597" s="2">
        <v>98247</v>
      </c>
      <c r="L2597" s="2">
        <v>4</v>
      </c>
      <c r="M2597" t="str">
        <f>IF(Revv_bike_sales_data[[#This Row],[delivery_days]]&lt;=7, "Yes", "No")</f>
        <v>Yes</v>
      </c>
      <c r="N2597" t="s">
        <v>16</v>
      </c>
      <c r="O2597" s="2">
        <v>47937</v>
      </c>
    </row>
    <row r="2598" spans="1:15" x14ac:dyDescent="0.3">
      <c r="A2598" s="2">
        <v>2588</v>
      </c>
      <c r="B2598" s="1">
        <v>45034.791666666664</v>
      </c>
      <c r="C2598" s="1" t="str">
        <f t="shared" si="80"/>
        <v>04-2023</v>
      </c>
      <c r="D2598" s="2">
        <f t="shared" si="81"/>
        <v>16</v>
      </c>
      <c r="E2598" t="s">
        <v>25</v>
      </c>
      <c r="F2598" t="s">
        <v>14</v>
      </c>
      <c r="G2598" t="s">
        <v>15</v>
      </c>
      <c r="H2598" s="2">
        <v>76338</v>
      </c>
      <c r="I2598" s="2">
        <v>3</v>
      </c>
      <c r="J2598" s="2">
        <v>141524</v>
      </c>
      <c r="K2598" s="2">
        <v>75506</v>
      </c>
      <c r="L2598" s="2">
        <v>14</v>
      </c>
      <c r="M2598" t="str">
        <f>IF(Revv_bike_sales_data[[#This Row],[delivery_days]]&lt;=7, "Yes", "No")</f>
        <v>No</v>
      </c>
      <c r="N2598" t="s">
        <v>16</v>
      </c>
      <c r="O2598" s="2">
        <v>66018</v>
      </c>
    </row>
    <row r="2599" spans="1:15" x14ac:dyDescent="0.3">
      <c r="A2599" s="2">
        <v>2589</v>
      </c>
      <c r="B2599" s="1">
        <v>45034.833333333336</v>
      </c>
      <c r="C2599" s="1" t="str">
        <f t="shared" si="80"/>
        <v>04-2023</v>
      </c>
      <c r="D2599" s="2">
        <f t="shared" si="81"/>
        <v>16</v>
      </c>
      <c r="E2599" t="s">
        <v>25</v>
      </c>
      <c r="F2599" t="s">
        <v>14</v>
      </c>
      <c r="G2599" t="s">
        <v>21</v>
      </c>
      <c r="H2599" s="2">
        <v>71466</v>
      </c>
      <c r="I2599" s="2">
        <v>0</v>
      </c>
      <c r="J2599" s="2">
        <v>141826</v>
      </c>
      <c r="K2599" s="2">
        <v>39967</v>
      </c>
      <c r="L2599" s="2">
        <v>11</v>
      </c>
      <c r="M2599" t="str">
        <f>IF(Revv_bike_sales_data[[#This Row],[delivery_days]]&lt;=7, "Yes", "No")</f>
        <v>No</v>
      </c>
      <c r="N2599" t="s">
        <v>16</v>
      </c>
      <c r="O2599" s="2">
        <v>101859</v>
      </c>
    </row>
    <row r="2600" spans="1:15" x14ac:dyDescent="0.3">
      <c r="A2600" s="2">
        <v>2590</v>
      </c>
      <c r="B2600" s="1">
        <v>45034.875</v>
      </c>
      <c r="C2600" s="1" t="str">
        <f t="shared" si="80"/>
        <v>04-2023</v>
      </c>
      <c r="D2600" s="2">
        <f t="shared" si="81"/>
        <v>16</v>
      </c>
      <c r="E2600" t="s">
        <v>25</v>
      </c>
      <c r="F2600" t="s">
        <v>14</v>
      </c>
      <c r="G2600" t="s">
        <v>19</v>
      </c>
      <c r="H2600" s="2">
        <v>41866</v>
      </c>
      <c r="I2600" s="2">
        <v>1</v>
      </c>
      <c r="J2600" s="2">
        <v>61775</v>
      </c>
      <c r="K2600" s="2">
        <v>51023</v>
      </c>
      <c r="L2600" s="2">
        <v>6</v>
      </c>
      <c r="M2600" t="str">
        <f>IF(Revv_bike_sales_data[[#This Row],[delivery_days]]&lt;=7, "Yes", "No")</f>
        <v>Yes</v>
      </c>
      <c r="N2600" t="s">
        <v>16</v>
      </c>
      <c r="O2600" s="2">
        <v>10752</v>
      </c>
    </row>
    <row r="2601" spans="1:15" x14ac:dyDescent="0.3">
      <c r="A2601" s="2">
        <v>2591</v>
      </c>
      <c r="B2601" s="1">
        <v>45034.916666666664</v>
      </c>
      <c r="C2601" s="1" t="str">
        <f t="shared" si="80"/>
        <v>04-2023</v>
      </c>
      <c r="D2601" s="2">
        <f t="shared" si="81"/>
        <v>16</v>
      </c>
      <c r="E2601" t="s">
        <v>22</v>
      </c>
      <c r="F2601" t="s">
        <v>14</v>
      </c>
      <c r="G2601" t="s">
        <v>21</v>
      </c>
      <c r="H2601" s="2">
        <v>27925</v>
      </c>
      <c r="I2601" s="2">
        <v>2</v>
      </c>
      <c r="J2601" s="2">
        <v>110909</v>
      </c>
      <c r="K2601" s="2">
        <v>69288</v>
      </c>
      <c r="L2601" s="2">
        <v>4</v>
      </c>
      <c r="M2601" t="str">
        <f>IF(Revv_bike_sales_data[[#This Row],[delivery_days]]&lt;=7, "Yes", "No")</f>
        <v>Yes</v>
      </c>
      <c r="N2601" t="s">
        <v>16</v>
      </c>
      <c r="O2601" s="2">
        <v>41621</v>
      </c>
    </row>
    <row r="2602" spans="1:15" x14ac:dyDescent="0.3">
      <c r="A2602" s="2">
        <v>2592</v>
      </c>
      <c r="B2602" s="1">
        <v>45034.958333333336</v>
      </c>
      <c r="C2602" s="1" t="str">
        <f t="shared" si="80"/>
        <v>04-2023</v>
      </c>
      <c r="D2602" s="2">
        <f t="shared" si="81"/>
        <v>16</v>
      </c>
      <c r="E2602" t="s">
        <v>22</v>
      </c>
      <c r="F2602" t="s">
        <v>14</v>
      </c>
      <c r="G2602" t="s">
        <v>21</v>
      </c>
      <c r="H2602" s="2">
        <v>52828</v>
      </c>
      <c r="I2602" s="2">
        <v>6</v>
      </c>
      <c r="J2602" s="2">
        <v>61253</v>
      </c>
      <c r="K2602" s="2">
        <v>136796</v>
      </c>
      <c r="L2602" s="2">
        <v>9</v>
      </c>
      <c r="M2602" t="str">
        <f>IF(Revv_bike_sales_data[[#This Row],[delivery_days]]&lt;=7, "Yes", "No")</f>
        <v>No</v>
      </c>
      <c r="N2602" t="s">
        <v>16</v>
      </c>
      <c r="O2602" s="2">
        <v>-75543</v>
      </c>
    </row>
    <row r="2603" spans="1:15" x14ac:dyDescent="0.3">
      <c r="A2603" s="2">
        <v>2593</v>
      </c>
      <c r="B2603" s="1">
        <v>45035</v>
      </c>
      <c r="C2603" s="1" t="str">
        <f t="shared" si="80"/>
        <v>04-2023</v>
      </c>
      <c r="D2603" s="2">
        <f t="shared" si="81"/>
        <v>16</v>
      </c>
      <c r="E2603" t="s">
        <v>25</v>
      </c>
      <c r="F2603" t="s">
        <v>23</v>
      </c>
      <c r="G2603" t="s">
        <v>19</v>
      </c>
      <c r="H2603" s="2">
        <v>67896</v>
      </c>
      <c r="I2603" s="2">
        <v>9</v>
      </c>
      <c r="J2603" s="2">
        <v>76884</v>
      </c>
      <c r="K2603" s="2">
        <v>139939</v>
      </c>
      <c r="L2603" s="2">
        <v>9</v>
      </c>
      <c r="M2603" t="str">
        <f>IF(Revv_bike_sales_data[[#This Row],[delivery_days]]&lt;=7, "Yes", "No")</f>
        <v>No</v>
      </c>
      <c r="N2603" t="s">
        <v>16</v>
      </c>
      <c r="O2603" s="2">
        <v>-63055</v>
      </c>
    </row>
    <row r="2604" spans="1:15" x14ac:dyDescent="0.3">
      <c r="A2604" s="2">
        <v>2594</v>
      </c>
      <c r="B2604" s="1">
        <v>45035.041666666664</v>
      </c>
      <c r="C2604" s="1" t="str">
        <f t="shared" si="80"/>
        <v>04-2023</v>
      </c>
      <c r="D2604" s="2">
        <f t="shared" si="81"/>
        <v>16</v>
      </c>
      <c r="E2604" t="s">
        <v>22</v>
      </c>
      <c r="F2604" t="s">
        <v>14</v>
      </c>
      <c r="G2604" t="s">
        <v>15</v>
      </c>
      <c r="H2604" s="2">
        <v>72194</v>
      </c>
      <c r="I2604" s="2">
        <v>0</v>
      </c>
      <c r="J2604" s="2">
        <v>101497</v>
      </c>
      <c r="K2604" s="2">
        <v>116541</v>
      </c>
      <c r="L2604" s="2">
        <v>3</v>
      </c>
      <c r="M2604" t="str">
        <f>IF(Revv_bike_sales_data[[#This Row],[delivery_days]]&lt;=7, "Yes", "No")</f>
        <v>Yes</v>
      </c>
      <c r="N2604" t="s">
        <v>16</v>
      </c>
      <c r="O2604" s="2">
        <v>-15044</v>
      </c>
    </row>
    <row r="2605" spans="1:15" x14ac:dyDescent="0.3">
      <c r="A2605" s="2">
        <v>2595</v>
      </c>
      <c r="B2605" s="1">
        <v>45035.083333333336</v>
      </c>
      <c r="C2605" s="1" t="str">
        <f t="shared" si="80"/>
        <v>04-2023</v>
      </c>
      <c r="D2605" s="2">
        <f t="shared" si="81"/>
        <v>16</v>
      </c>
      <c r="E2605" t="s">
        <v>17</v>
      </c>
      <c r="F2605" t="s">
        <v>23</v>
      </c>
      <c r="G2605" t="s">
        <v>21</v>
      </c>
      <c r="H2605" s="2">
        <v>6306</v>
      </c>
      <c r="I2605" s="2">
        <v>5</v>
      </c>
      <c r="J2605" s="2">
        <v>42705</v>
      </c>
      <c r="K2605" s="2">
        <v>41622</v>
      </c>
      <c r="L2605" s="2">
        <v>7</v>
      </c>
      <c r="M2605" t="str">
        <f>IF(Revv_bike_sales_data[[#This Row],[delivery_days]]&lt;=7, "Yes", "No")</f>
        <v>Yes</v>
      </c>
      <c r="N2605" t="s">
        <v>16</v>
      </c>
      <c r="O2605" s="2">
        <v>1083</v>
      </c>
    </row>
    <row r="2606" spans="1:15" x14ac:dyDescent="0.3">
      <c r="A2606" s="2">
        <v>2596</v>
      </c>
      <c r="B2606" s="1">
        <v>45035.125</v>
      </c>
      <c r="C2606" s="1" t="str">
        <f t="shared" si="80"/>
        <v>04-2023</v>
      </c>
      <c r="D2606" s="2">
        <f t="shared" si="81"/>
        <v>16</v>
      </c>
      <c r="E2606" t="s">
        <v>17</v>
      </c>
      <c r="F2606" t="s">
        <v>14</v>
      </c>
      <c r="G2606" t="s">
        <v>15</v>
      </c>
      <c r="H2606" s="2">
        <v>86774</v>
      </c>
      <c r="I2606" s="2">
        <v>2</v>
      </c>
      <c r="J2606" s="2">
        <v>116640</v>
      </c>
      <c r="K2606" s="2">
        <v>60201</v>
      </c>
      <c r="L2606" s="2">
        <v>12</v>
      </c>
      <c r="M2606" t="str">
        <f>IF(Revv_bike_sales_data[[#This Row],[delivery_days]]&lt;=7, "Yes", "No")</f>
        <v>No</v>
      </c>
      <c r="N2606" t="s">
        <v>16</v>
      </c>
      <c r="O2606" s="2">
        <v>56439</v>
      </c>
    </row>
    <row r="2607" spans="1:15" x14ac:dyDescent="0.3">
      <c r="A2607" s="2">
        <v>2597</v>
      </c>
      <c r="B2607" s="1">
        <v>45035.166666666664</v>
      </c>
      <c r="C2607" s="1" t="str">
        <f t="shared" si="80"/>
        <v>04-2023</v>
      </c>
      <c r="D2607" s="2">
        <f t="shared" si="81"/>
        <v>16</v>
      </c>
      <c r="E2607" t="s">
        <v>22</v>
      </c>
      <c r="F2607" t="s">
        <v>14</v>
      </c>
      <c r="G2607" t="s">
        <v>19</v>
      </c>
      <c r="H2607" s="2">
        <v>17606</v>
      </c>
      <c r="I2607" s="2">
        <v>2</v>
      </c>
      <c r="J2607" s="2">
        <v>32101</v>
      </c>
      <c r="K2607" s="2">
        <v>90033</v>
      </c>
      <c r="L2607" s="2">
        <v>5</v>
      </c>
      <c r="M2607" t="str">
        <f>IF(Revv_bike_sales_data[[#This Row],[delivery_days]]&lt;=7, "Yes", "No")</f>
        <v>Yes</v>
      </c>
      <c r="N2607" t="s">
        <v>16</v>
      </c>
      <c r="O2607" s="2">
        <v>-57932</v>
      </c>
    </row>
    <row r="2608" spans="1:15" x14ac:dyDescent="0.3">
      <c r="A2608" s="2">
        <v>2598</v>
      </c>
      <c r="B2608" s="1">
        <v>45035.208333333336</v>
      </c>
      <c r="C2608" s="1" t="str">
        <f t="shared" si="80"/>
        <v>04-2023</v>
      </c>
      <c r="D2608" s="2">
        <f t="shared" si="81"/>
        <v>16</v>
      </c>
      <c r="E2608" t="s">
        <v>25</v>
      </c>
      <c r="F2608" t="s">
        <v>23</v>
      </c>
      <c r="G2608" t="s">
        <v>20</v>
      </c>
      <c r="H2608" s="2">
        <v>57231</v>
      </c>
      <c r="I2608" s="2">
        <v>3</v>
      </c>
      <c r="J2608" s="2">
        <v>87495</v>
      </c>
      <c r="K2608" s="2">
        <v>31350</v>
      </c>
      <c r="L2608" s="2">
        <v>12</v>
      </c>
      <c r="M2608" t="str">
        <f>IF(Revv_bike_sales_data[[#This Row],[delivery_days]]&lt;=7, "Yes", "No")</f>
        <v>No</v>
      </c>
      <c r="N2608" t="s">
        <v>16</v>
      </c>
      <c r="O2608" s="2">
        <v>56145</v>
      </c>
    </row>
    <row r="2609" spans="1:15" x14ac:dyDescent="0.3">
      <c r="A2609" s="2">
        <v>2599</v>
      </c>
      <c r="B2609" s="1">
        <v>45035.25</v>
      </c>
      <c r="C2609" s="1" t="str">
        <f t="shared" si="80"/>
        <v>04-2023</v>
      </c>
      <c r="D2609" s="2">
        <f t="shared" si="81"/>
        <v>16</v>
      </c>
      <c r="E2609" t="s">
        <v>22</v>
      </c>
      <c r="F2609" t="s">
        <v>14</v>
      </c>
      <c r="G2609" t="s">
        <v>15</v>
      </c>
      <c r="H2609" s="2">
        <v>75510</v>
      </c>
      <c r="I2609" s="2">
        <v>3</v>
      </c>
      <c r="J2609" s="2">
        <v>160815</v>
      </c>
      <c r="K2609" s="2">
        <v>69820</v>
      </c>
      <c r="L2609" s="2">
        <v>9</v>
      </c>
      <c r="M2609" t="str">
        <f>IF(Revv_bike_sales_data[[#This Row],[delivery_days]]&lt;=7, "Yes", "No")</f>
        <v>No</v>
      </c>
      <c r="N2609" t="s">
        <v>16</v>
      </c>
      <c r="O2609" s="2">
        <v>90995</v>
      </c>
    </row>
    <row r="2610" spans="1:15" x14ac:dyDescent="0.3">
      <c r="A2610" s="2">
        <v>2600</v>
      </c>
      <c r="B2610" s="1">
        <v>45035.291666666664</v>
      </c>
      <c r="C2610" s="1" t="str">
        <f t="shared" si="80"/>
        <v>04-2023</v>
      </c>
      <c r="D2610" s="2">
        <f t="shared" si="81"/>
        <v>16</v>
      </c>
      <c r="E2610" t="s">
        <v>22</v>
      </c>
      <c r="F2610" t="s">
        <v>14</v>
      </c>
      <c r="G2610" t="s">
        <v>15</v>
      </c>
      <c r="H2610" s="2">
        <v>83033</v>
      </c>
      <c r="I2610" s="2">
        <v>6</v>
      </c>
      <c r="J2610" s="2">
        <v>33951</v>
      </c>
      <c r="K2610" s="2">
        <v>63709</v>
      </c>
      <c r="L2610" s="2">
        <v>2</v>
      </c>
      <c r="M2610" t="str">
        <f>IF(Revv_bike_sales_data[[#This Row],[delivery_days]]&lt;=7, "Yes", "No")</f>
        <v>Yes</v>
      </c>
      <c r="N2610" t="s">
        <v>16</v>
      </c>
      <c r="O2610" s="2">
        <v>-29758</v>
      </c>
    </row>
    <row r="2611" spans="1:15" x14ac:dyDescent="0.3">
      <c r="A2611" s="2">
        <v>2601</v>
      </c>
      <c r="B2611" s="1">
        <v>45035.333333333336</v>
      </c>
      <c r="C2611" s="1" t="str">
        <f t="shared" si="80"/>
        <v>04-2023</v>
      </c>
      <c r="D2611" s="2">
        <f t="shared" si="81"/>
        <v>16</v>
      </c>
      <c r="E2611" t="s">
        <v>22</v>
      </c>
      <c r="F2611" t="s">
        <v>14</v>
      </c>
      <c r="G2611" t="s">
        <v>20</v>
      </c>
      <c r="H2611" s="2">
        <v>33099</v>
      </c>
      <c r="I2611" s="2">
        <v>2</v>
      </c>
      <c r="J2611" s="2">
        <v>163086</v>
      </c>
      <c r="K2611" s="2">
        <v>103232</v>
      </c>
      <c r="L2611" s="2">
        <v>3</v>
      </c>
      <c r="M2611" t="str">
        <f>IF(Revv_bike_sales_data[[#This Row],[delivery_days]]&lt;=7, "Yes", "No")</f>
        <v>Yes</v>
      </c>
      <c r="N2611" t="s">
        <v>16</v>
      </c>
      <c r="O2611" s="2">
        <v>59854</v>
      </c>
    </row>
    <row r="2612" spans="1:15" x14ac:dyDescent="0.3">
      <c r="A2612" s="2">
        <v>2602</v>
      </c>
      <c r="B2612" s="1">
        <v>45035.375</v>
      </c>
      <c r="C2612" s="1" t="str">
        <f t="shared" si="80"/>
        <v>04-2023</v>
      </c>
      <c r="D2612" s="2">
        <f t="shared" si="81"/>
        <v>16</v>
      </c>
      <c r="E2612" t="s">
        <v>18</v>
      </c>
      <c r="F2612" t="s">
        <v>14</v>
      </c>
      <c r="G2612" t="s">
        <v>20</v>
      </c>
      <c r="H2612" s="2">
        <v>71826</v>
      </c>
      <c r="I2612" s="2">
        <v>7</v>
      </c>
      <c r="J2612" s="2">
        <v>61180</v>
      </c>
      <c r="K2612" s="2">
        <v>42470</v>
      </c>
      <c r="L2612" s="2">
        <v>10</v>
      </c>
      <c r="M2612" t="str">
        <f>IF(Revv_bike_sales_data[[#This Row],[delivery_days]]&lt;=7, "Yes", "No")</f>
        <v>No</v>
      </c>
      <c r="N2612" t="s">
        <v>16</v>
      </c>
      <c r="O2612" s="2">
        <v>18710</v>
      </c>
    </row>
    <row r="2613" spans="1:15" x14ac:dyDescent="0.3">
      <c r="A2613" s="2">
        <v>2603</v>
      </c>
      <c r="B2613" s="1">
        <v>45035.416666666664</v>
      </c>
      <c r="C2613" s="1" t="str">
        <f t="shared" si="80"/>
        <v>04-2023</v>
      </c>
      <c r="D2613" s="2">
        <f t="shared" si="81"/>
        <v>16</v>
      </c>
      <c r="E2613" t="s">
        <v>17</v>
      </c>
      <c r="F2613" t="s">
        <v>14</v>
      </c>
      <c r="G2613" t="s">
        <v>19</v>
      </c>
      <c r="H2613" s="2">
        <v>76206</v>
      </c>
      <c r="I2613" s="2">
        <v>7</v>
      </c>
      <c r="J2613" s="2">
        <v>81977</v>
      </c>
      <c r="K2613" s="2">
        <v>45889</v>
      </c>
      <c r="L2613" s="2">
        <v>5</v>
      </c>
      <c r="M2613" t="str">
        <f>IF(Revv_bike_sales_data[[#This Row],[delivery_days]]&lt;=7, "Yes", "No")</f>
        <v>Yes</v>
      </c>
      <c r="N2613" t="s">
        <v>16</v>
      </c>
      <c r="O2613" s="2">
        <v>36088</v>
      </c>
    </row>
    <row r="2614" spans="1:15" x14ac:dyDescent="0.3">
      <c r="A2614" s="2">
        <v>2604</v>
      </c>
      <c r="B2614" s="1">
        <v>45035.458333333336</v>
      </c>
      <c r="C2614" s="1" t="str">
        <f t="shared" si="80"/>
        <v>04-2023</v>
      </c>
      <c r="D2614" s="2">
        <f t="shared" si="81"/>
        <v>16</v>
      </c>
      <c r="E2614" t="s">
        <v>13</v>
      </c>
      <c r="F2614" t="s">
        <v>14</v>
      </c>
      <c r="G2614" t="s">
        <v>15</v>
      </c>
      <c r="H2614" s="2">
        <v>9504</v>
      </c>
      <c r="I2614" s="2">
        <v>6</v>
      </c>
      <c r="J2614" s="2">
        <v>88209</v>
      </c>
      <c r="K2614" s="2">
        <v>25224</v>
      </c>
      <c r="L2614" s="2">
        <v>12</v>
      </c>
      <c r="M2614" t="str">
        <f>IF(Revv_bike_sales_data[[#This Row],[delivery_days]]&lt;=7, "Yes", "No")</f>
        <v>No</v>
      </c>
      <c r="N2614" t="s">
        <v>16</v>
      </c>
      <c r="O2614" s="2">
        <v>62985</v>
      </c>
    </row>
    <row r="2615" spans="1:15" x14ac:dyDescent="0.3">
      <c r="A2615" s="2">
        <v>2605</v>
      </c>
      <c r="B2615" s="1">
        <v>45035.5</v>
      </c>
      <c r="C2615" s="1" t="str">
        <f t="shared" si="80"/>
        <v>04-2023</v>
      </c>
      <c r="D2615" s="2">
        <f t="shared" si="81"/>
        <v>16</v>
      </c>
      <c r="E2615" t="s">
        <v>13</v>
      </c>
      <c r="F2615" t="s">
        <v>14</v>
      </c>
      <c r="G2615" t="s">
        <v>15</v>
      </c>
      <c r="H2615" s="2">
        <v>51864</v>
      </c>
      <c r="I2615" s="2">
        <v>1</v>
      </c>
      <c r="J2615" s="2">
        <v>133575</v>
      </c>
      <c r="K2615" s="2">
        <v>122260</v>
      </c>
      <c r="L2615" s="2">
        <v>5</v>
      </c>
      <c r="M2615" t="str">
        <f>IF(Revv_bike_sales_data[[#This Row],[delivery_days]]&lt;=7, "Yes", "No")</f>
        <v>Yes</v>
      </c>
      <c r="N2615" t="s">
        <v>16</v>
      </c>
      <c r="O2615" s="2">
        <v>11315</v>
      </c>
    </row>
    <row r="2616" spans="1:15" x14ac:dyDescent="0.3">
      <c r="A2616" s="2">
        <v>2606</v>
      </c>
      <c r="B2616" s="1">
        <v>45035.541666666664</v>
      </c>
      <c r="C2616" s="1" t="str">
        <f t="shared" si="80"/>
        <v>04-2023</v>
      </c>
      <c r="D2616" s="2">
        <f t="shared" si="81"/>
        <v>16</v>
      </c>
      <c r="E2616" t="s">
        <v>18</v>
      </c>
      <c r="F2616" t="s">
        <v>14</v>
      </c>
      <c r="G2616" t="s">
        <v>19</v>
      </c>
      <c r="H2616" s="2">
        <v>26292</v>
      </c>
      <c r="I2616" s="2">
        <v>4</v>
      </c>
      <c r="J2616" s="2">
        <v>75918</v>
      </c>
      <c r="K2616" s="2">
        <v>20465</v>
      </c>
      <c r="L2616" s="2">
        <v>10</v>
      </c>
      <c r="M2616" t="str">
        <f>IF(Revv_bike_sales_data[[#This Row],[delivery_days]]&lt;=7, "Yes", "No")</f>
        <v>No</v>
      </c>
      <c r="N2616" t="s">
        <v>16</v>
      </c>
      <c r="O2616" s="2">
        <v>55453</v>
      </c>
    </row>
    <row r="2617" spans="1:15" x14ac:dyDescent="0.3">
      <c r="A2617" s="2">
        <v>2607</v>
      </c>
      <c r="B2617" s="1">
        <v>45035.583333333336</v>
      </c>
      <c r="C2617" s="1" t="str">
        <f t="shared" si="80"/>
        <v>04-2023</v>
      </c>
      <c r="D2617" s="2">
        <f t="shared" si="81"/>
        <v>16</v>
      </c>
      <c r="E2617" t="s">
        <v>22</v>
      </c>
      <c r="F2617" t="s">
        <v>23</v>
      </c>
      <c r="G2617" t="s">
        <v>15</v>
      </c>
      <c r="H2617" s="2">
        <v>96252</v>
      </c>
      <c r="I2617" s="2">
        <v>5</v>
      </c>
      <c r="J2617" s="2">
        <v>164291</v>
      </c>
      <c r="K2617" s="2">
        <v>97418</v>
      </c>
      <c r="L2617" s="2">
        <v>12</v>
      </c>
      <c r="M2617" t="str">
        <f>IF(Revv_bike_sales_data[[#This Row],[delivery_days]]&lt;=7, "Yes", "No")</f>
        <v>No</v>
      </c>
      <c r="N2617" t="s">
        <v>16</v>
      </c>
      <c r="O2617" s="2">
        <v>66873</v>
      </c>
    </row>
    <row r="2618" spans="1:15" x14ac:dyDescent="0.3">
      <c r="A2618" s="2">
        <v>2608</v>
      </c>
      <c r="B2618" s="1">
        <v>45035.625</v>
      </c>
      <c r="C2618" s="1" t="str">
        <f t="shared" si="80"/>
        <v>04-2023</v>
      </c>
      <c r="D2618" s="2">
        <f t="shared" si="81"/>
        <v>16</v>
      </c>
      <c r="E2618" t="s">
        <v>18</v>
      </c>
      <c r="F2618" t="s">
        <v>14</v>
      </c>
      <c r="G2618" t="s">
        <v>21</v>
      </c>
      <c r="H2618" s="2">
        <v>65412</v>
      </c>
      <c r="I2618" s="2">
        <v>9</v>
      </c>
      <c r="J2618" s="2">
        <v>163235</v>
      </c>
      <c r="K2618" s="2">
        <v>112739</v>
      </c>
      <c r="L2618" s="2">
        <v>14</v>
      </c>
      <c r="M2618" t="str">
        <f>IF(Revv_bike_sales_data[[#This Row],[delivery_days]]&lt;=7, "Yes", "No")</f>
        <v>No</v>
      </c>
      <c r="N2618" t="s">
        <v>16</v>
      </c>
      <c r="O2618" s="2">
        <v>50496</v>
      </c>
    </row>
    <row r="2619" spans="1:15" x14ac:dyDescent="0.3">
      <c r="A2619" s="2">
        <v>2609</v>
      </c>
      <c r="B2619" s="1">
        <v>45035.666666666664</v>
      </c>
      <c r="C2619" s="1" t="str">
        <f t="shared" si="80"/>
        <v>04-2023</v>
      </c>
      <c r="D2619" s="2">
        <f t="shared" si="81"/>
        <v>16</v>
      </c>
      <c r="E2619" t="s">
        <v>18</v>
      </c>
      <c r="F2619" t="s">
        <v>14</v>
      </c>
      <c r="G2619" t="s">
        <v>21</v>
      </c>
      <c r="H2619" s="2">
        <v>55145</v>
      </c>
      <c r="I2619" s="2">
        <v>3</v>
      </c>
      <c r="J2619" s="2">
        <v>158542</v>
      </c>
      <c r="K2619" s="2">
        <v>108480</v>
      </c>
      <c r="L2619" s="2">
        <v>14</v>
      </c>
      <c r="M2619" t="str">
        <f>IF(Revv_bike_sales_data[[#This Row],[delivery_days]]&lt;=7, "Yes", "No")</f>
        <v>No</v>
      </c>
      <c r="N2619" t="s">
        <v>16</v>
      </c>
      <c r="O2619" s="2">
        <v>50062</v>
      </c>
    </row>
    <row r="2620" spans="1:15" x14ac:dyDescent="0.3">
      <c r="A2620" s="2">
        <v>2610</v>
      </c>
      <c r="B2620" s="1">
        <v>45035.708333333336</v>
      </c>
      <c r="C2620" s="1" t="str">
        <f t="shared" si="80"/>
        <v>04-2023</v>
      </c>
      <c r="D2620" s="2">
        <f t="shared" si="81"/>
        <v>16</v>
      </c>
      <c r="E2620" t="s">
        <v>25</v>
      </c>
      <c r="F2620" t="s">
        <v>14</v>
      </c>
      <c r="G2620" t="s">
        <v>21</v>
      </c>
      <c r="H2620" s="2">
        <v>7732</v>
      </c>
      <c r="I2620" s="2">
        <v>9</v>
      </c>
      <c r="J2620" s="2">
        <v>172615</v>
      </c>
      <c r="K2620" s="2">
        <v>70214</v>
      </c>
      <c r="L2620" s="2">
        <v>7</v>
      </c>
      <c r="M2620" t="str">
        <f>IF(Revv_bike_sales_data[[#This Row],[delivery_days]]&lt;=7, "Yes", "No")</f>
        <v>Yes</v>
      </c>
      <c r="N2620" t="s">
        <v>16</v>
      </c>
      <c r="O2620" s="2">
        <v>102401</v>
      </c>
    </row>
    <row r="2621" spans="1:15" x14ac:dyDescent="0.3">
      <c r="A2621" s="2">
        <v>2611</v>
      </c>
      <c r="B2621" s="1">
        <v>45035.75</v>
      </c>
      <c r="C2621" s="1" t="str">
        <f t="shared" si="80"/>
        <v>04-2023</v>
      </c>
      <c r="D2621" s="2">
        <f t="shared" si="81"/>
        <v>16</v>
      </c>
      <c r="E2621" t="s">
        <v>17</v>
      </c>
      <c r="F2621" t="s">
        <v>14</v>
      </c>
      <c r="G2621" t="s">
        <v>15</v>
      </c>
      <c r="H2621" s="2">
        <v>78710</v>
      </c>
      <c r="I2621" s="2">
        <v>4</v>
      </c>
      <c r="J2621" s="2">
        <v>175348</v>
      </c>
      <c r="K2621" s="2">
        <v>110373</v>
      </c>
      <c r="L2621" s="2">
        <v>13</v>
      </c>
      <c r="M2621" t="str">
        <f>IF(Revv_bike_sales_data[[#This Row],[delivery_days]]&lt;=7, "Yes", "No")</f>
        <v>No</v>
      </c>
      <c r="N2621" t="s">
        <v>16</v>
      </c>
      <c r="O2621" s="2">
        <v>64975</v>
      </c>
    </row>
    <row r="2622" spans="1:15" x14ac:dyDescent="0.3">
      <c r="A2622" s="2">
        <v>2612</v>
      </c>
      <c r="B2622" s="1">
        <v>45035.791666666664</v>
      </c>
      <c r="C2622" s="1" t="str">
        <f t="shared" si="80"/>
        <v>04-2023</v>
      </c>
      <c r="D2622" s="2">
        <f t="shared" si="81"/>
        <v>16</v>
      </c>
      <c r="E2622" t="s">
        <v>13</v>
      </c>
      <c r="F2622" t="s">
        <v>14</v>
      </c>
      <c r="G2622" t="s">
        <v>21</v>
      </c>
      <c r="H2622" s="2">
        <v>55266</v>
      </c>
      <c r="I2622" s="2">
        <v>8</v>
      </c>
      <c r="J2622" s="2">
        <v>145014</v>
      </c>
      <c r="K2622" s="2">
        <v>17944</v>
      </c>
      <c r="L2622" s="2">
        <v>14</v>
      </c>
      <c r="M2622" t="str">
        <f>IF(Revv_bike_sales_data[[#This Row],[delivery_days]]&lt;=7, "Yes", "No")</f>
        <v>No</v>
      </c>
      <c r="N2622" t="s">
        <v>24</v>
      </c>
      <c r="O2622" s="2">
        <v>127070</v>
      </c>
    </row>
    <row r="2623" spans="1:15" x14ac:dyDescent="0.3">
      <c r="A2623" s="2">
        <v>2613</v>
      </c>
      <c r="B2623" s="1">
        <v>45035.833333333336</v>
      </c>
      <c r="C2623" s="1" t="str">
        <f t="shared" si="80"/>
        <v>04-2023</v>
      </c>
      <c r="D2623" s="2">
        <f t="shared" si="81"/>
        <v>16</v>
      </c>
      <c r="E2623" t="s">
        <v>22</v>
      </c>
      <c r="F2623" t="s">
        <v>14</v>
      </c>
      <c r="G2623" t="s">
        <v>21</v>
      </c>
      <c r="H2623" s="2">
        <v>82088</v>
      </c>
      <c r="I2623" s="2">
        <v>6</v>
      </c>
      <c r="J2623" s="2">
        <v>103950</v>
      </c>
      <c r="K2623" s="2">
        <v>39336</v>
      </c>
      <c r="L2623" s="2">
        <v>8</v>
      </c>
      <c r="M2623" t="str">
        <f>IF(Revv_bike_sales_data[[#This Row],[delivery_days]]&lt;=7, "Yes", "No")</f>
        <v>No</v>
      </c>
      <c r="N2623" t="s">
        <v>16</v>
      </c>
      <c r="O2623" s="2">
        <v>64614</v>
      </c>
    </row>
    <row r="2624" spans="1:15" x14ac:dyDescent="0.3">
      <c r="A2624" s="2">
        <v>2614</v>
      </c>
      <c r="B2624" s="1">
        <v>45035.875</v>
      </c>
      <c r="C2624" s="1" t="str">
        <f t="shared" si="80"/>
        <v>04-2023</v>
      </c>
      <c r="D2624" s="2">
        <f t="shared" si="81"/>
        <v>16</v>
      </c>
      <c r="E2624" t="s">
        <v>13</v>
      </c>
      <c r="F2624" t="s">
        <v>14</v>
      </c>
      <c r="G2624" t="s">
        <v>19</v>
      </c>
      <c r="H2624" s="2">
        <v>49042</v>
      </c>
      <c r="I2624" s="2">
        <v>1</v>
      </c>
      <c r="J2624" s="2">
        <v>32749</v>
      </c>
      <c r="K2624" s="2">
        <v>53624</v>
      </c>
      <c r="L2624" s="2">
        <v>8</v>
      </c>
      <c r="M2624" t="str">
        <f>IF(Revv_bike_sales_data[[#This Row],[delivery_days]]&lt;=7, "Yes", "No")</f>
        <v>No</v>
      </c>
      <c r="N2624" t="s">
        <v>16</v>
      </c>
      <c r="O2624" s="2">
        <v>-20875</v>
      </c>
    </row>
    <row r="2625" spans="1:15" x14ac:dyDescent="0.3">
      <c r="A2625" s="2">
        <v>2615</v>
      </c>
      <c r="B2625" s="1">
        <v>45035.916666666664</v>
      </c>
      <c r="C2625" s="1" t="str">
        <f t="shared" si="80"/>
        <v>04-2023</v>
      </c>
      <c r="D2625" s="2">
        <f t="shared" si="81"/>
        <v>16</v>
      </c>
      <c r="E2625" t="s">
        <v>13</v>
      </c>
      <c r="F2625" t="s">
        <v>14</v>
      </c>
      <c r="G2625" t="s">
        <v>19</v>
      </c>
      <c r="H2625" s="2">
        <v>6413</v>
      </c>
      <c r="I2625" s="2">
        <v>0</v>
      </c>
      <c r="J2625" s="2">
        <v>49182</v>
      </c>
      <c r="K2625" s="2">
        <v>80206</v>
      </c>
      <c r="L2625" s="2">
        <v>14</v>
      </c>
      <c r="M2625" t="str">
        <f>IF(Revv_bike_sales_data[[#This Row],[delivery_days]]&lt;=7, "Yes", "No")</f>
        <v>No</v>
      </c>
      <c r="N2625" t="s">
        <v>16</v>
      </c>
      <c r="O2625" s="2">
        <v>-31024</v>
      </c>
    </row>
    <row r="2626" spans="1:15" x14ac:dyDescent="0.3">
      <c r="A2626" s="2">
        <v>2616</v>
      </c>
      <c r="B2626" s="1">
        <v>45035.958333333336</v>
      </c>
      <c r="C2626" s="1" t="str">
        <f t="shared" si="80"/>
        <v>04-2023</v>
      </c>
      <c r="D2626" s="2">
        <f t="shared" si="81"/>
        <v>16</v>
      </c>
      <c r="E2626" t="s">
        <v>17</v>
      </c>
      <c r="F2626" t="s">
        <v>14</v>
      </c>
      <c r="G2626" t="s">
        <v>20</v>
      </c>
      <c r="H2626" s="2">
        <v>93949</v>
      </c>
      <c r="I2626" s="2">
        <v>1</v>
      </c>
      <c r="J2626" s="2">
        <v>102450</v>
      </c>
      <c r="K2626" s="2">
        <v>59764</v>
      </c>
      <c r="L2626" s="2">
        <v>1</v>
      </c>
      <c r="M2626" t="str">
        <f>IF(Revv_bike_sales_data[[#This Row],[delivery_days]]&lt;=7, "Yes", "No")</f>
        <v>Yes</v>
      </c>
      <c r="N2626" t="s">
        <v>16</v>
      </c>
      <c r="O2626" s="2">
        <v>42686</v>
      </c>
    </row>
    <row r="2627" spans="1:15" x14ac:dyDescent="0.3">
      <c r="A2627" s="2">
        <v>2617</v>
      </c>
      <c r="B2627" s="1">
        <v>45036</v>
      </c>
      <c r="C2627" s="1" t="str">
        <f t="shared" si="80"/>
        <v>04-2023</v>
      </c>
      <c r="D2627" s="2">
        <f t="shared" si="81"/>
        <v>16</v>
      </c>
      <c r="E2627" t="s">
        <v>13</v>
      </c>
      <c r="F2627" t="s">
        <v>23</v>
      </c>
      <c r="G2627" t="s">
        <v>20</v>
      </c>
      <c r="H2627" s="2">
        <v>11067</v>
      </c>
      <c r="I2627" s="2">
        <v>2</v>
      </c>
      <c r="J2627" s="2">
        <v>105543</v>
      </c>
      <c r="K2627" s="2">
        <v>112332</v>
      </c>
      <c r="L2627" s="2">
        <v>14</v>
      </c>
      <c r="M2627" t="str">
        <f>IF(Revv_bike_sales_data[[#This Row],[delivery_days]]&lt;=7, "Yes", "No")</f>
        <v>No</v>
      </c>
      <c r="N2627" t="s">
        <v>24</v>
      </c>
      <c r="O2627" s="2">
        <v>-6789</v>
      </c>
    </row>
    <row r="2628" spans="1:15" x14ac:dyDescent="0.3">
      <c r="A2628" s="2">
        <v>2618</v>
      </c>
      <c r="B2628" s="1">
        <v>45036.041666666664</v>
      </c>
      <c r="C2628" s="1" t="str">
        <f t="shared" si="80"/>
        <v>04-2023</v>
      </c>
      <c r="D2628" s="2">
        <f t="shared" si="81"/>
        <v>16</v>
      </c>
      <c r="E2628" t="s">
        <v>13</v>
      </c>
      <c r="F2628" t="s">
        <v>14</v>
      </c>
      <c r="G2628" t="s">
        <v>20</v>
      </c>
      <c r="H2628" s="2">
        <v>38879</v>
      </c>
      <c r="I2628" s="2">
        <v>1</v>
      </c>
      <c r="J2628" s="2">
        <v>121487</v>
      </c>
      <c r="K2628" s="2">
        <v>109325</v>
      </c>
      <c r="L2628" s="2">
        <v>1</v>
      </c>
      <c r="M2628" t="str">
        <f>IF(Revv_bike_sales_data[[#This Row],[delivery_days]]&lt;=7, "Yes", "No")</f>
        <v>Yes</v>
      </c>
      <c r="N2628" t="s">
        <v>24</v>
      </c>
      <c r="O2628" s="2">
        <v>12162</v>
      </c>
    </row>
    <row r="2629" spans="1:15" x14ac:dyDescent="0.3">
      <c r="A2629" s="2">
        <v>2619</v>
      </c>
      <c r="B2629" s="1">
        <v>45036.083333333336</v>
      </c>
      <c r="C2629" s="1" t="str">
        <f t="shared" si="80"/>
        <v>04-2023</v>
      </c>
      <c r="D2629" s="2">
        <f t="shared" si="81"/>
        <v>16</v>
      </c>
      <c r="E2629" t="s">
        <v>18</v>
      </c>
      <c r="F2629" t="s">
        <v>14</v>
      </c>
      <c r="G2629" t="s">
        <v>20</v>
      </c>
      <c r="H2629" s="2">
        <v>75468</v>
      </c>
      <c r="I2629" s="2">
        <v>2</v>
      </c>
      <c r="J2629" s="2">
        <v>135227</v>
      </c>
      <c r="K2629" s="2">
        <v>60420</v>
      </c>
      <c r="L2629" s="2">
        <v>3</v>
      </c>
      <c r="M2629" t="str">
        <f>IF(Revv_bike_sales_data[[#This Row],[delivery_days]]&lt;=7, "Yes", "No")</f>
        <v>Yes</v>
      </c>
      <c r="N2629" t="s">
        <v>16</v>
      </c>
      <c r="O2629" s="2">
        <v>74807</v>
      </c>
    </row>
    <row r="2630" spans="1:15" x14ac:dyDescent="0.3">
      <c r="A2630" s="2">
        <v>2620</v>
      </c>
      <c r="B2630" s="1">
        <v>45036.125</v>
      </c>
      <c r="C2630" s="1" t="str">
        <f t="shared" si="80"/>
        <v>04-2023</v>
      </c>
      <c r="D2630" s="2">
        <f t="shared" si="81"/>
        <v>16</v>
      </c>
      <c r="E2630" t="s">
        <v>17</v>
      </c>
      <c r="F2630" t="s">
        <v>14</v>
      </c>
      <c r="G2630" t="s">
        <v>19</v>
      </c>
      <c r="H2630" s="2">
        <v>819</v>
      </c>
      <c r="I2630" s="2">
        <v>9</v>
      </c>
      <c r="J2630" s="2">
        <v>177455</v>
      </c>
      <c r="K2630" s="2">
        <v>104758</v>
      </c>
      <c r="L2630" s="2">
        <v>1</v>
      </c>
      <c r="M2630" t="str">
        <f>IF(Revv_bike_sales_data[[#This Row],[delivery_days]]&lt;=7, "Yes", "No")</f>
        <v>Yes</v>
      </c>
      <c r="N2630" t="s">
        <v>24</v>
      </c>
      <c r="O2630" s="2">
        <v>72697</v>
      </c>
    </row>
    <row r="2631" spans="1:15" x14ac:dyDescent="0.3">
      <c r="A2631" s="2">
        <v>2621</v>
      </c>
      <c r="B2631" s="1">
        <v>45036.166666666664</v>
      </c>
      <c r="C2631" s="1" t="str">
        <f t="shared" si="80"/>
        <v>04-2023</v>
      </c>
      <c r="D2631" s="2">
        <f t="shared" si="81"/>
        <v>16</v>
      </c>
      <c r="E2631" t="s">
        <v>25</v>
      </c>
      <c r="F2631" t="s">
        <v>14</v>
      </c>
      <c r="G2631" t="s">
        <v>19</v>
      </c>
      <c r="H2631" s="2">
        <v>90505</v>
      </c>
      <c r="I2631" s="2">
        <v>8</v>
      </c>
      <c r="J2631" s="2">
        <v>103578</v>
      </c>
      <c r="K2631" s="2">
        <v>119381</v>
      </c>
      <c r="L2631" s="2">
        <v>1</v>
      </c>
      <c r="M2631" t="str">
        <f>IF(Revv_bike_sales_data[[#This Row],[delivery_days]]&lt;=7, "Yes", "No")</f>
        <v>Yes</v>
      </c>
      <c r="N2631" t="s">
        <v>24</v>
      </c>
      <c r="O2631" s="2">
        <v>-15803</v>
      </c>
    </row>
    <row r="2632" spans="1:15" x14ac:dyDescent="0.3">
      <c r="A2632" s="2">
        <v>2622</v>
      </c>
      <c r="B2632" s="1">
        <v>45036.208333333336</v>
      </c>
      <c r="C2632" s="1" t="str">
        <f t="shared" si="80"/>
        <v>04-2023</v>
      </c>
      <c r="D2632" s="2">
        <f t="shared" si="81"/>
        <v>16</v>
      </c>
      <c r="E2632" t="s">
        <v>22</v>
      </c>
      <c r="F2632" t="s">
        <v>23</v>
      </c>
      <c r="G2632" t="s">
        <v>19</v>
      </c>
      <c r="H2632" s="2">
        <v>92526</v>
      </c>
      <c r="I2632" s="2">
        <v>3</v>
      </c>
      <c r="J2632" s="2">
        <v>141258</v>
      </c>
      <c r="K2632" s="2">
        <v>80671</v>
      </c>
      <c r="L2632" s="2">
        <v>10</v>
      </c>
      <c r="M2632" t="str">
        <f>IF(Revv_bike_sales_data[[#This Row],[delivery_days]]&lt;=7, "Yes", "No")</f>
        <v>No</v>
      </c>
      <c r="N2632" t="s">
        <v>16</v>
      </c>
      <c r="O2632" s="2">
        <v>60587</v>
      </c>
    </row>
    <row r="2633" spans="1:15" x14ac:dyDescent="0.3">
      <c r="A2633" s="2">
        <v>2623</v>
      </c>
      <c r="B2633" s="1">
        <v>45036.25</v>
      </c>
      <c r="C2633" s="1" t="str">
        <f t="shared" si="80"/>
        <v>04-2023</v>
      </c>
      <c r="D2633" s="2">
        <f t="shared" si="81"/>
        <v>16</v>
      </c>
      <c r="E2633" t="s">
        <v>13</v>
      </c>
      <c r="F2633" t="s">
        <v>14</v>
      </c>
      <c r="G2633" t="s">
        <v>21</v>
      </c>
      <c r="H2633" s="2">
        <v>86620</v>
      </c>
      <c r="I2633" s="2">
        <v>8</v>
      </c>
      <c r="J2633" s="2">
        <v>38181</v>
      </c>
      <c r="K2633" s="2">
        <v>30773</v>
      </c>
      <c r="L2633" s="2">
        <v>8</v>
      </c>
      <c r="M2633" t="str">
        <f>IF(Revv_bike_sales_data[[#This Row],[delivery_days]]&lt;=7, "Yes", "No")</f>
        <v>No</v>
      </c>
      <c r="N2633" t="s">
        <v>24</v>
      </c>
      <c r="O2633" s="2">
        <v>7408</v>
      </c>
    </row>
    <row r="2634" spans="1:15" x14ac:dyDescent="0.3">
      <c r="A2634" s="2">
        <v>2624</v>
      </c>
      <c r="B2634" s="1">
        <v>45036.291666666664</v>
      </c>
      <c r="C2634" s="1" t="str">
        <f t="shared" si="80"/>
        <v>04-2023</v>
      </c>
      <c r="D2634" s="2">
        <f t="shared" si="81"/>
        <v>16</v>
      </c>
      <c r="E2634" t="s">
        <v>22</v>
      </c>
      <c r="F2634" t="s">
        <v>14</v>
      </c>
      <c r="G2634" t="s">
        <v>21</v>
      </c>
      <c r="H2634" s="2">
        <v>5291</v>
      </c>
      <c r="I2634" s="2">
        <v>2</v>
      </c>
      <c r="J2634" s="2">
        <v>69898</v>
      </c>
      <c r="K2634" s="2">
        <v>122596</v>
      </c>
      <c r="L2634" s="2">
        <v>1</v>
      </c>
      <c r="M2634" t="str">
        <f>IF(Revv_bike_sales_data[[#This Row],[delivery_days]]&lt;=7, "Yes", "No")</f>
        <v>Yes</v>
      </c>
      <c r="N2634" t="s">
        <v>16</v>
      </c>
      <c r="O2634" s="2">
        <v>-52698</v>
      </c>
    </row>
    <row r="2635" spans="1:15" x14ac:dyDescent="0.3">
      <c r="A2635" s="2">
        <v>2625</v>
      </c>
      <c r="B2635" s="1">
        <v>45036.333333333336</v>
      </c>
      <c r="C2635" s="1" t="str">
        <f t="shared" ref="C2635:C2698" si="82">TEXT(B2635,"mm-yyyy")</f>
        <v>04-2023</v>
      </c>
      <c r="D2635" s="2">
        <f t="shared" ref="D2635:D2698" si="83">WEEKNUM(B2635)</f>
        <v>16</v>
      </c>
      <c r="E2635" t="s">
        <v>25</v>
      </c>
      <c r="F2635" t="s">
        <v>14</v>
      </c>
      <c r="G2635" t="s">
        <v>20</v>
      </c>
      <c r="H2635" s="2">
        <v>97772</v>
      </c>
      <c r="I2635" s="2">
        <v>0</v>
      </c>
      <c r="J2635" s="2">
        <v>28405</v>
      </c>
      <c r="K2635" s="2">
        <v>41447</v>
      </c>
      <c r="L2635" s="2">
        <v>9</v>
      </c>
      <c r="M2635" t="str">
        <f>IF(Revv_bike_sales_data[[#This Row],[delivery_days]]&lt;=7, "Yes", "No")</f>
        <v>No</v>
      </c>
      <c r="N2635" t="s">
        <v>16</v>
      </c>
      <c r="O2635" s="2">
        <v>-13042</v>
      </c>
    </row>
    <row r="2636" spans="1:15" x14ac:dyDescent="0.3">
      <c r="A2636" s="2">
        <v>2626</v>
      </c>
      <c r="B2636" s="1">
        <v>45036.375</v>
      </c>
      <c r="C2636" s="1" t="str">
        <f t="shared" si="82"/>
        <v>04-2023</v>
      </c>
      <c r="D2636" s="2">
        <f t="shared" si="83"/>
        <v>16</v>
      </c>
      <c r="E2636" t="s">
        <v>22</v>
      </c>
      <c r="F2636" t="s">
        <v>14</v>
      </c>
      <c r="G2636" t="s">
        <v>21</v>
      </c>
      <c r="H2636" s="2">
        <v>829</v>
      </c>
      <c r="I2636" s="2">
        <v>4</v>
      </c>
      <c r="J2636" s="2">
        <v>35862</v>
      </c>
      <c r="K2636" s="2">
        <v>19033</v>
      </c>
      <c r="L2636" s="2">
        <v>2</v>
      </c>
      <c r="M2636" t="str">
        <f>IF(Revv_bike_sales_data[[#This Row],[delivery_days]]&lt;=7, "Yes", "No")</f>
        <v>Yes</v>
      </c>
      <c r="N2636" t="s">
        <v>16</v>
      </c>
      <c r="O2636" s="2">
        <v>16829</v>
      </c>
    </row>
    <row r="2637" spans="1:15" x14ac:dyDescent="0.3">
      <c r="A2637" s="2">
        <v>2627</v>
      </c>
      <c r="B2637" s="1">
        <v>45036.416666666664</v>
      </c>
      <c r="C2637" s="1" t="str">
        <f t="shared" si="82"/>
        <v>04-2023</v>
      </c>
      <c r="D2637" s="2">
        <f t="shared" si="83"/>
        <v>16</v>
      </c>
      <c r="E2637" t="s">
        <v>25</v>
      </c>
      <c r="F2637" t="s">
        <v>14</v>
      </c>
      <c r="G2637" t="s">
        <v>15</v>
      </c>
      <c r="H2637" s="2">
        <v>74887</v>
      </c>
      <c r="I2637" s="2">
        <v>9</v>
      </c>
      <c r="J2637" s="2">
        <v>53688</v>
      </c>
      <c r="K2637" s="2">
        <v>70852</v>
      </c>
      <c r="L2637" s="2">
        <v>9</v>
      </c>
      <c r="M2637" t="str">
        <f>IF(Revv_bike_sales_data[[#This Row],[delivery_days]]&lt;=7, "Yes", "No")</f>
        <v>No</v>
      </c>
      <c r="N2637" t="s">
        <v>16</v>
      </c>
      <c r="O2637" s="2">
        <v>-17164</v>
      </c>
    </row>
    <row r="2638" spans="1:15" x14ac:dyDescent="0.3">
      <c r="A2638" s="2">
        <v>2628</v>
      </c>
      <c r="B2638" s="1">
        <v>45036.458333333336</v>
      </c>
      <c r="C2638" s="1" t="str">
        <f t="shared" si="82"/>
        <v>04-2023</v>
      </c>
      <c r="D2638" s="2">
        <f t="shared" si="83"/>
        <v>16</v>
      </c>
      <c r="E2638" t="s">
        <v>18</v>
      </c>
      <c r="F2638" t="s">
        <v>14</v>
      </c>
      <c r="G2638" t="s">
        <v>19</v>
      </c>
      <c r="H2638" s="2">
        <v>61532</v>
      </c>
      <c r="I2638" s="2">
        <v>9</v>
      </c>
      <c r="J2638" s="2">
        <v>73017</v>
      </c>
      <c r="K2638" s="2">
        <v>35497</v>
      </c>
      <c r="L2638" s="2">
        <v>14</v>
      </c>
      <c r="M2638" t="str">
        <f>IF(Revv_bike_sales_data[[#This Row],[delivery_days]]&lt;=7, "Yes", "No")</f>
        <v>No</v>
      </c>
      <c r="N2638" t="s">
        <v>16</v>
      </c>
      <c r="O2638" s="2">
        <v>37520</v>
      </c>
    </row>
    <row r="2639" spans="1:15" x14ac:dyDescent="0.3">
      <c r="A2639" s="2">
        <v>2629</v>
      </c>
      <c r="B2639" s="1">
        <v>45036.5</v>
      </c>
      <c r="C2639" s="1" t="str">
        <f t="shared" si="82"/>
        <v>04-2023</v>
      </c>
      <c r="D2639" s="2">
        <f t="shared" si="83"/>
        <v>16</v>
      </c>
      <c r="E2639" t="s">
        <v>13</v>
      </c>
      <c r="F2639" t="s">
        <v>23</v>
      </c>
      <c r="G2639" t="s">
        <v>20</v>
      </c>
      <c r="H2639" s="2">
        <v>44578</v>
      </c>
      <c r="I2639" s="2">
        <v>1</v>
      </c>
      <c r="J2639" s="2">
        <v>37939</v>
      </c>
      <c r="K2639" s="2">
        <v>94714</v>
      </c>
      <c r="L2639" s="2">
        <v>7</v>
      </c>
      <c r="M2639" t="str">
        <f>IF(Revv_bike_sales_data[[#This Row],[delivery_days]]&lt;=7, "Yes", "No")</f>
        <v>Yes</v>
      </c>
      <c r="N2639" t="s">
        <v>16</v>
      </c>
      <c r="O2639" s="2">
        <v>-56775</v>
      </c>
    </row>
    <row r="2640" spans="1:15" x14ac:dyDescent="0.3">
      <c r="A2640" s="2">
        <v>2630</v>
      </c>
      <c r="B2640" s="1">
        <v>45036.541666666664</v>
      </c>
      <c r="C2640" s="1" t="str">
        <f t="shared" si="82"/>
        <v>04-2023</v>
      </c>
      <c r="D2640" s="2">
        <f t="shared" si="83"/>
        <v>16</v>
      </c>
      <c r="E2640" t="s">
        <v>25</v>
      </c>
      <c r="F2640" t="s">
        <v>14</v>
      </c>
      <c r="G2640" t="s">
        <v>20</v>
      </c>
      <c r="H2640" s="2">
        <v>89162</v>
      </c>
      <c r="I2640" s="2">
        <v>3</v>
      </c>
      <c r="J2640" s="2">
        <v>129152</v>
      </c>
      <c r="K2640" s="2">
        <v>87082</v>
      </c>
      <c r="L2640" s="2">
        <v>9</v>
      </c>
      <c r="M2640" t="str">
        <f>IF(Revv_bike_sales_data[[#This Row],[delivery_days]]&lt;=7, "Yes", "No")</f>
        <v>No</v>
      </c>
      <c r="N2640" t="s">
        <v>16</v>
      </c>
      <c r="O2640" s="2">
        <v>42070</v>
      </c>
    </row>
    <row r="2641" spans="1:15" x14ac:dyDescent="0.3">
      <c r="A2641" s="2">
        <v>2631</v>
      </c>
      <c r="B2641" s="1">
        <v>45036.583333333336</v>
      </c>
      <c r="C2641" s="1" t="str">
        <f t="shared" si="82"/>
        <v>04-2023</v>
      </c>
      <c r="D2641" s="2">
        <f t="shared" si="83"/>
        <v>16</v>
      </c>
      <c r="E2641" t="s">
        <v>22</v>
      </c>
      <c r="F2641" t="s">
        <v>23</v>
      </c>
      <c r="G2641" t="s">
        <v>15</v>
      </c>
      <c r="H2641" s="2">
        <v>21800</v>
      </c>
      <c r="I2641" s="2">
        <v>1</v>
      </c>
      <c r="J2641" s="2">
        <v>64585</v>
      </c>
      <c r="K2641" s="2">
        <v>88932</v>
      </c>
      <c r="L2641" s="2">
        <v>3</v>
      </c>
      <c r="M2641" t="str">
        <f>IF(Revv_bike_sales_data[[#This Row],[delivery_days]]&lt;=7, "Yes", "No")</f>
        <v>Yes</v>
      </c>
      <c r="N2641" t="s">
        <v>16</v>
      </c>
      <c r="O2641" s="2">
        <v>-24347</v>
      </c>
    </row>
    <row r="2642" spans="1:15" x14ac:dyDescent="0.3">
      <c r="A2642" s="2">
        <v>2632</v>
      </c>
      <c r="B2642" s="1">
        <v>45036.625</v>
      </c>
      <c r="C2642" s="1" t="str">
        <f t="shared" si="82"/>
        <v>04-2023</v>
      </c>
      <c r="D2642" s="2">
        <f t="shared" si="83"/>
        <v>16</v>
      </c>
      <c r="E2642" t="s">
        <v>13</v>
      </c>
      <c r="F2642" t="s">
        <v>14</v>
      </c>
      <c r="G2642" t="s">
        <v>21</v>
      </c>
      <c r="H2642" s="2">
        <v>76200</v>
      </c>
      <c r="I2642" s="2">
        <v>1</v>
      </c>
      <c r="J2642" s="2">
        <v>141315</v>
      </c>
      <c r="K2642" s="2">
        <v>35978</v>
      </c>
      <c r="L2642" s="2">
        <v>1</v>
      </c>
      <c r="M2642" t="str">
        <f>IF(Revv_bike_sales_data[[#This Row],[delivery_days]]&lt;=7, "Yes", "No")</f>
        <v>Yes</v>
      </c>
      <c r="N2642" t="s">
        <v>16</v>
      </c>
      <c r="O2642" s="2">
        <v>105337</v>
      </c>
    </row>
    <row r="2643" spans="1:15" x14ac:dyDescent="0.3">
      <c r="A2643" s="2">
        <v>2633</v>
      </c>
      <c r="B2643" s="1">
        <v>45036.666666666664</v>
      </c>
      <c r="C2643" s="1" t="str">
        <f t="shared" si="82"/>
        <v>04-2023</v>
      </c>
      <c r="D2643" s="2">
        <f t="shared" si="83"/>
        <v>16</v>
      </c>
      <c r="E2643" t="s">
        <v>18</v>
      </c>
      <c r="F2643" t="s">
        <v>14</v>
      </c>
      <c r="G2643" t="s">
        <v>20</v>
      </c>
      <c r="H2643" s="2">
        <v>51445</v>
      </c>
      <c r="I2643" s="2">
        <v>2</v>
      </c>
      <c r="J2643" s="2">
        <v>129447</v>
      </c>
      <c r="K2643" s="2">
        <v>123867</v>
      </c>
      <c r="L2643" s="2">
        <v>1</v>
      </c>
      <c r="M2643" t="str">
        <f>IF(Revv_bike_sales_data[[#This Row],[delivery_days]]&lt;=7, "Yes", "No")</f>
        <v>Yes</v>
      </c>
      <c r="N2643" t="s">
        <v>16</v>
      </c>
      <c r="O2643" s="2">
        <v>5580</v>
      </c>
    </row>
    <row r="2644" spans="1:15" x14ac:dyDescent="0.3">
      <c r="A2644" s="2">
        <v>2634</v>
      </c>
      <c r="B2644" s="1">
        <v>45036.708333333336</v>
      </c>
      <c r="C2644" s="1" t="str">
        <f t="shared" si="82"/>
        <v>04-2023</v>
      </c>
      <c r="D2644" s="2">
        <f t="shared" si="83"/>
        <v>16</v>
      </c>
      <c r="E2644" t="s">
        <v>13</v>
      </c>
      <c r="F2644" t="s">
        <v>14</v>
      </c>
      <c r="G2644" t="s">
        <v>21</v>
      </c>
      <c r="H2644" s="2">
        <v>56109</v>
      </c>
      <c r="I2644" s="2">
        <v>4</v>
      </c>
      <c r="J2644" s="2">
        <v>179014</v>
      </c>
      <c r="K2644" s="2">
        <v>27882</v>
      </c>
      <c r="L2644" s="2">
        <v>11</v>
      </c>
      <c r="M2644" t="str">
        <f>IF(Revv_bike_sales_data[[#This Row],[delivery_days]]&lt;=7, "Yes", "No")</f>
        <v>No</v>
      </c>
      <c r="N2644" t="s">
        <v>16</v>
      </c>
      <c r="O2644" s="2">
        <v>151132</v>
      </c>
    </row>
    <row r="2645" spans="1:15" x14ac:dyDescent="0.3">
      <c r="A2645" s="2">
        <v>2635</v>
      </c>
      <c r="B2645" s="1">
        <v>45036.75</v>
      </c>
      <c r="C2645" s="1" t="str">
        <f t="shared" si="82"/>
        <v>04-2023</v>
      </c>
      <c r="D2645" s="2">
        <f t="shared" si="83"/>
        <v>16</v>
      </c>
      <c r="E2645" t="s">
        <v>25</v>
      </c>
      <c r="F2645" t="s">
        <v>14</v>
      </c>
      <c r="G2645" t="s">
        <v>21</v>
      </c>
      <c r="H2645" s="2">
        <v>61062</v>
      </c>
      <c r="I2645" s="2">
        <v>3</v>
      </c>
      <c r="J2645" s="2">
        <v>161344</v>
      </c>
      <c r="K2645" s="2">
        <v>31945</v>
      </c>
      <c r="L2645" s="2">
        <v>10</v>
      </c>
      <c r="M2645" t="str">
        <f>IF(Revv_bike_sales_data[[#This Row],[delivery_days]]&lt;=7, "Yes", "No")</f>
        <v>No</v>
      </c>
      <c r="N2645" t="s">
        <v>16</v>
      </c>
      <c r="O2645" s="2">
        <v>129399</v>
      </c>
    </row>
    <row r="2646" spans="1:15" x14ac:dyDescent="0.3">
      <c r="A2646" s="2">
        <v>2636</v>
      </c>
      <c r="B2646" s="1">
        <v>45036.791666666664</v>
      </c>
      <c r="C2646" s="1" t="str">
        <f t="shared" si="82"/>
        <v>04-2023</v>
      </c>
      <c r="D2646" s="2">
        <f t="shared" si="83"/>
        <v>16</v>
      </c>
      <c r="E2646" t="s">
        <v>18</v>
      </c>
      <c r="F2646" t="s">
        <v>14</v>
      </c>
      <c r="G2646" t="s">
        <v>15</v>
      </c>
      <c r="H2646" s="2">
        <v>90545</v>
      </c>
      <c r="I2646" s="2">
        <v>1</v>
      </c>
      <c r="J2646" s="2">
        <v>106560</v>
      </c>
      <c r="K2646" s="2">
        <v>102320</v>
      </c>
      <c r="L2646" s="2">
        <v>6</v>
      </c>
      <c r="M2646" t="str">
        <f>IF(Revv_bike_sales_data[[#This Row],[delivery_days]]&lt;=7, "Yes", "No")</f>
        <v>Yes</v>
      </c>
      <c r="N2646" t="s">
        <v>16</v>
      </c>
      <c r="O2646" s="2">
        <v>4240</v>
      </c>
    </row>
    <row r="2647" spans="1:15" x14ac:dyDescent="0.3">
      <c r="A2647" s="2">
        <v>2637</v>
      </c>
      <c r="B2647" s="1">
        <v>45036.833333333336</v>
      </c>
      <c r="C2647" s="1" t="str">
        <f t="shared" si="82"/>
        <v>04-2023</v>
      </c>
      <c r="D2647" s="2">
        <f t="shared" si="83"/>
        <v>16</v>
      </c>
      <c r="E2647" t="s">
        <v>22</v>
      </c>
      <c r="F2647" t="s">
        <v>14</v>
      </c>
      <c r="G2647" t="s">
        <v>20</v>
      </c>
      <c r="H2647" s="2">
        <v>62401</v>
      </c>
      <c r="I2647" s="2">
        <v>9</v>
      </c>
      <c r="J2647" s="2">
        <v>122435</v>
      </c>
      <c r="K2647" s="2">
        <v>71485</v>
      </c>
      <c r="L2647" s="2">
        <v>7</v>
      </c>
      <c r="M2647" t="str">
        <f>IF(Revv_bike_sales_data[[#This Row],[delivery_days]]&lt;=7, "Yes", "No")</f>
        <v>Yes</v>
      </c>
      <c r="N2647" t="s">
        <v>16</v>
      </c>
      <c r="O2647" s="2">
        <v>50950</v>
      </c>
    </row>
    <row r="2648" spans="1:15" x14ac:dyDescent="0.3">
      <c r="A2648" s="2">
        <v>2638</v>
      </c>
      <c r="B2648" s="1">
        <v>45036.875</v>
      </c>
      <c r="C2648" s="1" t="str">
        <f t="shared" si="82"/>
        <v>04-2023</v>
      </c>
      <c r="D2648" s="2">
        <f t="shared" si="83"/>
        <v>16</v>
      </c>
      <c r="E2648" t="s">
        <v>18</v>
      </c>
      <c r="F2648" t="s">
        <v>14</v>
      </c>
      <c r="G2648" t="s">
        <v>21</v>
      </c>
      <c r="H2648" s="2">
        <v>6203</v>
      </c>
      <c r="I2648" s="2">
        <v>1</v>
      </c>
      <c r="J2648" s="2">
        <v>94283</v>
      </c>
      <c r="K2648" s="2">
        <v>83850</v>
      </c>
      <c r="L2648" s="2">
        <v>9</v>
      </c>
      <c r="M2648" t="str">
        <f>IF(Revv_bike_sales_data[[#This Row],[delivery_days]]&lt;=7, "Yes", "No")</f>
        <v>No</v>
      </c>
      <c r="N2648" t="s">
        <v>16</v>
      </c>
      <c r="O2648" s="2">
        <v>10433</v>
      </c>
    </row>
    <row r="2649" spans="1:15" x14ac:dyDescent="0.3">
      <c r="A2649" s="2">
        <v>2639</v>
      </c>
      <c r="B2649" s="1">
        <v>45036.916666666664</v>
      </c>
      <c r="C2649" s="1" t="str">
        <f t="shared" si="82"/>
        <v>04-2023</v>
      </c>
      <c r="D2649" s="2">
        <f t="shared" si="83"/>
        <v>16</v>
      </c>
      <c r="E2649" t="s">
        <v>18</v>
      </c>
      <c r="F2649" t="s">
        <v>14</v>
      </c>
      <c r="G2649" t="s">
        <v>21</v>
      </c>
      <c r="H2649" s="2">
        <v>93145</v>
      </c>
      <c r="I2649" s="2">
        <v>5</v>
      </c>
      <c r="J2649" s="2">
        <v>34297</v>
      </c>
      <c r="K2649" s="2">
        <v>133648</v>
      </c>
      <c r="L2649" s="2">
        <v>6</v>
      </c>
      <c r="M2649" t="str">
        <f>IF(Revv_bike_sales_data[[#This Row],[delivery_days]]&lt;=7, "Yes", "No")</f>
        <v>Yes</v>
      </c>
      <c r="N2649" t="s">
        <v>16</v>
      </c>
      <c r="O2649" s="2">
        <v>-99351</v>
      </c>
    </row>
    <row r="2650" spans="1:15" x14ac:dyDescent="0.3">
      <c r="A2650" s="2">
        <v>2640</v>
      </c>
      <c r="B2650" s="1">
        <v>45036.958333333336</v>
      </c>
      <c r="C2650" s="1" t="str">
        <f t="shared" si="82"/>
        <v>04-2023</v>
      </c>
      <c r="D2650" s="2">
        <f t="shared" si="83"/>
        <v>16</v>
      </c>
      <c r="E2650" t="s">
        <v>17</v>
      </c>
      <c r="F2650" t="s">
        <v>14</v>
      </c>
      <c r="G2650" t="s">
        <v>15</v>
      </c>
      <c r="H2650" s="2">
        <v>63615</v>
      </c>
      <c r="I2650" s="2">
        <v>6</v>
      </c>
      <c r="J2650" s="2">
        <v>89005</v>
      </c>
      <c r="K2650" s="2">
        <v>74870</v>
      </c>
      <c r="L2650" s="2">
        <v>5</v>
      </c>
      <c r="M2650" t="str">
        <f>IF(Revv_bike_sales_data[[#This Row],[delivery_days]]&lt;=7, "Yes", "No")</f>
        <v>Yes</v>
      </c>
      <c r="N2650" t="s">
        <v>16</v>
      </c>
      <c r="O2650" s="2">
        <v>14135</v>
      </c>
    </row>
    <row r="2651" spans="1:15" x14ac:dyDescent="0.3">
      <c r="A2651" s="2">
        <v>2641</v>
      </c>
      <c r="B2651" s="1">
        <v>45037</v>
      </c>
      <c r="C2651" s="1" t="str">
        <f t="shared" si="82"/>
        <v>04-2023</v>
      </c>
      <c r="D2651" s="2">
        <f t="shared" si="83"/>
        <v>16</v>
      </c>
      <c r="E2651" t="s">
        <v>18</v>
      </c>
      <c r="F2651" t="s">
        <v>14</v>
      </c>
      <c r="G2651" t="s">
        <v>15</v>
      </c>
      <c r="H2651" s="2">
        <v>88590</v>
      </c>
      <c r="I2651" s="2">
        <v>9</v>
      </c>
      <c r="J2651" s="2">
        <v>153833</v>
      </c>
      <c r="K2651" s="2">
        <v>33595</v>
      </c>
      <c r="L2651" s="2">
        <v>14</v>
      </c>
      <c r="M2651" t="str">
        <f>IF(Revv_bike_sales_data[[#This Row],[delivery_days]]&lt;=7, "Yes", "No")</f>
        <v>No</v>
      </c>
      <c r="N2651" t="s">
        <v>24</v>
      </c>
      <c r="O2651" s="2">
        <v>120238</v>
      </c>
    </row>
    <row r="2652" spans="1:15" x14ac:dyDescent="0.3">
      <c r="A2652" s="2">
        <v>2642</v>
      </c>
      <c r="B2652" s="1">
        <v>45037.041666666664</v>
      </c>
      <c r="C2652" s="1" t="str">
        <f t="shared" si="82"/>
        <v>04-2023</v>
      </c>
      <c r="D2652" s="2">
        <f t="shared" si="83"/>
        <v>16</v>
      </c>
      <c r="E2652" t="s">
        <v>18</v>
      </c>
      <c r="F2652" t="s">
        <v>14</v>
      </c>
      <c r="G2652" t="s">
        <v>21</v>
      </c>
      <c r="H2652" s="2">
        <v>28176</v>
      </c>
      <c r="I2652" s="2">
        <v>5</v>
      </c>
      <c r="J2652" s="2">
        <v>157679</v>
      </c>
      <c r="K2652" s="2">
        <v>99291</v>
      </c>
      <c r="L2652" s="2">
        <v>2</v>
      </c>
      <c r="M2652" t="str">
        <f>IF(Revv_bike_sales_data[[#This Row],[delivery_days]]&lt;=7, "Yes", "No")</f>
        <v>Yes</v>
      </c>
      <c r="N2652" t="s">
        <v>16</v>
      </c>
      <c r="O2652" s="2">
        <v>58388</v>
      </c>
    </row>
    <row r="2653" spans="1:15" x14ac:dyDescent="0.3">
      <c r="A2653" s="2">
        <v>2643</v>
      </c>
      <c r="B2653" s="1">
        <v>45037.083333333336</v>
      </c>
      <c r="C2653" s="1" t="str">
        <f t="shared" si="82"/>
        <v>04-2023</v>
      </c>
      <c r="D2653" s="2">
        <f t="shared" si="83"/>
        <v>16</v>
      </c>
      <c r="E2653" t="s">
        <v>13</v>
      </c>
      <c r="F2653" t="s">
        <v>14</v>
      </c>
      <c r="G2653" t="s">
        <v>15</v>
      </c>
      <c r="H2653" s="2">
        <v>62210</v>
      </c>
      <c r="I2653" s="2">
        <v>6</v>
      </c>
      <c r="J2653" s="2">
        <v>155654</v>
      </c>
      <c r="K2653" s="2">
        <v>112847</v>
      </c>
      <c r="L2653" s="2">
        <v>2</v>
      </c>
      <c r="M2653" t="str">
        <f>IF(Revv_bike_sales_data[[#This Row],[delivery_days]]&lt;=7, "Yes", "No")</f>
        <v>Yes</v>
      </c>
      <c r="N2653" t="s">
        <v>16</v>
      </c>
      <c r="O2653" s="2">
        <v>42807</v>
      </c>
    </row>
    <row r="2654" spans="1:15" x14ac:dyDescent="0.3">
      <c r="A2654" s="2">
        <v>2644</v>
      </c>
      <c r="B2654" s="1">
        <v>45037.125</v>
      </c>
      <c r="C2654" s="1" t="str">
        <f t="shared" si="82"/>
        <v>04-2023</v>
      </c>
      <c r="D2654" s="2">
        <f t="shared" si="83"/>
        <v>16</v>
      </c>
      <c r="E2654" t="s">
        <v>22</v>
      </c>
      <c r="F2654" t="s">
        <v>14</v>
      </c>
      <c r="G2654" t="s">
        <v>21</v>
      </c>
      <c r="H2654" s="2">
        <v>60577</v>
      </c>
      <c r="I2654" s="2">
        <v>0</v>
      </c>
      <c r="J2654" s="2">
        <v>111994</v>
      </c>
      <c r="K2654" s="2">
        <v>79038</v>
      </c>
      <c r="L2654" s="2">
        <v>8</v>
      </c>
      <c r="M2654" t="str">
        <f>IF(Revv_bike_sales_data[[#This Row],[delivery_days]]&lt;=7, "Yes", "No")</f>
        <v>No</v>
      </c>
      <c r="N2654" t="s">
        <v>16</v>
      </c>
      <c r="O2654" s="2">
        <v>32956</v>
      </c>
    </row>
    <row r="2655" spans="1:15" x14ac:dyDescent="0.3">
      <c r="A2655" s="2">
        <v>2645</v>
      </c>
      <c r="B2655" s="1">
        <v>45037.166666666664</v>
      </c>
      <c r="C2655" s="1" t="str">
        <f t="shared" si="82"/>
        <v>04-2023</v>
      </c>
      <c r="D2655" s="2">
        <f t="shared" si="83"/>
        <v>16</v>
      </c>
      <c r="E2655" t="s">
        <v>13</v>
      </c>
      <c r="F2655" t="s">
        <v>14</v>
      </c>
      <c r="G2655" t="s">
        <v>20</v>
      </c>
      <c r="H2655" s="2">
        <v>89840</v>
      </c>
      <c r="I2655" s="2">
        <v>5</v>
      </c>
      <c r="J2655" s="2">
        <v>81305</v>
      </c>
      <c r="K2655" s="2">
        <v>71126</v>
      </c>
      <c r="L2655" s="2">
        <v>1</v>
      </c>
      <c r="M2655" t="str">
        <f>IF(Revv_bike_sales_data[[#This Row],[delivery_days]]&lt;=7, "Yes", "No")</f>
        <v>Yes</v>
      </c>
      <c r="N2655" t="s">
        <v>16</v>
      </c>
      <c r="O2655" s="2">
        <v>10179</v>
      </c>
    </row>
    <row r="2656" spans="1:15" x14ac:dyDescent="0.3">
      <c r="A2656" s="2">
        <v>2646</v>
      </c>
      <c r="B2656" s="1">
        <v>45037.208333333336</v>
      </c>
      <c r="C2656" s="1" t="str">
        <f t="shared" si="82"/>
        <v>04-2023</v>
      </c>
      <c r="D2656" s="2">
        <f t="shared" si="83"/>
        <v>16</v>
      </c>
      <c r="E2656" t="s">
        <v>13</v>
      </c>
      <c r="F2656" t="s">
        <v>23</v>
      </c>
      <c r="G2656" t="s">
        <v>19</v>
      </c>
      <c r="H2656" s="2">
        <v>45940</v>
      </c>
      <c r="I2656" s="2">
        <v>2</v>
      </c>
      <c r="J2656" s="2">
        <v>179189</v>
      </c>
      <c r="K2656" s="2">
        <v>126231</v>
      </c>
      <c r="L2656" s="2">
        <v>8</v>
      </c>
      <c r="M2656" t="str">
        <f>IF(Revv_bike_sales_data[[#This Row],[delivery_days]]&lt;=7, "Yes", "No")</f>
        <v>No</v>
      </c>
      <c r="N2656" t="s">
        <v>16</v>
      </c>
      <c r="O2656" s="2">
        <v>52958</v>
      </c>
    </row>
    <row r="2657" spans="1:15" x14ac:dyDescent="0.3">
      <c r="A2657" s="2">
        <v>2647</v>
      </c>
      <c r="B2657" s="1">
        <v>45037.25</v>
      </c>
      <c r="C2657" s="1" t="str">
        <f t="shared" si="82"/>
        <v>04-2023</v>
      </c>
      <c r="D2657" s="2">
        <f t="shared" si="83"/>
        <v>16</v>
      </c>
      <c r="E2657" t="s">
        <v>25</v>
      </c>
      <c r="F2657" t="s">
        <v>14</v>
      </c>
      <c r="G2657" t="s">
        <v>15</v>
      </c>
      <c r="H2657" s="2">
        <v>37423</v>
      </c>
      <c r="I2657" s="2">
        <v>0</v>
      </c>
      <c r="J2657" s="2">
        <v>147688</v>
      </c>
      <c r="K2657" s="2">
        <v>111134</v>
      </c>
      <c r="L2657" s="2">
        <v>11</v>
      </c>
      <c r="M2657" t="str">
        <f>IF(Revv_bike_sales_data[[#This Row],[delivery_days]]&lt;=7, "Yes", "No")</f>
        <v>No</v>
      </c>
      <c r="N2657" t="s">
        <v>16</v>
      </c>
      <c r="O2657" s="2">
        <v>36554</v>
      </c>
    </row>
    <row r="2658" spans="1:15" x14ac:dyDescent="0.3">
      <c r="A2658" s="2">
        <v>2648</v>
      </c>
      <c r="B2658" s="1">
        <v>45037.291666666664</v>
      </c>
      <c r="C2658" s="1" t="str">
        <f t="shared" si="82"/>
        <v>04-2023</v>
      </c>
      <c r="D2658" s="2">
        <f t="shared" si="83"/>
        <v>16</v>
      </c>
      <c r="E2658" t="s">
        <v>13</v>
      </c>
      <c r="F2658" t="s">
        <v>14</v>
      </c>
      <c r="G2658" t="s">
        <v>19</v>
      </c>
      <c r="H2658" s="2">
        <v>30302</v>
      </c>
      <c r="I2658" s="2">
        <v>7</v>
      </c>
      <c r="J2658" s="2">
        <v>32645</v>
      </c>
      <c r="K2658" s="2">
        <v>50449</v>
      </c>
      <c r="L2658" s="2">
        <v>10</v>
      </c>
      <c r="M2658" t="str">
        <f>IF(Revv_bike_sales_data[[#This Row],[delivery_days]]&lt;=7, "Yes", "No")</f>
        <v>No</v>
      </c>
      <c r="N2658" t="s">
        <v>16</v>
      </c>
      <c r="O2658" s="2">
        <v>-17804</v>
      </c>
    </row>
    <row r="2659" spans="1:15" x14ac:dyDescent="0.3">
      <c r="A2659" s="2">
        <v>2649</v>
      </c>
      <c r="B2659" s="1">
        <v>45037.333333333336</v>
      </c>
      <c r="C2659" s="1" t="str">
        <f t="shared" si="82"/>
        <v>04-2023</v>
      </c>
      <c r="D2659" s="2">
        <f t="shared" si="83"/>
        <v>16</v>
      </c>
      <c r="E2659" t="s">
        <v>17</v>
      </c>
      <c r="F2659" t="s">
        <v>23</v>
      </c>
      <c r="G2659" t="s">
        <v>21</v>
      </c>
      <c r="H2659" s="2">
        <v>90831</v>
      </c>
      <c r="I2659" s="2">
        <v>3</v>
      </c>
      <c r="J2659" s="2">
        <v>67238</v>
      </c>
      <c r="K2659" s="2">
        <v>116110</v>
      </c>
      <c r="L2659" s="2">
        <v>11</v>
      </c>
      <c r="M2659" t="str">
        <f>IF(Revv_bike_sales_data[[#This Row],[delivery_days]]&lt;=7, "Yes", "No")</f>
        <v>No</v>
      </c>
      <c r="N2659" t="s">
        <v>16</v>
      </c>
      <c r="O2659" s="2">
        <v>-48872</v>
      </c>
    </row>
    <row r="2660" spans="1:15" x14ac:dyDescent="0.3">
      <c r="A2660" s="2">
        <v>2650</v>
      </c>
      <c r="B2660" s="1">
        <v>45037.375</v>
      </c>
      <c r="C2660" s="1" t="str">
        <f t="shared" si="82"/>
        <v>04-2023</v>
      </c>
      <c r="D2660" s="2">
        <f t="shared" si="83"/>
        <v>16</v>
      </c>
      <c r="E2660" t="s">
        <v>17</v>
      </c>
      <c r="F2660" t="s">
        <v>14</v>
      </c>
      <c r="G2660" t="s">
        <v>21</v>
      </c>
      <c r="H2660" s="2">
        <v>63404</v>
      </c>
      <c r="I2660" s="2">
        <v>9</v>
      </c>
      <c r="J2660" s="2">
        <v>94694</v>
      </c>
      <c r="K2660" s="2">
        <v>125265</v>
      </c>
      <c r="L2660" s="2">
        <v>7</v>
      </c>
      <c r="M2660" t="str">
        <f>IF(Revv_bike_sales_data[[#This Row],[delivery_days]]&lt;=7, "Yes", "No")</f>
        <v>Yes</v>
      </c>
      <c r="N2660" t="s">
        <v>16</v>
      </c>
      <c r="O2660" s="2">
        <v>-30571</v>
      </c>
    </row>
    <row r="2661" spans="1:15" x14ac:dyDescent="0.3">
      <c r="A2661" s="2">
        <v>2651</v>
      </c>
      <c r="B2661" s="1">
        <v>45037.416666666664</v>
      </c>
      <c r="C2661" s="1" t="str">
        <f t="shared" si="82"/>
        <v>04-2023</v>
      </c>
      <c r="D2661" s="2">
        <f t="shared" si="83"/>
        <v>16</v>
      </c>
      <c r="E2661" t="s">
        <v>25</v>
      </c>
      <c r="F2661" t="s">
        <v>23</v>
      </c>
      <c r="G2661" t="s">
        <v>21</v>
      </c>
      <c r="H2661" s="2">
        <v>60662</v>
      </c>
      <c r="I2661" s="2">
        <v>7</v>
      </c>
      <c r="J2661" s="2">
        <v>41786</v>
      </c>
      <c r="K2661" s="2">
        <v>33639</v>
      </c>
      <c r="L2661" s="2">
        <v>7</v>
      </c>
      <c r="M2661" t="str">
        <f>IF(Revv_bike_sales_data[[#This Row],[delivery_days]]&lt;=7, "Yes", "No")</f>
        <v>Yes</v>
      </c>
      <c r="N2661" t="s">
        <v>16</v>
      </c>
      <c r="O2661" s="2">
        <v>8147</v>
      </c>
    </row>
    <row r="2662" spans="1:15" x14ac:dyDescent="0.3">
      <c r="A2662" s="2">
        <v>2652</v>
      </c>
      <c r="B2662" s="1">
        <v>45037.458333333336</v>
      </c>
      <c r="C2662" s="1" t="str">
        <f t="shared" si="82"/>
        <v>04-2023</v>
      </c>
      <c r="D2662" s="2">
        <f t="shared" si="83"/>
        <v>16</v>
      </c>
      <c r="E2662" t="s">
        <v>22</v>
      </c>
      <c r="F2662" t="s">
        <v>14</v>
      </c>
      <c r="G2662" t="s">
        <v>19</v>
      </c>
      <c r="H2662" s="2">
        <v>65669</v>
      </c>
      <c r="I2662" s="2">
        <v>9</v>
      </c>
      <c r="J2662" s="2">
        <v>65693</v>
      </c>
      <c r="K2662" s="2">
        <v>60370</v>
      </c>
      <c r="L2662" s="2">
        <v>5</v>
      </c>
      <c r="M2662" t="str">
        <f>IF(Revv_bike_sales_data[[#This Row],[delivery_days]]&lt;=7, "Yes", "No")</f>
        <v>Yes</v>
      </c>
      <c r="N2662" t="s">
        <v>16</v>
      </c>
      <c r="O2662" s="2">
        <v>5323</v>
      </c>
    </row>
    <row r="2663" spans="1:15" x14ac:dyDescent="0.3">
      <c r="A2663" s="2">
        <v>2653</v>
      </c>
      <c r="B2663" s="1">
        <v>45037.5</v>
      </c>
      <c r="C2663" s="1" t="str">
        <f t="shared" si="82"/>
        <v>04-2023</v>
      </c>
      <c r="D2663" s="2">
        <f t="shared" si="83"/>
        <v>16</v>
      </c>
      <c r="E2663" t="s">
        <v>22</v>
      </c>
      <c r="F2663" t="s">
        <v>14</v>
      </c>
      <c r="G2663" t="s">
        <v>21</v>
      </c>
      <c r="H2663" s="2">
        <v>68647</v>
      </c>
      <c r="I2663" s="2">
        <v>3</v>
      </c>
      <c r="J2663" s="2">
        <v>121447</v>
      </c>
      <c r="K2663" s="2">
        <v>111559</v>
      </c>
      <c r="L2663" s="2">
        <v>3</v>
      </c>
      <c r="M2663" t="str">
        <f>IF(Revv_bike_sales_data[[#This Row],[delivery_days]]&lt;=7, "Yes", "No")</f>
        <v>Yes</v>
      </c>
      <c r="N2663" t="s">
        <v>24</v>
      </c>
      <c r="O2663" s="2">
        <v>9888</v>
      </c>
    </row>
    <row r="2664" spans="1:15" x14ac:dyDescent="0.3">
      <c r="A2664" s="2">
        <v>2654</v>
      </c>
      <c r="B2664" s="1">
        <v>45037.541666666664</v>
      </c>
      <c r="C2664" s="1" t="str">
        <f t="shared" si="82"/>
        <v>04-2023</v>
      </c>
      <c r="D2664" s="2">
        <f t="shared" si="83"/>
        <v>16</v>
      </c>
      <c r="E2664" t="s">
        <v>13</v>
      </c>
      <c r="F2664" t="s">
        <v>14</v>
      </c>
      <c r="G2664" t="s">
        <v>15</v>
      </c>
      <c r="H2664" s="2">
        <v>22575</v>
      </c>
      <c r="I2664" s="2">
        <v>3</v>
      </c>
      <c r="J2664" s="2">
        <v>94702</v>
      </c>
      <c r="K2664" s="2">
        <v>89628</v>
      </c>
      <c r="L2664" s="2">
        <v>7</v>
      </c>
      <c r="M2664" t="str">
        <f>IF(Revv_bike_sales_data[[#This Row],[delivery_days]]&lt;=7, "Yes", "No")</f>
        <v>Yes</v>
      </c>
      <c r="N2664" t="s">
        <v>16</v>
      </c>
      <c r="O2664" s="2">
        <v>5074</v>
      </c>
    </row>
    <row r="2665" spans="1:15" x14ac:dyDescent="0.3">
      <c r="A2665" s="2">
        <v>2655</v>
      </c>
      <c r="B2665" s="1">
        <v>45037.583333333336</v>
      </c>
      <c r="C2665" s="1" t="str">
        <f t="shared" si="82"/>
        <v>04-2023</v>
      </c>
      <c r="D2665" s="2">
        <f t="shared" si="83"/>
        <v>16</v>
      </c>
      <c r="E2665" t="s">
        <v>13</v>
      </c>
      <c r="F2665" t="s">
        <v>14</v>
      </c>
      <c r="G2665" t="s">
        <v>20</v>
      </c>
      <c r="H2665" s="2">
        <v>82515</v>
      </c>
      <c r="I2665" s="2">
        <v>9</v>
      </c>
      <c r="J2665" s="2">
        <v>109845</v>
      </c>
      <c r="K2665" s="2">
        <v>86918</v>
      </c>
      <c r="L2665" s="2">
        <v>7</v>
      </c>
      <c r="M2665" t="str">
        <f>IF(Revv_bike_sales_data[[#This Row],[delivery_days]]&lt;=7, "Yes", "No")</f>
        <v>Yes</v>
      </c>
      <c r="N2665" t="s">
        <v>16</v>
      </c>
      <c r="O2665" s="2">
        <v>22927</v>
      </c>
    </row>
    <row r="2666" spans="1:15" x14ac:dyDescent="0.3">
      <c r="A2666" s="2">
        <v>2656</v>
      </c>
      <c r="B2666" s="1">
        <v>45037.625</v>
      </c>
      <c r="C2666" s="1" t="str">
        <f t="shared" si="82"/>
        <v>04-2023</v>
      </c>
      <c r="D2666" s="2">
        <f t="shared" si="83"/>
        <v>16</v>
      </c>
      <c r="E2666" t="s">
        <v>13</v>
      </c>
      <c r="F2666" t="s">
        <v>14</v>
      </c>
      <c r="G2666" t="s">
        <v>20</v>
      </c>
      <c r="H2666" s="2">
        <v>75216</v>
      </c>
      <c r="I2666" s="2">
        <v>3</v>
      </c>
      <c r="J2666" s="2">
        <v>40076</v>
      </c>
      <c r="K2666" s="2">
        <v>57710</v>
      </c>
      <c r="L2666" s="2">
        <v>7</v>
      </c>
      <c r="M2666" t="str">
        <f>IF(Revv_bike_sales_data[[#This Row],[delivery_days]]&lt;=7, "Yes", "No")</f>
        <v>Yes</v>
      </c>
      <c r="N2666" t="s">
        <v>16</v>
      </c>
      <c r="O2666" s="2">
        <v>-17634</v>
      </c>
    </row>
    <row r="2667" spans="1:15" x14ac:dyDescent="0.3">
      <c r="A2667" s="2">
        <v>2657</v>
      </c>
      <c r="B2667" s="1">
        <v>45037.666666666664</v>
      </c>
      <c r="C2667" s="1" t="str">
        <f t="shared" si="82"/>
        <v>04-2023</v>
      </c>
      <c r="D2667" s="2">
        <f t="shared" si="83"/>
        <v>16</v>
      </c>
      <c r="E2667" t="s">
        <v>22</v>
      </c>
      <c r="F2667" t="s">
        <v>14</v>
      </c>
      <c r="G2667" t="s">
        <v>15</v>
      </c>
      <c r="H2667" s="2">
        <v>9804</v>
      </c>
      <c r="I2667" s="2">
        <v>5</v>
      </c>
      <c r="J2667" s="2">
        <v>44377</v>
      </c>
      <c r="K2667" s="2">
        <v>69051</v>
      </c>
      <c r="L2667" s="2">
        <v>12</v>
      </c>
      <c r="M2667" t="str">
        <f>IF(Revv_bike_sales_data[[#This Row],[delivery_days]]&lt;=7, "Yes", "No")</f>
        <v>No</v>
      </c>
      <c r="N2667" t="s">
        <v>16</v>
      </c>
      <c r="O2667" s="2">
        <v>-24674</v>
      </c>
    </row>
    <row r="2668" spans="1:15" x14ac:dyDescent="0.3">
      <c r="A2668" s="2">
        <v>2658</v>
      </c>
      <c r="B2668" s="1">
        <v>45037.708333333336</v>
      </c>
      <c r="C2668" s="1" t="str">
        <f t="shared" si="82"/>
        <v>04-2023</v>
      </c>
      <c r="D2668" s="2">
        <f t="shared" si="83"/>
        <v>16</v>
      </c>
      <c r="E2668" t="s">
        <v>18</v>
      </c>
      <c r="F2668" t="s">
        <v>14</v>
      </c>
      <c r="G2668" t="s">
        <v>20</v>
      </c>
      <c r="H2668" s="2">
        <v>60122</v>
      </c>
      <c r="I2668" s="2">
        <v>8</v>
      </c>
      <c r="J2668" s="2">
        <v>165350</v>
      </c>
      <c r="K2668" s="2">
        <v>75639</v>
      </c>
      <c r="L2668" s="2">
        <v>11</v>
      </c>
      <c r="M2668" t="str">
        <f>IF(Revv_bike_sales_data[[#This Row],[delivery_days]]&lt;=7, "Yes", "No")</f>
        <v>No</v>
      </c>
      <c r="N2668" t="s">
        <v>16</v>
      </c>
      <c r="O2668" s="2">
        <v>89711</v>
      </c>
    </row>
    <row r="2669" spans="1:15" x14ac:dyDescent="0.3">
      <c r="A2669" s="2">
        <v>2659</v>
      </c>
      <c r="B2669" s="1">
        <v>45037.75</v>
      </c>
      <c r="C2669" s="1" t="str">
        <f t="shared" si="82"/>
        <v>04-2023</v>
      </c>
      <c r="D2669" s="2">
        <f t="shared" si="83"/>
        <v>16</v>
      </c>
      <c r="E2669" t="s">
        <v>17</v>
      </c>
      <c r="F2669" t="s">
        <v>14</v>
      </c>
      <c r="G2669" t="s">
        <v>19</v>
      </c>
      <c r="H2669" s="2">
        <v>54715</v>
      </c>
      <c r="I2669" s="2">
        <v>4</v>
      </c>
      <c r="J2669" s="2">
        <v>152368</v>
      </c>
      <c r="K2669" s="2">
        <v>18159</v>
      </c>
      <c r="L2669" s="2">
        <v>2</v>
      </c>
      <c r="M2669" t="str">
        <f>IF(Revv_bike_sales_data[[#This Row],[delivery_days]]&lt;=7, "Yes", "No")</f>
        <v>Yes</v>
      </c>
      <c r="N2669" t="s">
        <v>16</v>
      </c>
      <c r="O2669" s="2">
        <v>134209</v>
      </c>
    </row>
    <row r="2670" spans="1:15" x14ac:dyDescent="0.3">
      <c r="A2670" s="2">
        <v>2660</v>
      </c>
      <c r="B2670" s="1">
        <v>45037.791666666664</v>
      </c>
      <c r="C2670" s="1" t="str">
        <f t="shared" si="82"/>
        <v>04-2023</v>
      </c>
      <c r="D2670" s="2">
        <f t="shared" si="83"/>
        <v>16</v>
      </c>
      <c r="E2670" t="s">
        <v>18</v>
      </c>
      <c r="F2670" t="s">
        <v>14</v>
      </c>
      <c r="G2670" t="s">
        <v>21</v>
      </c>
      <c r="H2670" s="2">
        <v>80646</v>
      </c>
      <c r="I2670" s="2">
        <v>9</v>
      </c>
      <c r="J2670" s="2">
        <v>58539</v>
      </c>
      <c r="K2670" s="2">
        <v>86192</v>
      </c>
      <c r="L2670" s="2">
        <v>3</v>
      </c>
      <c r="M2670" t="str">
        <f>IF(Revv_bike_sales_data[[#This Row],[delivery_days]]&lt;=7, "Yes", "No")</f>
        <v>Yes</v>
      </c>
      <c r="N2670" t="s">
        <v>16</v>
      </c>
      <c r="O2670" s="2">
        <v>-27653</v>
      </c>
    </row>
    <row r="2671" spans="1:15" x14ac:dyDescent="0.3">
      <c r="A2671" s="2">
        <v>2661</v>
      </c>
      <c r="B2671" s="1">
        <v>45037.833333333336</v>
      </c>
      <c r="C2671" s="1" t="str">
        <f t="shared" si="82"/>
        <v>04-2023</v>
      </c>
      <c r="D2671" s="2">
        <f t="shared" si="83"/>
        <v>16</v>
      </c>
      <c r="E2671" t="s">
        <v>18</v>
      </c>
      <c r="F2671" t="s">
        <v>14</v>
      </c>
      <c r="G2671" t="s">
        <v>21</v>
      </c>
      <c r="H2671" s="2">
        <v>74473</v>
      </c>
      <c r="I2671" s="2">
        <v>7</v>
      </c>
      <c r="J2671" s="2">
        <v>151552</v>
      </c>
      <c r="K2671" s="2">
        <v>81988</v>
      </c>
      <c r="L2671" s="2">
        <v>3</v>
      </c>
      <c r="M2671" t="str">
        <f>IF(Revv_bike_sales_data[[#This Row],[delivery_days]]&lt;=7, "Yes", "No")</f>
        <v>Yes</v>
      </c>
      <c r="N2671" t="s">
        <v>16</v>
      </c>
      <c r="O2671" s="2">
        <v>69564</v>
      </c>
    </row>
    <row r="2672" spans="1:15" x14ac:dyDescent="0.3">
      <c r="A2672" s="2">
        <v>2662</v>
      </c>
      <c r="B2672" s="1">
        <v>45037.875</v>
      </c>
      <c r="C2672" s="1" t="str">
        <f t="shared" si="82"/>
        <v>04-2023</v>
      </c>
      <c r="D2672" s="2">
        <f t="shared" si="83"/>
        <v>16</v>
      </c>
      <c r="E2672" t="s">
        <v>22</v>
      </c>
      <c r="F2672" t="s">
        <v>14</v>
      </c>
      <c r="G2672" t="s">
        <v>21</v>
      </c>
      <c r="H2672" s="2">
        <v>13021</v>
      </c>
      <c r="I2672" s="2">
        <v>7</v>
      </c>
      <c r="J2672" s="2">
        <v>167512</v>
      </c>
      <c r="K2672" s="2">
        <v>122739</v>
      </c>
      <c r="L2672" s="2">
        <v>4</v>
      </c>
      <c r="M2672" t="str">
        <f>IF(Revv_bike_sales_data[[#This Row],[delivery_days]]&lt;=7, "Yes", "No")</f>
        <v>Yes</v>
      </c>
      <c r="N2672" t="s">
        <v>16</v>
      </c>
      <c r="O2672" s="2">
        <v>44773</v>
      </c>
    </row>
    <row r="2673" spans="1:15" x14ac:dyDescent="0.3">
      <c r="A2673" s="2">
        <v>2663</v>
      </c>
      <c r="B2673" s="1">
        <v>45037.916666666664</v>
      </c>
      <c r="C2673" s="1" t="str">
        <f t="shared" si="82"/>
        <v>04-2023</v>
      </c>
      <c r="D2673" s="2">
        <f t="shared" si="83"/>
        <v>16</v>
      </c>
      <c r="E2673" t="s">
        <v>18</v>
      </c>
      <c r="F2673" t="s">
        <v>14</v>
      </c>
      <c r="G2673" t="s">
        <v>19</v>
      </c>
      <c r="H2673" s="2">
        <v>24528</v>
      </c>
      <c r="I2673" s="2">
        <v>3</v>
      </c>
      <c r="J2673" s="2">
        <v>51245</v>
      </c>
      <c r="K2673" s="2">
        <v>33706</v>
      </c>
      <c r="L2673" s="2">
        <v>12</v>
      </c>
      <c r="M2673" t="str">
        <f>IF(Revv_bike_sales_data[[#This Row],[delivery_days]]&lt;=7, "Yes", "No")</f>
        <v>No</v>
      </c>
      <c r="N2673" t="s">
        <v>16</v>
      </c>
      <c r="O2673" s="2">
        <v>17539</v>
      </c>
    </row>
    <row r="2674" spans="1:15" x14ac:dyDescent="0.3">
      <c r="A2674" s="2">
        <v>2664</v>
      </c>
      <c r="B2674" s="1">
        <v>45037.958333333336</v>
      </c>
      <c r="C2674" s="1" t="str">
        <f t="shared" si="82"/>
        <v>04-2023</v>
      </c>
      <c r="D2674" s="2">
        <f t="shared" si="83"/>
        <v>16</v>
      </c>
      <c r="E2674" t="s">
        <v>25</v>
      </c>
      <c r="F2674" t="s">
        <v>23</v>
      </c>
      <c r="G2674" t="s">
        <v>19</v>
      </c>
      <c r="H2674" s="2">
        <v>39828</v>
      </c>
      <c r="I2674" s="2">
        <v>9</v>
      </c>
      <c r="J2674" s="2">
        <v>178169</v>
      </c>
      <c r="K2674" s="2">
        <v>24862</v>
      </c>
      <c r="L2674" s="2">
        <v>9</v>
      </c>
      <c r="M2674" t="str">
        <f>IF(Revv_bike_sales_data[[#This Row],[delivery_days]]&lt;=7, "Yes", "No")</f>
        <v>No</v>
      </c>
      <c r="N2674" t="s">
        <v>16</v>
      </c>
      <c r="O2674" s="2">
        <v>153307</v>
      </c>
    </row>
    <row r="2675" spans="1:15" x14ac:dyDescent="0.3">
      <c r="A2675" s="2">
        <v>2665</v>
      </c>
      <c r="B2675" s="1">
        <v>45038</v>
      </c>
      <c r="C2675" s="1" t="str">
        <f t="shared" si="82"/>
        <v>04-2023</v>
      </c>
      <c r="D2675" s="2">
        <f t="shared" si="83"/>
        <v>16</v>
      </c>
      <c r="E2675" t="s">
        <v>13</v>
      </c>
      <c r="F2675" t="s">
        <v>14</v>
      </c>
      <c r="G2675" t="s">
        <v>19</v>
      </c>
      <c r="H2675" s="2">
        <v>27801</v>
      </c>
      <c r="I2675" s="2">
        <v>8</v>
      </c>
      <c r="J2675" s="2">
        <v>92092</v>
      </c>
      <c r="K2675" s="2">
        <v>25219</v>
      </c>
      <c r="L2675" s="2">
        <v>10</v>
      </c>
      <c r="M2675" t="str">
        <f>IF(Revv_bike_sales_data[[#This Row],[delivery_days]]&lt;=7, "Yes", "No")</f>
        <v>No</v>
      </c>
      <c r="N2675" t="s">
        <v>16</v>
      </c>
      <c r="O2675" s="2">
        <v>66873</v>
      </c>
    </row>
    <row r="2676" spans="1:15" x14ac:dyDescent="0.3">
      <c r="A2676" s="2">
        <v>2666</v>
      </c>
      <c r="B2676" s="1">
        <v>45038.041666666664</v>
      </c>
      <c r="C2676" s="1" t="str">
        <f t="shared" si="82"/>
        <v>04-2023</v>
      </c>
      <c r="D2676" s="2">
        <f t="shared" si="83"/>
        <v>16</v>
      </c>
      <c r="E2676" t="s">
        <v>25</v>
      </c>
      <c r="F2676" t="s">
        <v>23</v>
      </c>
      <c r="G2676" t="s">
        <v>15</v>
      </c>
      <c r="H2676" s="2">
        <v>38515</v>
      </c>
      <c r="I2676" s="2">
        <v>8</v>
      </c>
      <c r="J2676" s="2">
        <v>134454</v>
      </c>
      <c r="K2676" s="2">
        <v>104017</v>
      </c>
      <c r="L2676" s="2">
        <v>1</v>
      </c>
      <c r="M2676" t="str">
        <f>IF(Revv_bike_sales_data[[#This Row],[delivery_days]]&lt;=7, "Yes", "No")</f>
        <v>Yes</v>
      </c>
      <c r="N2676" t="s">
        <v>16</v>
      </c>
      <c r="O2676" s="2">
        <v>30437</v>
      </c>
    </row>
    <row r="2677" spans="1:15" x14ac:dyDescent="0.3">
      <c r="A2677" s="2">
        <v>2667</v>
      </c>
      <c r="B2677" s="1">
        <v>45038.083333333336</v>
      </c>
      <c r="C2677" s="1" t="str">
        <f t="shared" si="82"/>
        <v>04-2023</v>
      </c>
      <c r="D2677" s="2">
        <f t="shared" si="83"/>
        <v>16</v>
      </c>
      <c r="E2677" t="s">
        <v>17</v>
      </c>
      <c r="F2677" t="s">
        <v>14</v>
      </c>
      <c r="G2677" t="s">
        <v>19</v>
      </c>
      <c r="H2677" s="2">
        <v>87776</v>
      </c>
      <c r="I2677" s="2">
        <v>4</v>
      </c>
      <c r="J2677" s="2">
        <v>157223</v>
      </c>
      <c r="K2677" s="2">
        <v>49536</v>
      </c>
      <c r="L2677" s="2">
        <v>12</v>
      </c>
      <c r="M2677" t="str">
        <f>IF(Revv_bike_sales_data[[#This Row],[delivery_days]]&lt;=7, "Yes", "No")</f>
        <v>No</v>
      </c>
      <c r="N2677" t="s">
        <v>16</v>
      </c>
      <c r="O2677" s="2">
        <v>107687</v>
      </c>
    </row>
    <row r="2678" spans="1:15" x14ac:dyDescent="0.3">
      <c r="A2678" s="2">
        <v>2668</v>
      </c>
      <c r="B2678" s="1">
        <v>45038.125</v>
      </c>
      <c r="C2678" s="1" t="str">
        <f t="shared" si="82"/>
        <v>04-2023</v>
      </c>
      <c r="D2678" s="2">
        <f t="shared" si="83"/>
        <v>16</v>
      </c>
      <c r="E2678" t="s">
        <v>13</v>
      </c>
      <c r="F2678" t="s">
        <v>14</v>
      </c>
      <c r="G2678" t="s">
        <v>20</v>
      </c>
      <c r="H2678" s="2">
        <v>37345</v>
      </c>
      <c r="I2678" s="2">
        <v>5</v>
      </c>
      <c r="J2678" s="2">
        <v>177770</v>
      </c>
      <c r="K2678" s="2">
        <v>86632</v>
      </c>
      <c r="L2678" s="2">
        <v>7</v>
      </c>
      <c r="M2678" t="str">
        <f>IF(Revv_bike_sales_data[[#This Row],[delivery_days]]&lt;=7, "Yes", "No")</f>
        <v>Yes</v>
      </c>
      <c r="N2678" t="s">
        <v>16</v>
      </c>
      <c r="O2678" s="2">
        <v>91138</v>
      </c>
    </row>
    <row r="2679" spans="1:15" x14ac:dyDescent="0.3">
      <c r="A2679" s="2">
        <v>2669</v>
      </c>
      <c r="B2679" s="1">
        <v>45038.166666666664</v>
      </c>
      <c r="C2679" s="1" t="str">
        <f t="shared" si="82"/>
        <v>04-2023</v>
      </c>
      <c r="D2679" s="2">
        <f t="shared" si="83"/>
        <v>16</v>
      </c>
      <c r="E2679" t="s">
        <v>18</v>
      </c>
      <c r="F2679" t="s">
        <v>14</v>
      </c>
      <c r="G2679" t="s">
        <v>15</v>
      </c>
      <c r="H2679" s="2">
        <v>87318</v>
      </c>
      <c r="I2679" s="2">
        <v>4</v>
      </c>
      <c r="J2679" s="2">
        <v>173673</v>
      </c>
      <c r="K2679" s="2">
        <v>118489</v>
      </c>
      <c r="L2679" s="2">
        <v>7</v>
      </c>
      <c r="M2679" t="str">
        <f>IF(Revv_bike_sales_data[[#This Row],[delivery_days]]&lt;=7, "Yes", "No")</f>
        <v>Yes</v>
      </c>
      <c r="N2679" t="s">
        <v>16</v>
      </c>
      <c r="O2679" s="2">
        <v>55184</v>
      </c>
    </row>
    <row r="2680" spans="1:15" x14ac:dyDescent="0.3">
      <c r="A2680" s="2">
        <v>2670</v>
      </c>
      <c r="B2680" s="1">
        <v>45038.208333333336</v>
      </c>
      <c r="C2680" s="1" t="str">
        <f t="shared" si="82"/>
        <v>04-2023</v>
      </c>
      <c r="D2680" s="2">
        <f t="shared" si="83"/>
        <v>16</v>
      </c>
      <c r="E2680" t="s">
        <v>17</v>
      </c>
      <c r="F2680" t="s">
        <v>14</v>
      </c>
      <c r="G2680" t="s">
        <v>15</v>
      </c>
      <c r="H2680" s="2">
        <v>76894</v>
      </c>
      <c r="I2680" s="2">
        <v>2</v>
      </c>
      <c r="J2680" s="2">
        <v>164111</v>
      </c>
      <c r="K2680" s="2">
        <v>92391</v>
      </c>
      <c r="L2680" s="2">
        <v>11</v>
      </c>
      <c r="M2680" t="str">
        <f>IF(Revv_bike_sales_data[[#This Row],[delivery_days]]&lt;=7, "Yes", "No")</f>
        <v>No</v>
      </c>
      <c r="N2680" t="s">
        <v>16</v>
      </c>
      <c r="O2680" s="2">
        <v>71720</v>
      </c>
    </row>
    <row r="2681" spans="1:15" x14ac:dyDescent="0.3">
      <c r="A2681" s="2">
        <v>2671</v>
      </c>
      <c r="B2681" s="1">
        <v>45038.25</v>
      </c>
      <c r="C2681" s="1" t="str">
        <f t="shared" si="82"/>
        <v>04-2023</v>
      </c>
      <c r="D2681" s="2">
        <f t="shared" si="83"/>
        <v>16</v>
      </c>
      <c r="E2681" t="s">
        <v>13</v>
      </c>
      <c r="F2681" t="s">
        <v>14</v>
      </c>
      <c r="G2681" t="s">
        <v>15</v>
      </c>
      <c r="H2681" s="2">
        <v>44659</v>
      </c>
      <c r="I2681" s="2">
        <v>7</v>
      </c>
      <c r="J2681" s="2">
        <v>72427</v>
      </c>
      <c r="K2681" s="2">
        <v>77886</v>
      </c>
      <c r="L2681" s="2">
        <v>4</v>
      </c>
      <c r="M2681" t="str">
        <f>IF(Revv_bike_sales_data[[#This Row],[delivery_days]]&lt;=7, "Yes", "No")</f>
        <v>Yes</v>
      </c>
      <c r="N2681" t="s">
        <v>16</v>
      </c>
      <c r="O2681" s="2">
        <v>-5459</v>
      </c>
    </row>
    <row r="2682" spans="1:15" x14ac:dyDescent="0.3">
      <c r="A2682" s="2">
        <v>2672</v>
      </c>
      <c r="B2682" s="1">
        <v>45038.291666666664</v>
      </c>
      <c r="C2682" s="1" t="str">
        <f t="shared" si="82"/>
        <v>04-2023</v>
      </c>
      <c r="D2682" s="2">
        <f t="shared" si="83"/>
        <v>16</v>
      </c>
      <c r="E2682" t="s">
        <v>18</v>
      </c>
      <c r="F2682" t="s">
        <v>14</v>
      </c>
      <c r="G2682" t="s">
        <v>19</v>
      </c>
      <c r="H2682" s="2">
        <v>44214</v>
      </c>
      <c r="I2682" s="2">
        <v>8</v>
      </c>
      <c r="J2682" s="2">
        <v>96839</v>
      </c>
      <c r="K2682" s="2">
        <v>123798</v>
      </c>
      <c r="L2682" s="2">
        <v>13</v>
      </c>
      <c r="M2682" t="str">
        <f>IF(Revv_bike_sales_data[[#This Row],[delivery_days]]&lt;=7, "Yes", "No")</f>
        <v>No</v>
      </c>
      <c r="N2682" t="s">
        <v>16</v>
      </c>
      <c r="O2682" s="2">
        <v>-26959</v>
      </c>
    </row>
    <row r="2683" spans="1:15" x14ac:dyDescent="0.3">
      <c r="A2683" s="2">
        <v>2673</v>
      </c>
      <c r="B2683" s="1">
        <v>45038.333333333336</v>
      </c>
      <c r="C2683" s="1" t="str">
        <f t="shared" si="82"/>
        <v>04-2023</v>
      </c>
      <c r="D2683" s="2">
        <f t="shared" si="83"/>
        <v>16</v>
      </c>
      <c r="E2683" t="s">
        <v>25</v>
      </c>
      <c r="F2683" t="s">
        <v>14</v>
      </c>
      <c r="G2683" t="s">
        <v>15</v>
      </c>
      <c r="H2683" s="2">
        <v>81222</v>
      </c>
      <c r="I2683" s="2">
        <v>3</v>
      </c>
      <c r="J2683" s="2">
        <v>175125</v>
      </c>
      <c r="K2683" s="2">
        <v>94996</v>
      </c>
      <c r="L2683" s="2">
        <v>11</v>
      </c>
      <c r="M2683" t="str">
        <f>IF(Revv_bike_sales_data[[#This Row],[delivery_days]]&lt;=7, "Yes", "No")</f>
        <v>No</v>
      </c>
      <c r="N2683" t="s">
        <v>16</v>
      </c>
      <c r="O2683" s="2">
        <v>80129</v>
      </c>
    </row>
    <row r="2684" spans="1:15" x14ac:dyDescent="0.3">
      <c r="A2684" s="2">
        <v>2674</v>
      </c>
      <c r="B2684" s="1">
        <v>45038.375</v>
      </c>
      <c r="C2684" s="1" t="str">
        <f t="shared" si="82"/>
        <v>04-2023</v>
      </c>
      <c r="D2684" s="2">
        <f t="shared" si="83"/>
        <v>16</v>
      </c>
      <c r="E2684" t="s">
        <v>13</v>
      </c>
      <c r="F2684" t="s">
        <v>14</v>
      </c>
      <c r="G2684" t="s">
        <v>19</v>
      </c>
      <c r="H2684" s="2">
        <v>97230</v>
      </c>
      <c r="I2684" s="2">
        <v>8</v>
      </c>
      <c r="J2684" s="2">
        <v>141801</v>
      </c>
      <c r="K2684" s="2">
        <v>48937</v>
      </c>
      <c r="L2684" s="2">
        <v>1</v>
      </c>
      <c r="M2684" t="str">
        <f>IF(Revv_bike_sales_data[[#This Row],[delivery_days]]&lt;=7, "Yes", "No")</f>
        <v>Yes</v>
      </c>
      <c r="N2684" t="s">
        <v>16</v>
      </c>
      <c r="O2684" s="2">
        <v>92864</v>
      </c>
    </row>
    <row r="2685" spans="1:15" x14ac:dyDescent="0.3">
      <c r="A2685" s="2">
        <v>2675</v>
      </c>
      <c r="B2685" s="1">
        <v>45038.416666666664</v>
      </c>
      <c r="C2685" s="1" t="str">
        <f t="shared" si="82"/>
        <v>04-2023</v>
      </c>
      <c r="D2685" s="2">
        <f t="shared" si="83"/>
        <v>16</v>
      </c>
      <c r="E2685" t="s">
        <v>18</v>
      </c>
      <c r="F2685" t="s">
        <v>14</v>
      </c>
      <c r="G2685" t="s">
        <v>19</v>
      </c>
      <c r="H2685" s="2">
        <v>25730</v>
      </c>
      <c r="I2685" s="2">
        <v>8</v>
      </c>
      <c r="J2685" s="2">
        <v>135845</v>
      </c>
      <c r="K2685" s="2">
        <v>36094</v>
      </c>
      <c r="L2685" s="2">
        <v>3</v>
      </c>
      <c r="M2685" t="str">
        <f>IF(Revv_bike_sales_data[[#This Row],[delivery_days]]&lt;=7, "Yes", "No")</f>
        <v>Yes</v>
      </c>
      <c r="N2685" t="s">
        <v>16</v>
      </c>
      <c r="O2685" s="2">
        <v>99751</v>
      </c>
    </row>
    <row r="2686" spans="1:15" x14ac:dyDescent="0.3">
      <c r="A2686" s="2">
        <v>2676</v>
      </c>
      <c r="B2686" s="1">
        <v>45038.458333333336</v>
      </c>
      <c r="C2686" s="1" t="str">
        <f t="shared" si="82"/>
        <v>04-2023</v>
      </c>
      <c r="D2686" s="2">
        <f t="shared" si="83"/>
        <v>16</v>
      </c>
      <c r="E2686" t="s">
        <v>25</v>
      </c>
      <c r="F2686" t="s">
        <v>14</v>
      </c>
      <c r="G2686" t="s">
        <v>15</v>
      </c>
      <c r="H2686" s="2">
        <v>93054</v>
      </c>
      <c r="I2686" s="2">
        <v>6</v>
      </c>
      <c r="J2686" s="2">
        <v>111298</v>
      </c>
      <c r="K2686" s="2">
        <v>119894</v>
      </c>
      <c r="L2686" s="2">
        <v>5</v>
      </c>
      <c r="M2686" t="str">
        <f>IF(Revv_bike_sales_data[[#This Row],[delivery_days]]&lt;=7, "Yes", "No")</f>
        <v>Yes</v>
      </c>
      <c r="N2686" t="s">
        <v>16</v>
      </c>
      <c r="O2686" s="2">
        <v>-8596</v>
      </c>
    </row>
    <row r="2687" spans="1:15" x14ac:dyDescent="0.3">
      <c r="A2687" s="2">
        <v>2677</v>
      </c>
      <c r="B2687" s="1">
        <v>45038.5</v>
      </c>
      <c r="C2687" s="1" t="str">
        <f t="shared" si="82"/>
        <v>04-2023</v>
      </c>
      <c r="D2687" s="2">
        <f t="shared" si="83"/>
        <v>16</v>
      </c>
      <c r="E2687" t="s">
        <v>17</v>
      </c>
      <c r="F2687" t="s">
        <v>14</v>
      </c>
      <c r="G2687" t="s">
        <v>21</v>
      </c>
      <c r="H2687" s="2">
        <v>49762</v>
      </c>
      <c r="I2687" s="2">
        <v>7</v>
      </c>
      <c r="J2687" s="2">
        <v>114147</v>
      </c>
      <c r="K2687" s="2">
        <v>130074</v>
      </c>
      <c r="L2687" s="2">
        <v>12</v>
      </c>
      <c r="M2687" t="str">
        <f>IF(Revv_bike_sales_data[[#This Row],[delivery_days]]&lt;=7, "Yes", "No")</f>
        <v>No</v>
      </c>
      <c r="N2687" t="s">
        <v>24</v>
      </c>
      <c r="O2687" s="2">
        <v>-15927</v>
      </c>
    </row>
    <row r="2688" spans="1:15" x14ac:dyDescent="0.3">
      <c r="A2688" s="2">
        <v>2678</v>
      </c>
      <c r="B2688" s="1">
        <v>45038.541666666664</v>
      </c>
      <c r="C2688" s="1" t="str">
        <f t="shared" si="82"/>
        <v>04-2023</v>
      </c>
      <c r="D2688" s="2">
        <f t="shared" si="83"/>
        <v>16</v>
      </c>
      <c r="E2688" t="s">
        <v>17</v>
      </c>
      <c r="F2688" t="s">
        <v>14</v>
      </c>
      <c r="G2688" t="s">
        <v>21</v>
      </c>
      <c r="H2688" s="2">
        <v>90701</v>
      </c>
      <c r="I2688" s="2">
        <v>2</v>
      </c>
      <c r="J2688" s="2">
        <v>80413</v>
      </c>
      <c r="K2688" s="2">
        <v>132118</v>
      </c>
      <c r="L2688" s="2">
        <v>2</v>
      </c>
      <c r="M2688" t="str">
        <f>IF(Revv_bike_sales_data[[#This Row],[delivery_days]]&lt;=7, "Yes", "No")</f>
        <v>Yes</v>
      </c>
      <c r="N2688" t="s">
        <v>16</v>
      </c>
      <c r="O2688" s="2">
        <v>-51705</v>
      </c>
    </row>
    <row r="2689" spans="1:15" x14ac:dyDescent="0.3">
      <c r="A2689" s="2">
        <v>2679</v>
      </c>
      <c r="B2689" s="1">
        <v>45038.583333333336</v>
      </c>
      <c r="C2689" s="1" t="str">
        <f t="shared" si="82"/>
        <v>04-2023</v>
      </c>
      <c r="D2689" s="2">
        <f t="shared" si="83"/>
        <v>16</v>
      </c>
      <c r="E2689" t="s">
        <v>17</v>
      </c>
      <c r="F2689" t="s">
        <v>14</v>
      </c>
      <c r="G2689" t="s">
        <v>15</v>
      </c>
      <c r="H2689" s="2">
        <v>42222</v>
      </c>
      <c r="I2689" s="2">
        <v>4</v>
      </c>
      <c r="J2689" s="2">
        <v>90958</v>
      </c>
      <c r="K2689" s="2">
        <v>42924</v>
      </c>
      <c r="L2689" s="2">
        <v>7</v>
      </c>
      <c r="M2689" t="str">
        <f>IF(Revv_bike_sales_data[[#This Row],[delivery_days]]&lt;=7, "Yes", "No")</f>
        <v>Yes</v>
      </c>
      <c r="N2689" t="s">
        <v>16</v>
      </c>
      <c r="O2689" s="2">
        <v>48034</v>
      </c>
    </row>
    <row r="2690" spans="1:15" x14ac:dyDescent="0.3">
      <c r="A2690" s="2">
        <v>2680</v>
      </c>
      <c r="B2690" s="1">
        <v>45038.625</v>
      </c>
      <c r="C2690" s="1" t="str">
        <f t="shared" si="82"/>
        <v>04-2023</v>
      </c>
      <c r="D2690" s="2">
        <f t="shared" si="83"/>
        <v>16</v>
      </c>
      <c r="E2690" t="s">
        <v>17</v>
      </c>
      <c r="F2690" t="s">
        <v>14</v>
      </c>
      <c r="G2690" t="s">
        <v>21</v>
      </c>
      <c r="H2690" s="2">
        <v>46859</v>
      </c>
      <c r="I2690" s="2">
        <v>2</v>
      </c>
      <c r="J2690" s="2">
        <v>56275</v>
      </c>
      <c r="K2690" s="2">
        <v>98325</v>
      </c>
      <c r="L2690" s="2">
        <v>14</v>
      </c>
      <c r="M2690" t="str">
        <f>IF(Revv_bike_sales_data[[#This Row],[delivery_days]]&lt;=7, "Yes", "No")</f>
        <v>No</v>
      </c>
      <c r="N2690" t="s">
        <v>16</v>
      </c>
      <c r="O2690" s="2">
        <v>-42050</v>
      </c>
    </row>
    <row r="2691" spans="1:15" x14ac:dyDescent="0.3">
      <c r="A2691" s="2">
        <v>2681</v>
      </c>
      <c r="B2691" s="1">
        <v>45038.666666666664</v>
      </c>
      <c r="C2691" s="1" t="str">
        <f t="shared" si="82"/>
        <v>04-2023</v>
      </c>
      <c r="D2691" s="2">
        <f t="shared" si="83"/>
        <v>16</v>
      </c>
      <c r="E2691" t="s">
        <v>22</v>
      </c>
      <c r="F2691" t="s">
        <v>14</v>
      </c>
      <c r="G2691" t="s">
        <v>20</v>
      </c>
      <c r="H2691" s="2">
        <v>63296</v>
      </c>
      <c r="I2691" s="2">
        <v>6</v>
      </c>
      <c r="J2691" s="2">
        <v>51597</v>
      </c>
      <c r="K2691" s="2">
        <v>15123</v>
      </c>
      <c r="L2691" s="2">
        <v>10</v>
      </c>
      <c r="M2691" t="str">
        <f>IF(Revv_bike_sales_data[[#This Row],[delivery_days]]&lt;=7, "Yes", "No")</f>
        <v>No</v>
      </c>
      <c r="N2691" t="s">
        <v>16</v>
      </c>
      <c r="O2691" s="2">
        <v>36474</v>
      </c>
    </row>
    <row r="2692" spans="1:15" x14ac:dyDescent="0.3">
      <c r="A2692" s="2">
        <v>2682</v>
      </c>
      <c r="B2692" s="1">
        <v>45038.708333333336</v>
      </c>
      <c r="C2692" s="1" t="str">
        <f t="shared" si="82"/>
        <v>04-2023</v>
      </c>
      <c r="D2692" s="2">
        <f t="shared" si="83"/>
        <v>16</v>
      </c>
      <c r="E2692" t="s">
        <v>13</v>
      </c>
      <c r="F2692" t="s">
        <v>14</v>
      </c>
      <c r="G2692" t="s">
        <v>20</v>
      </c>
      <c r="H2692" s="2">
        <v>40659</v>
      </c>
      <c r="I2692" s="2">
        <v>5</v>
      </c>
      <c r="J2692" s="2">
        <v>102521</v>
      </c>
      <c r="K2692" s="2">
        <v>68149</v>
      </c>
      <c r="L2692" s="2">
        <v>10</v>
      </c>
      <c r="M2692" t="str">
        <f>IF(Revv_bike_sales_data[[#This Row],[delivery_days]]&lt;=7, "Yes", "No")</f>
        <v>No</v>
      </c>
      <c r="N2692" t="s">
        <v>16</v>
      </c>
      <c r="O2692" s="2">
        <v>34372</v>
      </c>
    </row>
    <row r="2693" spans="1:15" x14ac:dyDescent="0.3">
      <c r="A2693" s="2">
        <v>2683</v>
      </c>
      <c r="B2693" s="1">
        <v>45038.75</v>
      </c>
      <c r="C2693" s="1" t="str">
        <f t="shared" si="82"/>
        <v>04-2023</v>
      </c>
      <c r="D2693" s="2">
        <f t="shared" si="83"/>
        <v>16</v>
      </c>
      <c r="E2693" t="s">
        <v>13</v>
      </c>
      <c r="F2693" t="s">
        <v>14</v>
      </c>
      <c r="G2693" t="s">
        <v>19</v>
      </c>
      <c r="H2693" s="2">
        <v>87552</v>
      </c>
      <c r="I2693" s="2">
        <v>2</v>
      </c>
      <c r="J2693" s="2">
        <v>119243</v>
      </c>
      <c r="K2693" s="2">
        <v>128930</v>
      </c>
      <c r="L2693" s="2">
        <v>7</v>
      </c>
      <c r="M2693" t="str">
        <f>IF(Revv_bike_sales_data[[#This Row],[delivery_days]]&lt;=7, "Yes", "No")</f>
        <v>Yes</v>
      </c>
      <c r="N2693" t="s">
        <v>16</v>
      </c>
      <c r="O2693" s="2">
        <v>-9687</v>
      </c>
    </row>
    <row r="2694" spans="1:15" x14ac:dyDescent="0.3">
      <c r="A2694" s="2">
        <v>2684</v>
      </c>
      <c r="B2694" s="1">
        <v>45038.791666666664</v>
      </c>
      <c r="C2694" s="1" t="str">
        <f t="shared" si="82"/>
        <v>04-2023</v>
      </c>
      <c r="D2694" s="2">
        <f t="shared" si="83"/>
        <v>16</v>
      </c>
      <c r="E2694" t="s">
        <v>22</v>
      </c>
      <c r="F2694" t="s">
        <v>14</v>
      </c>
      <c r="G2694" t="s">
        <v>21</v>
      </c>
      <c r="H2694" s="2">
        <v>90709</v>
      </c>
      <c r="I2694" s="2">
        <v>8</v>
      </c>
      <c r="J2694" s="2">
        <v>93908</v>
      </c>
      <c r="K2694" s="2">
        <v>86445</v>
      </c>
      <c r="L2694" s="2">
        <v>12</v>
      </c>
      <c r="M2694" t="str">
        <f>IF(Revv_bike_sales_data[[#This Row],[delivery_days]]&lt;=7, "Yes", "No")</f>
        <v>No</v>
      </c>
      <c r="N2694" t="s">
        <v>16</v>
      </c>
      <c r="O2694" s="2">
        <v>7463</v>
      </c>
    </row>
    <row r="2695" spans="1:15" x14ac:dyDescent="0.3">
      <c r="A2695" s="2">
        <v>2685</v>
      </c>
      <c r="B2695" s="1">
        <v>45038.833333333336</v>
      </c>
      <c r="C2695" s="1" t="str">
        <f t="shared" si="82"/>
        <v>04-2023</v>
      </c>
      <c r="D2695" s="2">
        <f t="shared" si="83"/>
        <v>16</v>
      </c>
      <c r="E2695" t="s">
        <v>18</v>
      </c>
      <c r="F2695" t="s">
        <v>14</v>
      </c>
      <c r="G2695" t="s">
        <v>20</v>
      </c>
      <c r="H2695" s="2">
        <v>5739</v>
      </c>
      <c r="I2695" s="2">
        <v>0</v>
      </c>
      <c r="J2695" s="2">
        <v>80188</v>
      </c>
      <c r="K2695" s="2">
        <v>46854</v>
      </c>
      <c r="L2695" s="2">
        <v>10</v>
      </c>
      <c r="M2695" t="str">
        <f>IF(Revv_bike_sales_data[[#This Row],[delivery_days]]&lt;=7, "Yes", "No")</f>
        <v>No</v>
      </c>
      <c r="N2695" t="s">
        <v>16</v>
      </c>
      <c r="O2695" s="2">
        <v>33334</v>
      </c>
    </row>
    <row r="2696" spans="1:15" x14ac:dyDescent="0.3">
      <c r="A2696" s="2">
        <v>2686</v>
      </c>
      <c r="B2696" s="1">
        <v>45038.875</v>
      </c>
      <c r="C2696" s="1" t="str">
        <f t="shared" si="82"/>
        <v>04-2023</v>
      </c>
      <c r="D2696" s="2">
        <f t="shared" si="83"/>
        <v>16</v>
      </c>
      <c r="E2696" t="s">
        <v>18</v>
      </c>
      <c r="F2696" t="s">
        <v>14</v>
      </c>
      <c r="G2696" t="s">
        <v>15</v>
      </c>
      <c r="H2696" s="2">
        <v>92451</v>
      </c>
      <c r="I2696" s="2">
        <v>9</v>
      </c>
      <c r="J2696" s="2">
        <v>59710</v>
      </c>
      <c r="K2696" s="2">
        <v>75796</v>
      </c>
      <c r="L2696" s="2">
        <v>5</v>
      </c>
      <c r="M2696" t="str">
        <f>IF(Revv_bike_sales_data[[#This Row],[delivery_days]]&lt;=7, "Yes", "No")</f>
        <v>Yes</v>
      </c>
      <c r="N2696" t="s">
        <v>16</v>
      </c>
      <c r="O2696" s="2">
        <v>-16086</v>
      </c>
    </row>
    <row r="2697" spans="1:15" x14ac:dyDescent="0.3">
      <c r="A2697" s="2">
        <v>2687</v>
      </c>
      <c r="B2697" s="1">
        <v>45038.916666666664</v>
      </c>
      <c r="C2697" s="1" t="str">
        <f t="shared" si="82"/>
        <v>04-2023</v>
      </c>
      <c r="D2697" s="2">
        <f t="shared" si="83"/>
        <v>16</v>
      </c>
      <c r="E2697" t="s">
        <v>17</v>
      </c>
      <c r="F2697" t="s">
        <v>23</v>
      </c>
      <c r="G2697" t="s">
        <v>21</v>
      </c>
      <c r="H2697" s="2">
        <v>51386</v>
      </c>
      <c r="I2697" s="2">
        <v>2</v>
      </c>
      <c r="J2697" s="2">
        <v>143493</v>
      </c>
      <c r="K2697" s="2">
        <v>84432</v>
      </c>
      <c r="L2697" s="2">
        <v>12</v>
      </c>
      <c r="M2697" t="str">
        <f>IF(Revv_bike_sales_data[[#This Row],[delivery_days]]&lt;=7, "Yes", "No")</f>
        <v>No</v>
      </c>
      <c r="N2697" t="s">
        <v>16</v>
      </c>
      <c r="O2697" s="2">
        <v>59061</v>
      </c>
    </row>
    <row r="2698" spans="1:15" x14ac:dyDescent="0.3">
      <c r="A2698" s="2">
        <v>2688</v>
      </c>
      <c r="B2698" s="1">
        <v>45038.958333333336</v>
      </c>
      <c r="C2698" s="1" t="str">
        <f t="shared" si="82"/>
        <v>04-2023</v>
      </c>
      <c r="D2698" s="2">
        <f t="shared" si="83"/>
        <v>16</v>
      </c>
      <c r="E2698" t="s">
        <v>25</v>
      </c>
      <c r="F2698" t="s">
        <v>23</v>
      </c>
      <c r="G2698" t="s">
        <v>20</v>
      </c>
      <c r="H2698" s="2">
        <v>27695</v>
      </c>
      <c r="I2698" s="2">
        <v>9</v>
      </c>
      <c r="J2698" s="2">
        <v>74249</v>
      </c>
      <c r="K2698" s="2">
        <v>73968</v>
      </c>
      <c r="L2698" s="2">
        <v>10</v>
      </c>
      <c r="M2698" t="str">
        <f>IF(Revv_bike_sales_data[[#This Row],[delivery_days]]&lt;=7, "Yes", "No")</f>
        <v>No</v>
      </c>
      <c r="N2698" t="s">
        <v>16</v>
      </c>
      <c r="O2698" s="2">
        <v>281</v>
      </c>
    </row>
    <row r="2699" spans="1:15" x14ac:dyDescent="0.3">
      <c r="A2699" s="2">
        <v>2689</v>
      </c>
      <c r="B2699" s="1">
        <v>45039</v>
      </c>
      <c r="C2699" s="1" t="str">
        <f t="shared" ref="C2699:C2762" si="84">TEXT(B2699,"mm-yyyy")</f>
        <v>04-2023</v>
      </c>
      <c r="D2699" s="2">
        <f t="shared" ref="D2699:D2762" si="85">WEEKNUM(B2699)</f>
        <v>17</v>
      </c>
      <c r="E2699" t="s">
        <v>18</v>
      </c>
      <c r="F2699" t="s">
        <v>14</v>
      </c>
      <c r="G2699" t="s">
        <v>20</v>
      </c>
      <c r="H2699" s="2">
        <v>95359</v>
      </c>
      <c r="I2699" s="2">
        <v>6</v>
      </c>
      <c r="J2699" s="2">
        <v>59247</v>
      </c>
      <c r="K2699" s="2">
        <v>55834</v>
      </c>
      <c r="L2699" s="2">
        <v>6</v>
      </c>
      <c r="M2699" t="str">
        <f>IF(Revv_bike_sales_data[[#This Row],[delivery_days]]&lt;=7, "Yes", "No")</f>
        <v>Yes</v>
      </c>
      <c r="N2699" t="s">
        <v>16</v>
      </c>
      <c r="O2699" s="2">
        <v>3413</v>
      </c>
    </row>
    <row r="2700" spans="1:15" x14ac:dyDescent="0.3">
      <c r="A2700" s="2">
        <v>2690</v>
      </c>
      <c r="B2700" s="1">
        <v>45039.041666666664</v>
      </c>
      <c r="C2700" s="1" t="str">
        <f t="shared" si="84"/>
        <v>04-2023</v>
      </c>
      <c r="D2700" s="2">
        <f t="shared" si="85"/>
        <v>17</v>
      </c>
      <c r="E2700" t="s">
        <v>25</v>
      </c>
      <c r="F2700" t="s">
        <v>14</v>
      </c>
      <c r="G2700" t="s">
        <v>15</v>
      </c>
      <c r="H2700" s="2">
        <v>96799</v>
      </c>
      <c r="I2700" s="2">
        <v>2</v>
      </c>
      <c r="J2700" s="2">
        <v>51408</v>
      </c>
      <c r="K2700" s="2">
        <v>122677</v>
      </c>
      <c r="L2700" s="2">
        <v>1</v>
      </c>
      <c r="M2700" t="str">
        <f>IF(Revv_bike_sales_data[[#This Row],[delivery_days]]&lt;=7, "Yes", "No")</f>
        <v>Yes</v>
      </c>
      <c r="N2700" t="s">
        <v>16</v>
      </c>
      <c r="O2700" s="2">
        <v>-71269</v>
      </c>
    </row>
    <row r="2701" spans="1:15" x14ac:dyDescent="0.3">
      <c r="A2701" s="2">
        <v>2691</v>
      </c>
      <c r="B2701" s="1">
        <v>45039.083333333336</v>
      </c>
      <c r="C2701" s="1" t="str">
        <f t="shared" si="84"/>
        <v>04-2023</v>
      </c>
      <c r="D2701" s="2">
        <f t="shared" si="85"/>
        <v>17</v>
      </c>
      <c r="E2701" t="s">
        <v>13</v>
      </c>
      <c r="F2701" t="s">
        <v>14</v>
      </c>
      <c r="G2701" t="s">
        <v>19</v>
      </c>
      <c r="H2701" s="2">
        <v>35174</v>
      </c>
      <c r="I2701" s="2">
        <v>2</v>
      </c>
      <c r="J2701" s="2">
        <v>101313</v>
      </c>
      <c r="K2701" s="2">
        <v>32111</v>
      </c>
      <c r="L2701" s="2">
        <v>4</v>
      </c>
      <c r="M2701" t="str">
        <f>IF(Revv_bike_sales_data[[#This Row],[delivery_days]]&lt;=7, "Yes", "No")</f>
        <v>Yes</v>
      </c>
      <c r="N2701" t="s">
        <v>16</v>
      </c>
      <c r="O2701" s="2">
        <v>69202</v>
      </c>
    </row>
    <row r="2702" spans="1:15" x14ac:dyDescent="0.3">
      <c r="A2702" s="2">
        <v>2692</v>
      </c>
      <c r="B2702" s="1">
        <v>45039.125</v>
      </c>
      <c r="C2702" s="1" t="str">
        <f t="shared" si="84"/>
        <v>04-2023</v>
      </c>
      <c r="D2702" s="2">
        <f t="shared" si="85"/>
        <v>17</v>
      </c>
      <c r="E2702" t="s">
        <v>25</v>
      </c>
      <c r="F2702" t="s">
        <v>14</v>
      </c>
      <c r="G2702" t="s">
        <v>15</v>
      </c>
      <c r="H2702" s="2">
        <v>18605</v>
      </c>
      <c r="I2702" s="2">
        <v>1</v>
      </c>
      <c r="J2702" s="2">
        <v>30443</v>
      </c>
      <c r="K2702" s="2">
        <v>87575</v>
      </c>
      <c r="L2702" s="2">
        <v>4</v>
      </c>
      <c r="M2702" t="str">
        <f>IF(Revv_bike_sales_data[[#This Row],[delivery_days]]&lt;=7, "Yes", "No")</f>
        <v>Yes</v>
      </c>
      <c r="N2702" t="s">
        <v>16</v>
      </c>
      <c r="O2702" s="2">
        <v>-57132</v>
      </c>
    </row>
    <row r="2703" spans="1:15" x14ac:dyDescent="0.3">
      <c r="A2703" s="2">
        <v>2693</v>
      </c>
      <c r="B2703" s="1">
        <v>45039.166666666664</v>
      </c>
      <c r="C2703" s="1" t="str">
        <f t="shared" si="84"/>
        <v>04-2023</v>
      </c>
      <c r="D2703" s="2">
        <f t="shared" si="85"/>
        <v>17</v>
      </c>
      <c r="E2703" t="s">
        <v>13</v>
      </c>
      <c r="F2703" t="s">
        <v>14</v>
      </c>
      <c r="G2703" t="s">
        <v>19</v>
      </c>
      <c r="H2703" s="2">
        <v>30239</v>
      </c>
      <c r="I2703" s="2">
        <v>8</v>
      </c>
      <c r="J2703" s="2">
        <v>155270</v>
      </c>
      <c r="K2703" s="2">
        <v>125380</v>
      </c>
      <c r="L2703" s="2">
        <v>11</v>
      </c>
      <c r="M2703" t="str">
        <f>IF(Revv_bike_sales_data[[#This Row],[delivery_days]]&lt;=7, "Yes", "No")</f>
        <v>No</v>
      </c>
      <c r="N2703" t="s">
        <v>16</v>
      </c>
      <c r="O2703" s="2">
        <v>29890</v>
      </c>
    </row>
    <row r="2704" spans="1:15" x14ac:dyDescent="0.3">
      <c r="A2704" s="2">
        <v>2694</v>
      </c>
      <c r="B2704" s="1">
        <v>45039.208333333336</v>
      </c>
      <c r="C2704" s="1" t="str">
        <f t="shared" si="84"/>
        <v>04-2023</v>
      </c>
      <c r="D2704" s="2">
        <f t="shared" si="85"/>
        <v>17</v>
      </c>
      <c r="E2704" t="s">
        <v>22</v>
      </c>
      <c r="F2704" t="s">
        <v>14</v>
      </c>
      <c r="G2704" t="s">
        <v>20</v>
      </c>
      <c r="H2704" s="2">
        <v>32469</v>
      </c>
      <c r="I2704" s="2">
        <v>3</v>
      </c>
      <c r="J2704" s="2">
        <v>156151</v>
      </c>
      <c r="K2704" s="2">
        <v>39099</v>
      </c>
      <c r="L2704" s="2">
        <v>8</v>
      </c>
      <c r="M2704" t="str">
        <f>IF(Revv_bike_sales_data[[#This Row],[delivery_days]]&lt;=7, "Yes", "No")</f>
        <v>No</v>
      </c>
      <c r="N2704" t="s">
        <v>16</v>
      </c>
      <c r="O2704" s="2">
        <v>117052</v>
      </c>
    </row>
    <row r="2705" spans="1:15" x14ac:dyDescent="0.3">
      <c r="A2705" s="2">
        <v>2695</v>
      </c>
      <c r="B2705" s="1">
        <v>45039.25</v>
      </c>
      <c r="C2705" s="1" t="str">
        <f t="shared" si="84"/>
        <v>04-2023</v>
      </c>
      <c r="D2705" s="2">
        <f t="shared" si="85"/>
        <v>17</v>
      </c>
      <c r="E2705" t="s">
        <v>22</v>
      </c>
      <c r="F2705" t="s">
        <v>23</v>
      </c>
      <c r="G2705" t="s">
        <v>19</v>
      </c>
      <c r="H2705" s="2">
        <v>14997</v>
      </c>
      <c r="I2705" s="2">
        <v>9</v>
      </c>
      <c r="J2705" s="2">
        <v>121818</v>
      </c>
      <c r="K2705" s="2">
        <v>84206</v>
      </c>
      <c r="L2705" s="2">
        <v>2</v>
      </c>
      <c r="M2705" t="str">
        <f>IF(Revv_bike_sales_data[[#This Row],[delivery_days]]&lt;=7, "Yes", "No")</f>
        <v>Yes</v>
      </c>
      <c r="N2705" t="s">
        <v>16</v>
      </c>
      <c r="O2705" s="2">
        <v>37612</v>
      </c>
    </row>
    <row r="2706" spans="1:15" x14ac:dyDescent="0.3">
      <c r="A2706" s="2">
        <v>2696</v>
      </c>
      <c r="B2706" s="1">
        <v>45039.291666666664</v>
      </c>
      <c r="C2706" s="1" t="str">
        <f t="shared" si="84"/>
        <v>04-2023</v>
      </c>
      <c r="D2706" s="2">
        <f t="shared" si="85"/>
        <v>17</v>
      </c>
      <c r="E2706" t="s">
        <v>17</v>
      </c>
      <c r="F2706" t="s">
        <v>14</v>
      </c>
      <c r="G2706" t="s">
        <v>20</v>
      </c>
      <c r="H2706" s="2">
        <v>2316</v>
      </c>
      <c r="I2706" s="2">
        <v>5</v>
      </c>
      <c r="J2706" s="2">
        <v>168973</v>
      </c>
      <c r="K2706" s="2">
        <v>65293</v>
      </c>
      <c r="L2706" s="2">
        <v>1</v>
      </c>
      <c r="M2706" t="str">
        <f>IF(Revv_bike_sales_data[[#This Row],[delivery_days]]&lt;=7, "Yes", "No")</f>
        <v>Yes</v>
      </c>
      <c r="N2706" t="s">
        <v>16</v>
      </c>
      <c r="O2706" s="2">
        <v>103680</v>
      </c>
    </row>
    <row r="2707" spans="1:15" x14ac:dyDescent="0.3">
      <c r="A2707" s="2">
        <v>2697</v>
      </c>
      <c r="B2707" s="1">
        <v>45039.333333333336</v>
      </c>
      <c r="C2707" s="1" t="str">
        <f t="shared" si="84"/>
        <v>04-2023</v>
      </c>
      <c r="D2707" s="2">
        <f t="shared" si="85"/>
        <v>17</v>
      </c>
      <c r="E2707" t="s">
        <v>18</v>
      </c>
      <c r="F2707" t="s">
        <v>14</v>
      </c>
      <c r="G2707" t="s">
        <v>20</v>
      </c>
      <c r="H2707" s="2">
        <v>92519</v>
      </c>
      <c r="I2707" s="2">
        <v>1</v>
      </c>
      <c r="J2707" s="2">
        <v>173579</v>
      </c>
      <c r="K2707" s="2">
        <v>123871</v>
      </c>
      <c r="L2707" s="2">
        <v>7</v>
      </c>
      <c r="M2707" t="str">
        <f>IF(Revv_bike_sales_data[[#This Row],[delivery_days]]&lt;=7, "Yes", "No")</f>
        <v>Yes</v>
      </c>
      <c r="N2707" t="s">
        <v>24</v>
      </c>
      <c r="O2707" s="2">
        <v>49708</v>
      </c>
    </row>
    <row r="2708" spans="1:15" x14ac:dyDescent="0.3">
      <c r="A2708" s="2">
        <v>2698</v>
      </c>
      <c r="B2708" s="1">
        <v>45039.375</v>
      </c>
      <c r="C2708" s="1" t="str">
        <f t="shared" si="84"/>
        <v>04-2023</v>
      </c>
      <c r="D2708" s="2">
        <f t="shared" si="85"/>
        <v>17</v>
      </c>
      <c r="E2708" t="s">
        <v>17</v>
      </c>
      <c r="F2708" t="s">
        <v>14</v>
      </c>
      <c r="G2708" t="s">
        <v>21</v>
      </c>
      <c r="H2708" s="2">
        <v>59754</v>
      </c>
      <c r="I2708" s="2">
        <v>8</v>
      </c>
      <c r="J2708" s="2">
        <v>106785</v>
      </c>
      <c r="K2708" s="2">
        <v>133719</v>
      </c>
      <c r="L2708" s="2">
        <v>6</v>
      </c>
      <c r="M2708" t="str">
        <f>IF(Revv_bike_sales_data[[#This Row],[delivery_days]]&lt;=7, "Yes", "No")</f>
        <v>Yes</v>
      </c>
      <c r="N2708" t="s">
        <v>16</v>
      </c>
      <c r="O2708" s="2">
        <v>-26934</v>
      </c>
    </row>
    <row r="2709" spans="1:15" x14ac:dyDescent="0.3">
      <c r="A2709" s="2">
        <v>2699</v>
      </c>
      <c r="B2709" s="1">
        <v>45039.416666666664</v>
      </c>
      <c r="C2709" s="1" t="str">
        <f t="shared" si="84"/>
        <v>04-2023</v>
      </c>
      <c r="D2709" s="2">
        <f t="shared" si="85"/>
        <v>17</v>
      </c>
      <c r="E2709" t="s">
        <v>13</v>
      </c>
      <c r="F2709" t="s">
        <v>14</v>
      </c>
      <c r="G2709" t="s">
        <v>19</v>
      </c>
      <c r="H2709" s="2">
        <v>88195</v>
      </c>
      <c r="I2709" s="2">
        <v>6</v>
      </c>
      <c r="J2709" s="2">
        <v>151691</v>
      </c>
      <c r="K2709" s="2">
        <v>30029</v>
      </c>
      <c r="L2709" s="2">
        <v>5</v>
      </c>
      <c r="M2709" t="str">
        <f>IF(Revv_bike_sales_data[[#This Row],[delivery_days]]&lt;=7, "Yes", "No")</f>
        <v>Yes</v>
      </c>
      <c r="N2709" t="s">
        <v>16</v>
      </c>
      <c r="O2709" s="2">
        <v>121662</v>
      </c>
    </row>
    <row r="2710" spans="1:15" x14ac:dyDescent="0.3">
      <c r="A2710" s="2">
        <v>2700</v>
      </c>
      <c r="B2710" s="1">
        <v>45039.458333333336</v>
      </c>
      <c r="C2710" s="1" t="str">
        <f t="shared" si="84"/>
        <v>04-2023</v>
      </c>
      <c r="D2710" s="2">
        <f t="shared" si="85"/>
        <v>17</v>
      </c>
      <c r="E2710" t="s">
        <v>17</v>
      </c>
      <c r="F2710" t="s">
        <v>14</v>
      </c>
      <c r="G2710" t="s">
        <v>19</v>
      </c>
      <c r="H2710" s="2">
        <v>69885</v>
      </c>
      <c r="I2710" s="2">
        <v>9</v>
      </c>
      <c r="J2710" s="2">
        <v>60391</v>
      </c>
      <c r="K2710" s="2">
        <v>46811</v>
      </c>
      <c r="L2710" s="2">
        <v>12</v>
      </c>
      <c r="M2710" t="str">
        <f>IF(Revv_bike_sales_data[[#This Row],[delivery_days]]&lt;=7, "Yes", "No")</f>
        <v>No</v>
      </c>
      <c r="N2710" t="s">
        <v>16</v>
      </c>
      <c r="O2710" s="2">
        <v>13580</v>
      </c>
    </row>
    <row r="2711" spans="1:15" x14ac:dyDescent="0.3">
      <c r="A2711" s="2">
        <v>2701</v>
      </c>
      <c r="B2711" s="1">
        <v>45039.5</v>
      </c>
      <c r="C2711" s="1" t="str">
        <f t="shared" si="84"/>
        <v>04-2023</v>
      </c>
      <c r="D2711" s="2">
        <f t="shared" si="85"/>
        <v>17</v>
      </c>
      <c r="E2711" t="s">
        <v>25</v>
      </c>
      <c r="F2711" t="s">
        <v>23</v>
      </c>
      <c r="G2711" t="s">
        <v>19</v>
      </c>
      <c r="H2711" s="2">
        <v>87648</v>
      </c>
      <c r="I2711" s="2">
        <v>4</v>
      </c>
      <c r="J2711" s="2">
        <v>59171</v>
      </c>
      <c r="K2711" s="2">
        <v>30793</v>
      </c>
      <c r="L2711" s="2">
        <v>13</v>
      </c>
      <c r="M2711" t="str">
        <f>IF(Revv_bike_sales_data[[#This Row],[delivery_days]]&lt;=7, "Yes", "No")</f>
        <v>No</v>
      </c>
      <c r="N2711" t="s">
        <v>16</v>
      </c>
      <c r="O2711" s="2">
        <v>28378</v>
      </c>
    </row>
    <row r="2712" spans="1:15" x14ac:dyDescent="0.3">
      <c r="A2712" s="2">
        <v>2702</v>
      </c>
      <c r="B2712" s="1">
        <v>45039.541666666664</v>
      </c>
      <c r="C2712" s="1" t="str">
        <f t="shared" si="84"/>
        <v>04-2023</v>
      </c>
      <c r="D2712" s="2">
        <f t="shared" si="85"/>
        <v>17</v>
      </c>
      <c r="E2712" t="s">
        <v>13</v>
      </c>
      <c r="F2712" t="s">
        <v>14</v>
      </c>
      <c r="G2712" t="s">
        <v>15</v>
      </c>
      <c r="H2712" s="2">
        <v>34326</v>
      </c>
      <c r="I2712" s="2">
        <v>6</v>
      </c>
      <c r="J2712" s="2">
        <v>140019</v>
      </c>
      <c r="K2712" s="2">
        <v>121854</v>
      </c>
      <c r="L2712" s="2">
        <v>13</v>
      </c>
      <c r="M2712" t="str">
        <f>IF(Revv_bike_sales_data[[#This Row],[delivery_days]]&lt;=7, "Yes", "No")</f>
        <v>No</v>
      </c>
      <c r="N2712" t="s">
        <v>16</v>
      </c>
      <c r="O2712" s="2">
        <v>18165</v>
      </c>
    </row>
    <row r="2713" spans="1:15" x14ac:dyDescent="0.3">
      <c r="A2713" s="2">
        <v>2703</v>
      </c>
      <c r="B2713" s="1">
        <v>45039.583333333336</v>
      </c>
      <c r="C2713" s="1" t="str">
        <f t="shared" si="84"/>
        <v>04-2023</v>
      </c>
      <c r="D2713" s="2">
        <f t="shared" si="85"/>
        <v>17</v>
      </c>
      <c r="E2713" t="s">
        <v>22</v>
      </c>
      <c r="F2713" t="s">
        <v>14</v>
      </c>
      <c r="G2713" t="s">
        <v>21</v>
      </c>
      <c r="H2713" s="2">
        <v>63865</v>
      </c>
      <c r="I2713" s="2">
        <v>3</v>
      </c>
      <c r="J2713" s="2">
        <v>32485</v>
      </c>
      <c r="K2713" s="2">
        <v>63106</v>
      </c>
      <c r="L2713" s="2">
        <v>13</v>
      </c>
      <c r="M2713" t="str">
        <f>IF(Revv_bike_sales_data[[#This Row],[delivery_days]]&lt;=7, "Yes", "No")</f>
        <v>No</v>
      </c>
      <c r="N2713" t="s">
        <v>16</v>
      </c>
      <c r="O2713" s="2">
        <v>-30621</v>
      </c>
    </row>
    <row r="2714" spans="1:15" x14ac:dyDescent="0.3">
      <c r="A2714" s="2">
        <v>2704</v>
      </c>
      <c r="B2714" s="1">
        <v>45039.625</v>
      </c>
      <c r="C2714" s="1" t="str">
        <f t="shared" si="84"/>
        <v>04-2023</v>
      </c>
      <c r="D2714" s="2">
        <f t="shared" si="85"/>
        <v>17</v>
      </c>
      <c r="E2714" t="s">
        <v>18</v>
      </c>
      <c r="F2714" t="s">
        <v>14</v>
      </c>
      <c r="G2714" t="s">
        <v>21</v>
      </c>
      <c r="H2714" s="2">
        <v>84742</v>
      </c>
      <c r="I2714" s="2">
        <v>9</v>
      </c>
      <c r="J2714" s="2">
        <v>152628</v>
      </c>
      <c r="K2714" s="2">
        <v>100662</v>
      </c>
      <c r="L2714" s="2">
        <v>8</v>
      </c>
      <c r="M2714" t="str">
        <f>IF(Revv_bike_sales_data[[#This Row],[delivery_days]]&lt;=7, "Yes", "No")</f>
        <v>No</v>
      </c>
      <c r="N2714" t="s">
        <v>16</v>
      </c>
      <c r="O2714" s="2">
        <v>51966</v>
      </c>
    </row>
    <row r="2715" spans="1:15" x14ac:dyDescent="0.3">
      <c r="A2715" s="2">
        <v>2705</v>
      </c>
      <c r="B2715" s="1">
        <v>45039.666666666664</v>
      </c>
      <c r="C2715" s="1" t="str">
        <f t="shared" si="84"/>
        <v>04-2023</v>
      </c>
      <c r="D2715" s="2">
        <f t="shared" si="85"/>
        <v>17</v>
      </c>
      <c r="E2715" t="s">
        <v>13</v>
      </c>
      <c r="F2715" t="s">
        <v>14</v>
      </c>
      <c r="G2715" t="s">
        <v>21</v>
      </c>
      <c r="H2715" s="2">
        <v>50600</v>
      </c>
      <c r="I2715" s="2">
        <v>6</v>
      </c>
      <c r="J2715" s="2">
        <v>135104</v>
      </c>
      <c r="K2715" s="2">
        <v>99764</v>
      </c>
      <c r="L2715" s="2">
        <v>11</v>
      </c>
      <c r="M2715" t="str">
        <f>IF(Revv_bike_sales_data[[#This Row],[delivery_days]]&lt;=7, "Yes", "No")</f>
        <v>No</v>
      </c>
      <c r="N2715" t="s">
        <v>16</v>
      </c>
      <c r="O2715" s="2">
        <v>35340</v>
      </c>
    </row>
    <row r="2716" spans="1:15" x14ac:dyDescent="0.3">
      <c r="A2716" s="2">
        <v>2706</v>
      </c>
      <c r="B2716" s="1">
        <v>45039.708333333336</v>
      </c>
      <c r="C2716" s="1" t="str">
        <f t="shared" si="84"/>
        <v>04-2023</v>
      </c>
      <c r="D2716" s="2">
        <f t="shared" si="85"/>
        <v>17</v>
      </c>
      <c r="E2716" t="s">
        <v>13</v>
      </c>
      <c r="F2716" t="s">
        <v>14</v>
      </c>
      <c r="G2716" t="s">
        <v>15</v>
      </c>
      <c r="H2716" s="2">
        <v>90599</v>
      </c>
      <c r="I2716" s="2">
        <v>1</v>
      </c>
      <c r="J2716" s="2">
        <v>140427</v>
      </c>
      <c r="K2716" s="2">
        <v>99131</v>
      </c>
      <c r="L2716" s="2">
        <v>13</v>
      </c>
      <c r="M2716" t="str">
        <f>IF(Revv_bike_sales_data[[#This Row],[delivery_days]]&lt;=7, "Yes", "No")</f>
        <v>No</v>
      </c>
      <c r="N2716" t="s">
        <v>24</v>
      </c>
      <c r="O2716" s="2">
        <v>41296</v>
      </c>
    </row>
    <row r="2717" spans="1:15" x14ac:dyDescent="0.3">
      <c r="A2717" s="2">
        <v>2707</v>
      </c>
      <c r="B2717" s="1">
        <v>45039.75</v>
      </c>
      <c r="C2717" s="1" t="str">
        <f t="shared" si="84"/>
        <v>04-2023</v>
      </c>
      <c r="D2717" s="2">
        <f t="shared" si="85"/>
        <v>17</v>
      </c>
      <c r="E2717" t="s">
        <v>25</v>
      </c>
      <c r="F2717" t="s">
        <v>14</v>
      </c>
      <c r="G2717" t="s">
        <v>19</v>
      </c>
      <c r="H2717" s="2">
        <v>4859</v>
      </c>
      <c r="I2717" s="2">
        <v>6</v>
      </c>
      <c r="J2717" s="2">
        <v>115153</v>
      </c>
      <c r="K2717" s="2">
        <v>15972</v>
      </c>
      <c r="L2717" s="2">
        <v>2</v>
      </c>
      <c r="M2717" t="str">
        <f>IF(Revv_bike_sales_data[[#This Row],[delivery_days]]&lt;=7, "Yes", "No")</f>
        <v>Yes</v>
      </c>
      <c r="N2717" t="s">
        <v>16</v>
      </c>
      <c r="O2717" s="2">
        <v>99181</v>
      </c>
    </row>
    <row r="2718" spans="1:15" x14ac:dyDescent="0.3">
      <c r="A2718" s="2">
        <v>2708</v>
      </c>
      <c r="B2718" s="1">
        <v>45039.791666666664</v>
      </c>
      <c r="C2718" s="1" t="str">
        <f t="shared" si="84"/>
        <v>04-2023</v>
      </c>
      <c r="D2718" s="2">
        <f t="shared" si="85"/>
        <v>17</v>
      </c>
      <c r="E2718" t="s">
        <v>18</v>
      </c>
      <c r="F2718" t="s">
        <v>14</v>
      </c>
      <c r="G2718" t="s">
        <v>19</v>
      </c>
      <c r="H2718" s="2">
        <v>96705</v>
      </c>
      <c r="I2718" s="2">
        <v>3</v>
      </c>
      <c r="J2718" s="2">
        <v>62748</v>
      </c>
      <c r="K2718" s="2">
        <v>15360</v>
      </c>
      <c r="L2718" s="2">
        <v>2</v>
      </c>
      <c r="M2718" t="str">
        <f>IF(Revv_bike_sales_data[[#This Row],[delivery_days]]&lt;=7, "Yes", "No")</f>
        <v>Yes</v>
      </c>
      <c r="N2718" t="s">
        <v>16</v>
      </c>
      <c r="O2718" s="2">
        <v>47388</v>
      </c>
    </row>
    <row r="2719" spans="1:15" x14ac:dyDescent="0.3">
      <c r="A2719" s="2">
        <v>2709</v>
      </c>
      <c r="B2719" s="1">
        <v>45039.833333333336</v>
      </c>
      <c r="C2719" s="1" t="str">
        <f t="shared" si="84"/>
        <v>04-2023</v>
      </c>
      <c r="D2719" s="2">
        <f t="shared" si="85"/>
        <v>17</v>
      </c>
      <c r="E2719" t="s">
        <v>22</v>
      </c>
      <c r="F2719" t="s">
        <v>14</v>
      </c>
      <c r="G2719" t="s">
        <v>19</v>
      </c>
      <c r="H2719" s="2">
        <v>13309</v>
      </c>
      <c r="I2719" s="2">
        <v>3</v>
      </c>
      <c r="J2719" s="2">
        <v>159950</v>
      </c>
      <c r="K2719" s="2">
        <v>17632</v>
      </c>
      <c r="L2719" s="2">
        <v>9</v>
      </c>
      <c r="M2719" t="str">
        <f>IF(Revv_bike_sales_data[[#This Row],[delivery_days]]&lt;=7, "Yes", "No")</f>
        <v>No</v>
      </c>
      <c r="N2719" t="s">
        <v>16</v>
      </c>
      <c r="O2719" s="2">
        <v>142318</v>
      </c>
    </row>
    <row r="2720" spans="1:15" x14ac:dyDescent="0.3">
      <c r="A2720" s="2">
        <v>2710</v>
      </c>
      <c r="B2720" s="1">
        <v>45039.875</v>
      </c>
      <c r="C2720" s="1" t="str">
        <f t="shared" si="84"/>
        <v>04-2023</v>
      </c>
      <c r="D2720" s="2">
        <f t="shared" si="85"/>
        <v>17</v>
      </c>
      <c r="E2720" t="s">
        <v>13</v>
      </c>
      <c r="F2720" t="s">
        <v>14</v>
      </c>
      <c r="G2720" t="s">
        <v>21</v>
      </c>
      <c r="H2720" s="2">
        <v>64950</v>
      </c>
      <c r="I2720" s="2">
        <v>0</v>
      </c>
      <c r="J2720" s="2">
        <v>158021</v>
      </c>
      <c r="K2720" s="2">
        <v>50958</v>
      </c>
      <c r="L2720" s="2">
        <v>1</v>
      </c>
      <c r="M2720" t="str">
        <f>IF(Revv_bike_sales_data[[#This Row],[delivery_days]]&lt;=7, "Yes", "No")</f>
        <v>Yes</v>
      </c>
      <c r="N2720" t="s">
        <v>16</v>
      </c>
      <c r="O2720" s="2">
        <v>107063</v>
      </c>
    </row>
    <row r="2721" spans="1:15" x14ac:dyDescent="0.3">
      <c r="A2721" s="2">
        <v>2711</v>
      </c>
      <c r="B2721" s="1">
        <v>45039.916666666664</v>
      </c>
      <c r="C2721" s="1" t="str">
        <f t="shared" si="84"/>
        <v>04-2023</v>
      </c>
      <c r="D2721" s="2">
        <f t="shared" si="85"/>
        <v>17</v>
      </c>
      <c r="E2721" t="s">
        <v>13</v>
      </c>
      <c r="F2721" t="s">
        <v>14</v>
      </c>
      <c r="G2721" t="s">
        <v>21</v>
      </c>
      <c r="H2721" s="2">
        <v>38928</v>
      </c>
      <c r="I2721" s="2">
        <v>2</v>
      </c>
      <c r="J2721" s="2">
        <v>176953</v>
      </c>
      <c r="K2721" s="2">
        <v>118252</v>
      </c>
      <c r="L2721" s="2">
        <v>6</v>
      </c>
      <c r="M2721" t="str">
        <f>IF(Revv_bike_sales_data[[#This Row],[delivery_days]]&lt;=7, "Yes", "No")</f>
        <v>Yes</v>
      </c>
      <c r="N2721" t="s">
        <v>16</v>
      </c>
      <c r="O2721" s="2">
        <v>58701</v>
      </c>
    </row>
    <row r="2722" spans="1:15" x14ac:dyDescent="0.3">
      <c r="A2722" s="2">
        <v>2712</v>
      </c>
      <c r="B2722" s="1">
        <v>45039.958333333336</v>
      </c>
      <c r="C2722" s="1" t="str">
        <f t="shared" si="84"/>
        <v>04-2023</v>
      </c>
      <c r="D2722" s="2">
        <f t="shared" si="85"/>
        <v>17</v>
      </c>
      <c r="E2722" t="s">
        <v>25</v>
      </c>
      <c r="F2722" t="s">
        <v>14</v>
      </c>
      <c r="G2722" t="s">
        <v>20</v>
      </c>
      <c r="H2722" s="2">
        <v>95490</v>
      </c>
      <c r="I2722" s="2">
        <v>4</v>
      </c>
      <c r="J2722" s="2">
        <v>112150</v>
      </c>
      <c r="K2722" s="2">
        <v>95882</v>
      </c>
      <c r="L2722" s="2">
        <v>13</v>
      </c>
      <c r="M2722" t="str">
        <f>IF(Revv_bike_sales_data[[#This Row],[delivery_days]]&lt;=7, "Yes", "No")</f>
        <v>No</v>
      </c>
      <c r="N2722" t="s">
        <v>16</v>
      </c>
      <c r="O2722" s="2">
        <v>16268</v>
      </c>
    </row>
    <row r="2723" spans="1:15" x14ac:dyDescent="0.3">
      <c r="A2723" s="2">
        <v>2713</v>
      </c>
      <c r="B2723" s="1">
        <v>45040</v>
      </c>
      <c r="C2723" s="1" t="str">
        <f t="shared" si="84"/>
        <v>04-2023</v>
      </c>
      <c r="D2723" s="2">
        <f t="shared" si="85"/>
        <v>17</v>
      </c>
      <c r="E2723" t="s">
        <v>17</v>
      </c>
      <c r="F2723" t="s">
        <v>14</v>
      </c>
      <c r="G2723" t="s">
        <v>15</v>
      </c>
      <c r="H2723" s="2">
        <v>73290</v>
      </c>
      <c r="I2723" s="2">
        <v>4</v>
      </c>
      <c r="J2723" s="2">
        <v>114364</v>
      </c>
      <c r="K2723" s="2">
        <v>128858</v>
      </c>
      <c r="L2723" s="2">
        <v>13</v>
      </c>
      <c r="M2723" t="str">
        <f>IF(Revv_bike_sales_data[[#This Row],[delivery_days]]&lt;=7, "Yes", "No")</f>
        <v>No</v>
      </c>
      <c r="N2723" t="s">
        <v>16</v>
      </c>
      <c r="O2723" s="2">
        <v>-14494</v>
      </c>
    </row>
    <row r="2724" spans="1:15" x14ac:dyDescent="0.3">
      <c r="A2724" s="2">
        <v>2714</v>
      </c>
      <c r="B2724" s="1">
        <v>45040.041666666664</v>
      </c>
      <c r="C2724" s="1" t="str">
        <f t="shared" si="84"/>
        <v>04-2023</v>
      </c>
      <c r="D2724" s="2">
        <f t="shared" si="85"/>
        <v>17</v>
      </c>
      <c r="E2724" t="s">
        <v>22</v>
      </c>
      <c r="F2724" t="s">
        <v>14</v>
      </c>
      <c r="G2724" t="s">
        <v>15</v>
      </c>
      <c r="H2724" s="2">
        <v>90821</v>
      </c>
      <c r="I2724" s="2">
        <v>1</v>
      </c>
      <c r="J2724" s="2">
        <v>140925</v>
      </c>
      <c r="K2724" s="2">
        <v>33008</v>
      </c>
      <c r="L2724" s="2">
        <v>3</v>
      </c>
      <c r="M2724" t="str">
        <f>IF(Revv_bike_sales_data[[#This Row],[delivery_days]]&lt;=7, "Yes", "No")</f>
        <v>Yes</v>
      </c>
      <c r="N2724" t="s">
        <v>16</v>
      </c>
      <c r="O2724" s="2">
        <v>107917</v>
      </c>
    </row>
    <row r="2725" spans="1:15" x14ac:dyDescent="0.3">
      <c r="A2725" s="2">
        <v>2715</v>
      </c>
      <c r="B2725" s="1">
        <v>45040.083333333336</v>
      </c>
      <c r="C2725" s="1" t="str">
        <f t="shared" si="84"/>
        <v>04-2023</v>
      </c>
      <c r="D2725" s="2">
        <f t="shared" si="85"/>
        <v>17</v>
      </c>
      <c r="E2725" t="s">
        <v>18</v>
      </c>
      <c r="F2725" t="s">
        <v>14</v>
      </c>
      <c r="G2725" t="s">
        <v>21</v>
      </c>
      <c r="H2725" s="2">
        <v>2593</v>
      </c>
      <c r="I2725" s="2">
        <v>3</v>
      </c>
      <c r="J2725" s="2">
        <v>34958</v>
      </c>
      <c r="K2725" s="2">
        <v>92656</v>
      </c>
      <c r="L2725" s="2">
        <v>13</v>
      </c>
      <c r="M2725" t="str">
        <f>IF(Revv_bike_sales_data[[#This Row],[delivery_days]]&lt;=7, "Yes", "No")</f>
        <v>No</v>
      </c>
      <c r="N2725" t="s">
        <v>16</v>
      </c>
      <c r="O2725" s="2">
        <v>-57698</v>
      </c>
    </row>
    <row r="2726" spans="1:15" x14ac:dyDescent="0.3">
      <c r="A2726" s="2">
        <v>2716</v>
      </c>
      <c r="B2726" s="1">
        <v>45040.125</v>
      </c>
      <c r="C2726" s="1" t="str">
        <f t="shared" si="84"/>
        <v>04-2023</v>
      </c>
      <c r="D2726" s="2">
        <f t="shared" si="85"/>
        <v>17</v>
      </c>
      <c r="E2726" t="s">
        <v>13</v>
      </c>
      <c r="F2726" t="s">
        <v>14</v>
      </c>
      <c r="G2726" t="s">
        <v>20</v>
      </c>
      <c r="H2726" s="2">
        <v>44998</v>
      </c>
      <c r="I2726" s="2">
        <v>0</v>
      </c>
      <c r="J2726" s="2">
        <v>164769</v>
      </c>
      <c r="K2726" s="2">
        <v>45283</v>
      </c>
      <c r="L2726" s="2">
        <v>5</v>
      </c>
      <c r="M2726" t="str">
        <f>IF(Revv_bike_sales_data[[#This Row],[delivery_days]]&lt;=7, "Yes", "No")</f>
        <v>Yes</v>
      </c>
      <c r="N2726" t="s">
        <v>16</v>
      </c>
      <c r="O2726" s="2">
        <v>119486</v>
      </c>
    </row>
    <row r="2727" spans="1:15" x14ac:dyDescent="0.3">
      <c r="A2727" s="2">
        <v>2717</v>
      </c>
      <c r="B2727" s="1">
        <v>45040.166666666664</v>
      </c>
      <c r="C2727" s="1" t="str">
        <f t="shared" si="84"/>
        <v>04-2023</v>
      </c>
      <c r="D2727" s="2">
        <f t="shared" si="85"/>
        <v>17</v>
      </c>
      <c r="E2727" t="s">
        <v>13</v>
      </c>
      <c r="F2727" t="s">
        <v>14</v>
      </c>
      <c r="G2727" t="s">
        <v>19</v>
      </c>
      <c r="H2727" s="2">
        <v>41485</v>
      </c>
      <c r="I2727" s="2">
        <v>8</v>
      </c>
      <c r="J2727" s="2">
        <v>112160</v>
      </c>
      <c r="K2727" s="2">
        <v>65908</v>
      </c>
      <c r="L2727" s="2">
        <v>8</v>
      </c>
      <c r="M2727" t="str">
        <f>IF(Revv_bike_sales_data[[#This Row],[delivery_days]]&lt;=7, "Yes", "No")</f>
        <v>No</v>
      </c>
      <c r="N2727" t="s">
        <v>16</v>
      </c>
      <c r="O2727" s="2">
        <v>46252</v>
      </c>
    </row>
    <row r="2728" spans="1:15" x14ac:dyDescent="0.3">
      <c r="A2728" s="2">
        <v>2718</v>
      </c>
      <c r="B2728" s="1">
        <v>45040.208333333336</v>
      </c>
      <c r="C2728" s="1" t="str">
        <f t="shared" si="84"/>
        <v>04-2023</v>
      </c>
      <c r="D2728" s="2">
        <f t="shared" si="85"/>
        <v>17</v>
      </c>
      <c r="E2728" t="s">
        <v>22</v>
      </c>
      <c r="F2728" t="s">
        <v>14</v>
      </c>
      <c r="G2728" t="s">
        <v>21</v>
      </c>
      <c r="H2728" s="2">
        <v>32509</v>
      </c>
      <c r="I2728" s="2">
        <v>0</v>
      </c>
      <c r="J2728" s="2">
        <v>40493</v>
      </c>
      <c r="K2728" s="2">
        <v>22818</v>
      </c>
      <c r="L2728" s="2">
        <v>7</v>
      </c>
      <c r="M2728" t="str">
        <f>IF(Revv_bike_sales_data[[#This Row],[delivery_days]]&lt;=7, "Yes", "No")</f>
        <v>Yes</v>
      </c>
      <c r="N2728" t="s">
        <v>16</v>
      </c>
      <c r="O2728" s="2">
        <v>17675</v>
      </c>
    </row>
    <row r="2729" spans="1:15" x14ac:dyDescent="0.3">
      <c r="A2729" s="2">
        <v>2719</v>
      </c>
      <c r="B2729" s="1">
        <v>45040.25</v>
      </c>
      <c r="C2729" s="1" t="str">
        <f t="shared" si="84"/>
        <v>04-2023</v>
      </c>
      <c r="D2729" s="2">
        <f t="shared" si="85"/>
        <v>17</v>
      </c>
      <c r="E2729" t="s">
        <v>17</v>
      </c>
      <c r="F2729" t="s">
        <v>14</v>
      </c>
      <c r="G2729" t="s">
        <v>15</v>
      </c>
      <c r="H2729" s="2">
        <v>82594</v>
      </c>
      <c r="I2729" s="2">
        <v>5</v>
      </c>
      <c r="J2729" s="2">
        <v>46199</v>
      </c>
      <c r="K2729" s="2">
        <v>85655</v>
      </c>
      <c r="L2729" s="2">
        <v>13</v>
      </c>
      <c r="M2729" t="str">
        <f>IF(Revv_bike_sales_data[[#This Row],[delivery_days]]&lt;=7, "Yes", "No")</f>
        <v>No</v>
      </c>
      <c r="N2729" t="s">
        <v>16</v>
      </c>
      <c r="O2729" s="2">
        <v>-39456</v>
      </c>
    </row>
    <row r="2730" spans="1:15" x14ac:dyDescent="0.3">
      <c r="A2730" s="2">
        <v>2720</v>
      </c>
      <c r="B2730" s="1">
        <v>45040.291666666664</v>
      </c>
      <c r="C2730" s="1" t="str">
        <f t="shared" si="84"/>
        <v>04-2023</v>
      </c>
      <c r="D2730" s="2">
        <f t="shared" si="85"/>
        <v>17</v>
      </c>
      <c r="E2730" t="s">
        <v>13</v>
      </c>
      <c r="F2730" t="s">
        <v>14</v>
      </c>
      <c r="G2730" t="s">
        <v>15</v>
      </c>
      <c r="H2730" s="2">
        <v>18218</v>
      </c>
      <c r="I2730" s="2">
        <v>6</v>
      </c>
      <c r="J2730" s="2">
        <v>55493</v>
      </c>
      <c r="K2730" s="2">
        <v>45579</v>
      </c>
      <c r="L2730" s="2">
        <v>12</v>
      </c>
      <c r="M2730" t="str">
        <f>IF(Revv_bike_sales_data[[#This Row],[delivery_days]]&lt;=7, "Yes", "No")</f>
        <v>No</v>
      </c>
      <c r="N2730" t="s">
        <v>16</v>
      </c>
      <c r="O2730" s="2">
        <v>9914</v>
      </c>
    </row>
    <row r="2731" spans="1:15" x14ac:dyDescent="0.3">
      <c r="A2731" s="2">
        <v>2721</v>
      </c>
      <c r="B2731" s="1">
        <v>45040.333333333336</v>
      </c>
      <c r="C2731" s="1" t="str">
        <f t="shared" si="84"/>
        <v>04-2023</v>
      </c>
      <c r="D2731" s="2">
        <f t="shared" si="85"/>
        <v>17</v>
      </c>
      <c r="E2731" t="s">
        <v>22</v>
      </c>
      <c r="F2731" t="s">
        <v>14</v>
      </c>
      <c r="G2731" t="s">
        <v>15</v>
      </c>
      <c r="H2731" s="2">
        <v>17205</v>
      </c>
      <c r="I2731" s="2">
        <v>2</v>
      </c>
      <c r="J2731" s="2">
        <v>136545</v>
      </c>
      <c r="K2731" s="2">
        <v>70178</v>
      </c>
      <c r="L2731" s="2">
        <v>4</v>
      </c>
      <c r="M2731" t="str">
        <f>IF(Revv_bike_sales_data[[#This Row],[delivery_days]]&lt;=7, "Yes", "No")</f>
        <v>Yes</v>
      </c>
      <c r="N2731" t="s">
        <v>16</v>
      </c>
      <c r="O2731" s="2">
        <v>66367</v>
      </c>
    </row>
    <row r="2732" spans="1:15" x14ac:dyDescent="0.3">
      <c r="A2732" s="2">
        <v>2722</v>
      </c>
      <c r="B2732" s="1">
        <v>45040.375</v>
      </c>
      <c r="C2732" s="1" t="str">
        <f t="shared" si="84"/>
        <v>04-2023</v>
      </c>
      <c r="D2732" s="2">
        <f t="shared" si="85"/>
        <v>17</v>
      </c>
      <c r="E2732" t="s">
        <v>25</v>
      </c>
      <c r="F2732" t="s">
        <v>14</v>
      </c>
      <c r="G2732" t="s">
        <v>19</v>
      </c>
      <c r="H2732" s="2">
        <v>88118</v>
      </c>
      <c r="I2732" s="2">
        <v>0</v>
      </c>
      <c r="J2732" s="2">
        <v>74002</v>
      </c>
      <c r="K2732" s="2">
        <v>72584</v>
      </c>
      <c r="L2732" s="2">
        <v>8</v>
      </c>
      <c r="M2732" t="str">
        <f>IF(Revv_bike_sales_data[[#This Row],[delivery_days]]&lt;=7, "Yes", "No")</f>
        <v>No</v>
      </c>
      <c r="N2732" t="s">
        <v>16</v>
      </c>
      <c r="O2732" s="2">
        <v>1418</v>
      </c>
    </row>
    <row r="2733" spans="1:15" x14ac:dyDescent="0.3">
      <c r="A2733" s="2">
        <v>2723</v>
      </c>
      <c r="B2733" s="1">
        <v>45040.416666666664</v>
      </c>
      <c r="C2733" s="1" t="str">
        <f t="shared" si="84"/>
        <v>04-2023</v>
      </c>
      <c r="D2733" s="2">
        <f t="shared" si="85"/>
        <v>17</v>
      </c>
      <c r="E2733" t="s">
        <v>17</v>
      </c>
      <c r="F2733" t="s">
        <v>14</v>
      </c>
      <c r="G2733" t="s">
        <v>15</v>
      </c>
      <c r="H2733" s="2">
        <v>63098</v>
      </c>
      <c r="I2733" s="2">
        <v>6</v>
      </c>
      <c r="J2733" s="2">
        <v>48731</v>
      </c>
      <c r="K2733" s="2">
        <v>80020</v>
      </c>
      <c r="L2733" s="2">
        <v>11</v>
      </c>
      <c r="M2733" t="str">
        <f>IF(Revv_bike_sales_data[[#This Row],[delivery_days]]&lt;=7, "Yes", "No")</f>
        <v>No</v>
      </c>
      <c r="N2733" t="s">
        <v>16</v>
      </c>
      <c r="O2733" s="2">
        <v>-31289</v>
      </c>
    </row>
    <row r="2734" spans="1:15" x14ac:dyDescent="0.3">
      <c r="A2734" s="2">
        <v>2724</v>
      </c>
      <c r="B2734" s="1">
        <v>45040.458333333336</v>
      </c>
      <c r="C2734" s="1" t="str">
        <f t="shared" si="84"/>
        <v>04-2023</v>
      </c>
      <c r="D2734" s="2">
        <f t="shared" si="85"/>
        <v>17</v>
      </c>
      <c r="E2734" t="s">
        <v>18</v>
      </c>
      <c r="F2734" t="s">
        <v>14</v>
      </c>
      <c r="G2734" t="s">
        <v>19</v>
      </c>
      <c r="H2734" s="2">
        <v>78378</v>
      </c>
      <c r="I2734" s="2">
        <v>2</v>
      </c>
      <c r="J2734" s="2">
        <v>163148</v>
      </c>
      <c r="K2734" s="2">
        <v>126257</v>
      </c>
      <c r="L2734" s="2">
        <v>11</v>
      </c>
      <c r="M2734" t="str">
        <f>IF(Revv_bike_sales_data[[#This Row],[delivery_days]]&lt;=7, "Yes", "No")</f>
        <v>No</v>
      </c>
      <c r="N2734" t="s">
        <v>16</v>
      </c>
      <c r="O2734" s="2">
        <v>36891</v>
      </c>
    </row>
    <row r="2735" spans="1:15" x14ac:dyDescent="0.3">
      <c r="A2735" s="2">
        <v>2725</v>
      </c>
      <c r="B2735" s="1">
        <v>45040.5</v>
      </c>
      <c r="C2735" s="1" t="str">
        <f t="shared" si="84"/>
        <v>04-2023</v>
      </c>
      <c r="D2735" s="2">
        <f t="shared" si="85"/>
        <v>17</v>
      </c>
      <c r="E2735" t="s">
        <v>13</v>
      </c>
      <c r="F2735" t="s">
        <v>14</v>
      </c>
      <c r="G2735" t="s">
        <v>19</v>
      </c>
      <c r="H2735" s="2">
        <v>12739</v>
      </c>
      <c r="I2735" s="2">
        <v>9</v>
      </c>
      <c r="J2735" s="2">
        <v>26071</v>
      </c>
      <c r="K2735" s="2">
        <v>128204</v>
      </c>
      <c r="L2735" s="2">
        <v>10</v>
      </c>
      <c r="M2735" t="str">
        <f>IF(Revv_bike_sales_data[[#This Row],[delivery_days]]&lt;=7, "Yes", "No")</f>
        <v>No</v>
      </c>
      <c r="N2735" t="s">
        <v>16</v>
      </c>
      <c r="O2735" s="2">
        <v>-102133</v>
      </c>
    </row>
    <row r="2736" spans="1:15" x14ac:dyDescent="0.3">
      <c r="A2736" s="2">
        <v>2726</v>
      </c>
      <c r="B2736" s="1">
        <v>45040.541666666664</v>
      </c>
      <c r="C2736" s="1" t="str">
        <f t="shared" si="84"/>
        <v>04-2023</v>
      </c>
      <c r="D2736" s="2">
        <f t="shared" si="85"/>
        <v>17</v>
      </c>
      <c r="E2736" t="s">
        <v>22</v>
      </c>
      <c r="F2736" t="s">
        <v>14</v>
      </c>
      <c r="G2736" t="s">
        <v>19</v>
      </c>
      <c r="H2736" s="2">
        <v>47122</v>
      </c>
      <c r="I2736" s="2">
        <v>5</v>
      </c>
      <c r="J2736" s="2">
        <v>124926</v>
      </c>
      <c r="K2736" s="2">
        <v>110373</v>
      </c>
      <c r="L2736" s="2">
        <v>11</v>
      </c>
      <c r="M2736" t="str">
        <f>IF(Revv_bike_sales_data[[#This Row],[delivery_days]]&lt;=7, "Yes", "No")</f>
        <v>No</v>
      </c>
      <c r="N2736" t="s">
        <v>16</v>
      </c>
      <c r="O2736" s="2">
        <v>14553</v>
      </c>
    </row>
    <row r="2737" spans="1:15" x14ac:dyDescent="0.3">
      <c r="A2737" s="2">
        <v>2727</v>
      </c>
      <c r="B2737" s="1">
        <v>45040.583333333336</v>
      </c>
      <c r="C2737" s="1" t="str">
        <f t="shared" si="84"/>
        <v>04-2023</v>
      </c>
      <c r="D2737" s="2">
        <f t="shared" si="85"/>
        <v>17</v>
      </c>
      <c r="E2737" t="s">
        <v>25</v>
      </c>
      <c r="F2737" t="s">
        <v>14</v>
      </c>
      <c r="G2737" t="s">
        <v>21</v>
      </c>
      <c r="H2737" s="2">
        <v>47165</v>
      </c>
      <c r="I2737" s="2">
        <v>5</v>
      </c>
      <c r="J2737" s="2">
        <v>152872</v>
      </c>
      <c r="K2737" s="2">
        <v>136663</v>
      </c>
      <c r="L2737" s="2">
        <v>14</v>
      </c>
      <c r="M2737" t="str">
        <f>IF(Revv_bike_sales_data[[#This Row],[delivery_days]]&lt;=7, "Yes", "No")</f>
        <v>No</v>
      </c>
      <c r="N2737" t="s">
        <v>16</v>
      </c>
      <c r="O2737" s="2">
        <v>16209</v>
      </c>
    </row>
    <row r="2738" spans="1:15" x14ac:dyDescent="0.3">
      <c r="A2738" s="2">
        <v>2728</v>
      </c>
      <c r="B2738" s="1">
        <v>45040.625</v>
      </c>
      <c r="C2738" s="1" t="str">
        <f t="shared" si="84"/>
        <v>04-2023</v>
      </c>
      <c r="D2738" s="2">
        <f t="shared" si="85"/>
        <v>17</v>
      </c>
      <c r="E2738" t="s">
        <v>18</v>
      </c>
      <c r="F2738" t="s">
        <v>14</v>
      </c>
      <c r="G2738" t="s">
        <v>19</v>
      </c>
      <c r="H2738" s="2">
        <v>32774</v>
      </c>
      <c r="I2738" s="2">
        <v>3</v>
      </c>
      <c r="J2738" s="2">
        <v>66410</v>
      </c>
      <c r="K2738" s="2">
        <v>15975</v>
      </c>
      <c r="L2738" s="2">
        <v>2</v>
      </c>
      <c r="M2738" t="str">
        <f>IF(Revv_bike_sales_data[[#This Row],[delivery_days]]&lt;=7, "Yes", "No")</f>
        <v>Yes</v>
      </c>
      <c r="N2738" t="s">
        <v>16</v>
      </c>
      <c r="O2738" s="2">
        <v>50435</v>
      </c>
    </row>
    <row r="2739" spans="1:15" x14ac:dyDescent="0.3">
      <c r="A2739" s="2">
        <v>2729</v>
      </c>
      <c r="B2739" s="1">
        <v>45040.666666666664</v>
      </c>
      <c r="C2739" s="1" t="str">
        <f t="shared" si="84"/>
        <v>04-2023</v>
      </c>
      <c r="D2739" s="2">
        <f t="shared" si="85"/>
        <v>17</v>
      </c>
      <c r="E2739" t="s">
        <v>22</v>
      </c>
      <c r="F2739" t="s">
        <v>14</v>
      </c>
      <c r="G2739" t="s">
        <v>20</v>
      </c>
      <c r="H2739" s="2">
        <v>11919</v>
      </c>
      <c r="I2739" s="2">
        <v>5</v>
      </c>
      <c r="J2739" s="2">
        <v>119948</v>
      </c>
      <c r="K2739" s="2">
        <v>78479</v>
      </c>
      <c r="L2739" s="2">
        <v>7</v>
      </c>
      <c r="M2739" t="str">
        <f>IF(Revv_bike_sales_data[[#This Row],[delivery_days]]&lt;=7, "Yes", "No")</f>
        <v>Yes</v>
      </c>
      <c r="N2739" t="s">
        <v>16</v>
      </c>
      <c r="O2739" s="2">
        <v>41469</v>
      </c>
    </row>
    <row r="2740" spans="1:15" x14ac:dyDescent="0.3">
      <c r="A2740" s="2">
        <v>2730</v>
      </c>
      <c r="B2740" s="1">
        <v>45040.708333333336</v>
      </c>
      <c r="C2740" s="1" t="str">
        <f t="shared" si="84"/>
        <v>04-2023</v>
      </c>
      <c r="D2740" s="2">
        <f t="shared" si="85"/>
        <v>17</v>
      </c>
      <c r="E2740" t="s">
        <v>22</v>
      </c>
      <c r="F2740" t="s">
        <v>14</v>
      </c>
      <c r="G2740" t="s">
        <v>15</v>
      </c>
      <c r="H2740" s="2">
        <v>15503</v>
      </c>
      <c r="I2740" s="2">
        <v>9</v>
      </c>
      <c r="J2740" s="2">
        <v>66041</v>
      </c>
      <c r="K2740" s="2">
        <v>31265</v>
      </c>
      <c r="L2740" s="2">
        <v>5</v>
      </c>
      <c r="M2740" t="str">
        <f>IF(Revv_bike_sales_data[[#This Row],[delivery_days]]&lt;=7, "Yes", "No")</f>
        <v>Yes</v>
      </c>
      <c r="N2740" t="s">
        <v>16</v>
      </c>
      <c r="O2740" s="2">
        <v>34776</v>
      </c>
    </row>
    <row r="2741" spans="1:15" x14ac:dyDescent="0.3">
      <c r="A2741" s="2">
        <v>2731</v>
      </c>
      <c r="B2741" s="1">
        <v>45040.75</v>
      </c>
      <c r="C2741" s="1" t="str">
        <f t="shared" si="84"/>
        <v>04-2023</v>
      </c>
      <c r="D2741" s="2">
        <f t="shared" si="85"/>
        <v>17</v>
      </c>
      <c r="E2741" t="s">
        <v>18</v>
      </c>
      <c r="F2741" t="s">
        <v>14</v>
      </c>
      <c r="G2741" t="s">
        <v>21</v>
      </c>
      <c r="H2741" s="2">
        <v>31366</v>
      </c>
      <c r="I2741" s="2">
        <v>3</v>
      </c>
      <c r="J2741" s="2">
        <v>148616</v>
      </c>
      <c r="K2741" s="2">
        <v>78518</v>
      </c>
      <c r="L2741" s="2">
        <v>11</v>
      </c>
      <c r="M2741" t="str">
        <f>IF(Revv_bike_sales_data[[#This Row],[delivery_days]]&lt;=7, "Yes", "No")</f>
        <v>No</v>
      </c>
      <c r="N2741" t="s">
        <v>16</v>
      </c>
      <c r="O2741" s="2">
        <v>70098</v>
      </c>
    </row>
    <row r="2742" spans="1:15" x14ac:dyDescent="0.3">
      <c r="A2742" s="2">
        <v>2732</v>
      </c>
      <c r="B2742" s="1">
        <v>45040.791666666664</v>
      </c>
      <c r="C2742" s="1" t="str">
        <f t="shared" si="84"/>
        <v>04-2023</v>
      </c>
      <c r="D2742" s="2">
        <f t="shared" si="85"/>
        <v>17</v>
      </c>
      <c r="E2742" t="s">
        <v>25</v>
      </c>
      <c r="F2742" t="s">
        <v>14</v>
      </c>
      <c r="G2742" t="s">
        <v>15</v>
      </c>
      <c r="H2742" s="2">
        <v>22488</v>
      </c>
      <c r="I2742" s="2">
        <v>7</v>
      </c>
      <c r="J2742" s="2">
        <v>78326</v>
      </c>
      <c r="K2742" s="2">
        <v>19318</v>
      </c>
      <c r="L2742" s="2">
        <v>6</v>
      </c>
      <c r="M2742" t="str">
        <f>IF(Revv_bike_sales_data[[#This Row],[delivery_days]]&lt;=7, "Yes", "No")</f>
        <v>Yes</v>
      </c>
      <c r="N2742" t="s">
        <v>16</v>
      </c>
      <c r="O2742" s="2">
        <v>59008</v>
      </c>
    </row>
    <row r="2743" spans="1:15" x14ac:dyDescent="0.3">
      <c r="A2743" s="2">
        <v>2733</v>
      </c>
      <c r="B2743" s="1">
        <v>45040.833333333336</v>
      </c>
      <c r="C2743" s="1" t="str">
        <f t="shared" si="84"/>
        <v>04-2023</v>
      </c>
      <c r="D2743" s="2">
        <f t="shared" si="85"/>
        <v>17</v>
      </c>
      <c r="E2743" t="s">
        <v>25</v>
      </c>
      <c r="F2743" t="s">
        <v>14</v>
      </c>
      <c r="G2743" t="s">
        <v>19</v>
      </c>
      <c r="H2743" s="2">
        <v>56394</v>
      </c>
      <c r="I2743" s="2">
        <v>8</v>
      </c>
      <c r="J2743" s="2">
        <v>78096</v>
      </c>
      <c r="K2743" s="2">
        <v>135611</v>
      </c>
      <c r="L2743" s="2">
        <v>3</v>
      </c>
      <c r="M2743" t="str">
        <f>IF(Revv_bike_sales_data[[#This Row],[delivery_days]]&lt;=7, "Yes", "No")</f>
        <v>Yes</v>
      </c>
      <c r="N2743" t="s">
        <v>16</v>
      </c>
      <c r="O2743" s="2">
        <v>-57515</v>
      </c>
    </row>
    <row r="2744" spans="1:15" x14ac:dyDescent="0.3">
      <c r="A2744" s="2">
        <v>2734</v>
      </c>
      <c r="B2744" s="1">
        <v>45040.875</v>
      </c>
      <c r="C2744" s="1" t="str">
        <f t="shared" si="84"/>
        <v>04-2023</v>
      </c>
      <c r="D2744" s="2">
        <f t="shared" si="85"/>
        <v>17</v>
      </c>
      <c r="E2744" t="s">
        <v>17</v>
      </c>
      <c r="F2744" t="s">
        <v>14</v>
      </c>
      <c r="G2744" t="s">
        <v>21</v>
      </c>
      <c r="H2744" s="2">
        <v>90944</v>
      </c>
      <c r="I2744" s="2">
        <v>1</v>
      </c>
      <c r="J2744" s="2">
        <v>68167</v>
      </c>
      <c r="K2744" s="2">
        <v>50081</v>
      </c>
      <c r="L2744" s="2">
        <v>11</v>
      </c>
      <c r="M2744" t="str">
        <f>IF(Revv_bike_sales_data[[#This Row],[delivery_days]]&lt;=7, "Yes", "No")</f>
        <v>No</v>
      </c>
      <c r="N2744" t="s">
        <v>16</v>
      </c>
      <c r="O2744" s="2">
        <v>18086</v>
      </c>
    </row>
    <row r="2745" spans="1:15" x14ac:dyDescent="0.3">
      <c r="A2745" s="2">
        <v>2735</v>
      </c>
      <c r="B2745" s="1">
        <v>45040.916666666664</v>
      </c>
      <c r="C2745" s="1" t="str">
        <f t="shared" si="84"/>
        <v>04-2023</v>
      </c>
      <c r="D2745" s="2">
        <f t="shared" si="85"/>
        <v>17</v>
      </c>
      <c r="E2745" t="s">
        <v>13</v>
      </c>
      <c r="F2745" t="s">
        <v>14</v>
      </c>
      <c r="G2745" t="s">
        <v>20</v>
      </c>
      <c r="H2745" s="2">
        <v>6174</v>
      </c>
      <c r="I2745" s="2">
        <v>6</v>
      </c>
      <c r="J2745" s="2">
        <v>86292</v>
      </c>
      <c r="K2745" s="2">
        <v>73649</v>
      </c>
      <c r="L2745" s="2">
        <v>10</v>
      </c>
      <c r="M2745" t="str">
        <f>IF(Revv_bike_sales_data[[#This Row],[delivery_days]]&lt;=7, "Yes", "No")</f>
        <v>No</v>
      </c>
      <c r="N2745" t="s">
        <v>16</v>
      </c>
      <c r="O2745" s="2">
        <v>12643</v>
      </c>
    </row>
    <row r="2746" spans="1:15" x14ac:dyDescent="0.3">
      <c r="A2746" s="2">
        <v>2736</v>
      </c>
      <c r="B2746" s="1">
        <v>45040.958333333336</v>
      </c>
      <c r="C2746" s="1" t="str">
        <f t="shared" si="84"/>
        <v>04-2023</v>
      </c>
      <c r="D2746" s="2">
        <f t="shared" si="85"/>
        <v>17</v>
      </c>
      <c r="E2746" t="s">
        <v>18</v>
      </c>
      <c r="F2746" t="s">
        <v>23</v>
      </c>
      <c r="G2746" t="s">
        <v>19</v>
      </c>
      <c r="H2746" s="2">
        <v>71038</v>
      </c>
      <c r="I2746" s="2">
        <v>8</v>
      </c>
      <c r="J2746" s="2">
        <v>100419</v>
      </c>
      <c r="K2746" s="2">
        <v>130475</v>
      </c>
      <c r="L2746" s="2">
        <v>7</v>
      </c>
      <c r="M2746" t="str">
        <f>IF(Revv_bike_sales_data[[#This Row],[delivery_days]]&lt;=7, "Yes", "No")</f>
        <v>Yes</v>
      </c>
      <c r="N2746" t="s">
        <v>16</v>
      </c>
      <c r="O2746" s="2">
        <v>-30056</v>
      </c>
    </row>
    <row r="2747" spans="1:15" x14ac:dyDescent="0.3">
      <c r="A2747" s="2">
        <v>2737</v>
      </c>
      <c r="B2747" s="1">
        <v>45041</v>
      </c>
      <c r="C2747" s="1" t="str">
        <f t="shared" si="84"/>
        <v>04-2023</v>
      </c>
      <c r="D2747" s="2">
        <f t="shared" si="85"/>
        <v>17</v>
      </c>
      <c r="E2747" t="s">
        <v>18</v>
      </c>
      <c r="F2747" t="s">
        <v>23</v>
      </c>
      <c r="G2747" t="s">
        <v>15</v>
      </c>
      <c r="H2747" s="2">
        <v>93603</v>
      </c>
      <c r="I2747" s="2">
        <v>8</v>
      </c>
      <c r="J2747" s="2">
        <v>112753</v>
      </c>
      <c r="K2747" s="2">
        <v>132116</v>
      </c>
      <c r="L2747" s="2">
        <v>7</v>
      </c>
      <c r="M2747" t="str">
        <f>IF(Revv_bike_sales_data[[#This Row],[delivery_days]]&lt;=7, "Yes", "No")</f>
        <v>Yes</v>
      </c>
      <c r="N2747" t="s">
        <v>24</v>
      </c>
      <c r="O2747" s="2">
        <v>-19363</v>
      </c>
    </row>
    <row r="2748" spans="1:15" x14ac:dyDescent="0.3">
      <c r="A2748" s="2">
        <v>2738</v>
      </c>
      <c r="B2748" s="1">
        <v>45041.041666666664</v>
      </c>
      <c r="C2748" s="1" t="str">
        <f t="shared" si="84"/>
        <v>04-2023</v>
      </c>
      <c r="D2748" s="2">
        <f t="shared" si="85"/>
        <v>17</v>
      </c>
      <c r="E2748" t="s">
        <v>18</v>
      </c>
      <c r="F2748" t="s">
        <v>23</v>
      </c>
      <c r="G2748" t="s">
        <v>20</v>
      </c>
      <c r="H2748" s="2">
        <v>66946</v>
      </c>
      <c r="I2748" s="2">
        <v>4</v>
      </c>
      <c r="J2748" s="2">
        <v>166779</v>
      </c>
      <c r="K2748" s="2">
        <v>122051</v>
      </c>
      <c r="L2748" s="2">
        <v>2</v>
      </c>
      <c r="M2748" t="str">
        <f>IF(Revv_bike_sales_data[[#This Row],[delivery_days]]&lt;=7, "Yes", "No")</f>
        <v>Yes</v>
      </c>
      <c r="N2748" t="s">
        <v>16</v>
      </c>
      <c r="O2748" s="2">
        <v>44728</v>
      </c>
    </row>
    <row r="2749" spans="1:15" x14ac:dyDescent="0.3">
      <c r="A2749" s="2">
        <v>2739</v>
      </c>
      <c r="B2749" s="1">
        <v>45041.083333333336</v>
      </c>
      <c r="C2749" s="1" t="str">
        <f t="shared" si="84"/>
        <v>04-2023</v>
      </c>
      <c r="D2749" s="2">
        <f t="shared" si="85"/>
        <v>17</v>
      </c>
      <c r="E2749" t="s">
        <v>25</v>
      </c>
      <c r="F2749" t="s">
        <v>14</v>
      </c>
      <c r="G2749" t="s">
        <v>19</v>
      </c>
      <c r="H2749" s="2">
        <v>29572</v>
      </c>
      <c r="I2749" s="2">
        <v>0</v>
      </c>
      <c r="J2749" s="2">
        <v>169212</v>
      </c>
      <c r="K2749" s="2">
        <v>58069</v>
      </c>
      <c r="L2749" s="2">
        <v>1</v>
      </c>
      <c r="M2749" t="str">
        <f>IF(Revv_bike_sales_data[[#This Row],[delivery_days]]&lt;=7, "Yes", "No")</f>
        <v>Yes</v>
      </c>
      <c r="N2749" t="s">
        <v>16</v>
      </c>
      <c r="O2749" s="2">
        <v>111143</v>
      </c>
    </row>
    <row r="2750" spans="1:15" x14ac:dyDescent="0.3">
      <c r="A2750" s="2">
        <v>2740</v>
      </c>
      <c r="B2750" s="1">
        <v>45041.125</v>
      </c>
      <c r="C2750" s="1" t="str">
        <f t="shared" si="84"/>
        <v>04-2023</v>
      </c>
      <c r="D2750" s="2">
        <f t="shared" si="85"/>
        <v>17</v>
      </c>
      <c r="E2750" t="s">
        <v>13</v>
      </c>
      <c r="F2750" t="s">
        <v>14</v>
      </c>
      <c r="G2750" t="s">
        <v>20</v>
      </c>
      <c r="H2750" s="2">
        <v>34217</v>
      </c>
      <c r="I2750" s="2">
        <v>5</v>
      </c>
      <c r="J2750" s="2">
        <v>36093</v>
      </c>
      <c r="K2750" s="2">
        <v>128352</v>
      </c>
      <c r="L2750" s="2">
        <v>10</v>
      </c>
      <c r="M2750" t="str">
        <f>IF(Revv_bike_sales_data[[#This Row],[delivery_days]]&lt;=7, "Yes", "No")</f>
        <v>No</v>
      </c>
      <c r="N2750" t="s">
        <v>16</v>
      </c>
      <c r="O2750" s="2">
        <v>-92259</v>
      </c>
    </row>
    <row r="2751" spans="1:15" x14ac:dyDescent="0.3">
      <c r="A2751" s="2">
        <v>2741</v>
      </c>
      <c r="B2751" s="1">
        <v>45041.166666666664</v>
      </c>
      <c r="C2751" s="1" t="str">
        <f t="shared" si="84"/>
        <v>04-2023</v>
      </c>
      <c r="D2751" s="2">
        <f t="shared" si="85"/>
        <v>17</v>
      </c>
      <c r="E2751" t="s">
        <v>17</v>
      </c>
      <c r="F2751" t="s">
        <v>14</v>
      </c>
      <c r="G2751" t="s">
        <v>19</v>
      </c>
      <c r="H2751" s="2">
        <v>87845</v>
      </c>
      <c r="I2751" s="2">
        <v>7</v>
      </c>
      <c r="J2751" s="2">
        <v>129089</v>
      </c>
      <c r="K2751" s="2">
        <v>93670</v>
      </c>
      <c r="L2751" s="2">
        <v>2</v>
      </c>
      <c r="M2751" t="str">
        <f>IF(Revv_bike_sales_data[[#This Row],[delivery_days]]&lt;=7, "Yes", "No")</f>
        <v>Yes</v>
      </c>
      <c r="N2751" t="s">
        <v>16</v>
      </c>
      <c r="O2751" s="2">
        <v>35419</v>
      </c>
    </row>
    <row r="2752" spans="1:15" x14ac:dyDescent="0.3">
      <c r="A2752" s="2">
        <v>2742</v>
      </c>
      <c r="B2752" s="1">
        <v>45041.208333333336</v>
      </c>
      <c r="C2752" s="1" t="str">
        <f t="shared" si="84"/>
        <v>04-2023</v>
      </c>
      <c r="D2752" s="2">
        <f t="shared" si="85"/>
        <v>17</v>
      </c>
      <c r="E2752" t="s">
        <v>22</v>
      </c>
      <c r="F2752" t="s">
        <v>14</v>
      </c>
      <c r="G2752" t="s">
        <v>21</v>
      </c>
      <c r="H2752" s="2">
        <v>27151</v>
      </c>
      <c r="I2752" s="2">
        <v>0</v>
      </c>
      <c r="J2752" s="2">
        <v>97043</v>
      </c>
      <c r="K2752" s="2">
        <v>119968</v>
      </c>
      <c r="L2752" s="2">
        <v>12</v>
      </c>
      <c r="M2752" t="str">
        <f>IF(Revv_bike_sales_data[[#This Row],[delivery_days]]&lt;=7, "Yes", "No")</f>
        <v>No</v>
      </c>
      <c r="N2752" t="s">
        <v>16</v>
      </c>
      <c r="O2752" s="2">
        <v>-22925</v>
      </c>
    </row>
    <row r="2753" spans="1:15" x14ac:dyDescent="0.3">
      <c r="A2753" s="2">
        <v>2743</v>
      </c>
      <c r="B2753" s="1">
        <v>45041.25</v>
      </c>
      <c r="C2753" s="1" t="str">
        <f t="shared" si="84"/>
        <v>04-2023</v>
      </c>
      <c r="D2753" s="2">
        <f t="shared" si="85"/>
        <v>17</v>
      </c>
      <c r="E2753" t="s">
        <v>22</v>
      </c>
      <c r="F2753" t="s">
        <v>14</v>
      </c>
      <c r="G2753" t="s">
        <v>19</v>
      </c>
      <c r="H2753" s="2">
        <v>44791</v>
      </c>
      <c r="I2753" s="2">
        <v>1</v>
      </c>
      <c r="J2753" s="2">
        <v>149534</v>
      </c>
      <c r="K2753" s="2">
        <v>126686</v>
      </c>
      <c r="L2753" s="2">
        <v>8</v>
      </c>
      <c r="M2753" t="str">
        <f>IF(Revv_bike_sales_data[[#This Row],[delivery_days]]&lt;=7, "Yes", "No")</f>
        <v>No</v>
      </c>
      <c r="N2753" t="s">
        <v>16</v>
      </c>
      <c r="O2753" s="2">
        <v>22848</v>
      </c>
    </row>
    <row r="2754" spans="1:15" x14ac:dyDescent="0.3">
      <c r="A2754" s="2">
        <v>2744</v>
      </c>
      <c r="B2754" s="1">
        <v>45041.291666666664</v>
      </c>
      <c r="C2754" s="1" t="str">
        <f t="shared" si="84"/>
        <v>04-2023</v>
      </c>
      <c r="D2754" s="2">
        <f t="shared" si="85"/>
        <v>17</v>
      </c>
      <c r="E2754" t="s">
        <v>18</v>
      </c>
      <c r="F2754" t="s">
        <v>14</v>
      </c>
      <c r="G2754" t="s">
        <v>21</v>
      </c>
      <c r="H2754" s="2">
        <v>63850</v>
      </c>
      <c r="I2754" s="2">
        <v>0</v>
      </c>
      <c r="J2754" s="2">
        <v>161902</v>
      </c>
      <c r="K2754" s="2">
        <v>91377</v>
      </c>
      <c r="L2754" s="2">
        <v>11</v>
      </c>
      <c r="M2754" t="str">
        <f>IF(Revv_bike_sales_data[[#This Row],[delivery_days]]&lt;=7, "Yes", "No")</f>
        <v>No</v>
      </c>
      <c r="N2754" t="s">
        <v>16</v>
      </c>
      <c r="O2754" s="2">
        <v>70525</v>
      </c>
    </row>
    <row r="2755" spans="1:15" x14ac:dyDescent="0.3">
      <c r="A2755" s="2">
        <v>2745</v>
      </c>
      <c r="B2755" s="1">
        <v>45041.333333333336</v>
      </c>
      <c r="C2755" s="1" t="str">
        <f t="shared" si="84"/>
        <v>04-2023</v>
      </c>
      <c r="D2755" s="2">
        <f t="shared" si="85"/>
        <v>17</v>
      </c>
      <c r="E2755" t="s">
        <v>13</v>
      </c>
      <c r="F2755" t="s">
        <v>14</v>
      </c>
      <c r="G2755" t="s">
        <v>19</v>
      </c>
      <c r="H2755" s="2">
        <v>82520</v>
      </c>
      <c r="I2755" s="2">
        <v>4</v>
      </c>
      <c r="J2755" s="2">
        <v>127865</v>
      </c>
      <c r="K2755" s="2">
        <v>106671</v>
      </c>
      <c r="L2755" s="2">
        <v>10</v>
      </c>
      <c r="M2755" t="str">
        <f>IF(Revv_bike_sales_data[[#This Row],[delivery_days]]&lt;=7, "Yes", "No")</f>
        <v>No</v>
      </c>
      <c r="N2755" t="s">
        <v>16</v>
      </c>
      <c r="O2755" s="2">
        <v>21194</v>
      </c>
    </row>
    <row r="2756" spans="1:15" x14ac:dyDescent="0.3">
      <c r="A2756" s="2">
        <v>2746</v>
      </c>
      <c r="B2756" s="1">
        <v>45041.375</v>
      </c>
      <c r="C2756" s="1" t="str">
        <f t="shared" si="84"/>
        <v>04-2023</v>
      </c>
      <c r="D2756" s="2">
        <f t="shared" si="85"/>
        <v>17</v>
      </c>
      <c r="E2756" t="s">
        <v>25</v>
      </c>
      <c r="F2756" t="s">
        <v>14</v>
      </c>
      <c r="G2756" t="s">
        <v>19</v>
      </c>
      <c r="H2756" s="2">
        <v>5146</v>
      </c>
      <c r="I2756" s="2">
        <v>1</v>
      </c>
      <c r="J2756" s="2">
        <v>149678</v>
      </c>
      <c r="K2756" s="2">
        <v>27427</v>
      </c>
      <c r="L2756" s="2">
        <v>3</v>
      </c>
      <c r="M2756" t="str">
        <f>IF(Revv_bike_sales_data[[#This Row],[delivery_days]]&lt;=7, "Yes", "No")</f>
        <v>Yes</v>
      </c>
      <c r="N2756" t="s">
        <v>16</v>
      </c>
      <c r="O2756" s="2">
        <v>122251</v>
      </c>
    </row>
    <row r="2757" spans="1:15" x14ac:dyDescent="0.3">
      <c r="A2757" s="2">
        <v>2747</v>
      </c>
      <c r="B2757" s="1">
        <v>45041.416666666664</v>
      </c>
      <c r="C2757" s="1" t="str">
        <f t="shared" si="84"/>
        <v>04-2023</v>
      </c>
      <c r="D2757" s="2">
        <f t="shared" si="85"/>
        <v>17</v>
      </c>
      <c r="E2757" t="s">
        <v>13</v>
      </c>
      <c r="F2757" t="s">
        <v>14</v>
      </c>
      <c r="G2757" t="s">
        <v>15</v>
      </c>
      <c r="H2757" s="2">
        <v>40213</v>
      </c>
      <c r="I2757" s="2">
        <v>9</v>
      </c>
      <c r="J2757" s="2">
        <v>72287</v>
      </c>
      <c r="K2757" s="2">
        <v>55251</v>
      </c>
      <c r="L2757" s="2">
        <v>11</v>
      </c>
      <c r="M2757" t="str">
        <f>IF(Revv_bike_sales_data[[#This Row],[delivery_days]]&lt;=7, "Yes", "No")</f>
        <v>No</v>
      </c>
      <c r="N2757" t="s">
        <v>16</v>
      </c>
      <c r="O2757" s="2">
        <v>17036</v>
      </c>
    </row>
    <row r="2758" spans="1:15" x14ac:dyDescent="0.3">
      <c r="A2758" s="2">
        <v>2748</v>
      </c>
      <c r="B2758" s="1">
        <v>45041.458333333336</v>
      </c>
      <c r="C2758" s="1" t="str">
        <f t="shared" si="84"/>
        <v>04-2023</v>
      </c>
      <c r="D2758" s="2">
        <f t="shared" si="85"/>
        <v>17</v>
      </c>
      <c r="E2758" t="s">
        <v>13</v>
      </c>
      <c r="F2758" t="s">
        <v>23</v>
      </c>
      <c r="G2758" t="s">
        <v>20</v>
      </c>
      <c r="H2758" s="2">
        <v>68436</v>
      </c>
      <c r="I2758" s="2">
        <v>9</v>
      </c>
      <c r="J2758" s="2">
        <v>58427</v>
      </c>
      <c r="K2758" s="2">
        <v>114667</v>
      </c>
      <c r="L2758" s="2">
        <v>4</v>
      </c>
      <c r="M2758" t="str">
        <f>IF(Revv_bike_sales_data[[#This Row],[delivery_days]]&lt;=7, "Yes", "No")</f>
        <v>Yes</v>
      </c>
      <c r="N2758" t="s">
        <v>16</v>
      </c>
      <c r="O2758" s="2">
        <v>-56240</v>
      </c>
    </row>
    <row r="2759" spans="1:15" x14ac:dyDescent="0.3">
      <c r="A2759" s="2">
        <v>2749</v>
      </c>
      <c r="B2759" s="1">
        <v>45041.5</v>
      </c>
      <c r="C2759" s="1" t="str">
        <f t="shared" si="84"/>
        <v>04-2023</v>
      </c>
      <c r="D2759" s="2">
        <f t="shared" si="85"/>
        <v>17</v>
      </c>
      <c r="E2759" t="s">
        <v>25</v>
      </c>
      <c r="F2759" t="s">
        <v>14</v>
      </c>
      <c r="G2759" t="s">
        <v>20</v>
      </c>
      <c r="H2759" s="2">
        <v>44831</v>
      </c>
      <c r="I2759" s="2">
        <v>3</v>
      </c>
      <c r="J2759" s="2">
        <v>154849</v>
      </c>
      <c r="K2759" s="2">
        <v>117263</v>
      </c>
      <c r="L2759" s="2">
        <v>8</v>
      </c>
      <c r="M2759" t="str">
        <f>IF(Revv_bike_sales_data[[#This Row],[delivery_days]]&lt;=7, "Yes", "No")</f>
        <v>No</v>
      </c>
      <c r="N2759" t="s">
        <v>16</v>
      </c>
      <c r="O2759" s="2">
        <v>37586</v>
      </c>
    </row>
    <row r="2760" spans="1:15" x14ac:dyDescent="0.3">
      <c r="A2760" s="2">
        <v>2750</v>
      </c>
      <c r="B2760" s="1">
        <v>45041.541666666664</v>
      </c>
      <c r="C2760" s="1" t="str">
        <f t="shared" si="84"/>
        <v>04-2023</v>
      </c>
      <c r="D2760" s="2">
        <f t="shared" si="85"/>
        <v>17</v>
      </c>
      <c r="E2760" t="s">
        <v>18</v>
      </c>
      <c r="F2760" t="s">
        <v>14</v>
      </c>
      <c r="G2760" t="s">
        <v>20</v>
      </c>
      <c r="H2760" s="2">
        <v>22685</v>
      </c>
      <c r="I2760" s="2">
        <v>0</v>
      </c>
      <c r="J2760" s="2">
        <v>134839</v>
      </c>
      <c r="K2760" s="2">
        <v>40165</v>
      </c>
      <c r="L2760" s="2">
        <v>3</v>
      </c>
      <c r="M2760" t="str">
        <f>IF(Revv_bike_sales_data[[#This Row],[delivery_days]]&lt;=7, "Yes", "No")</f>
        <v>Yes</v>
      </c>
      <c r="N2760" t="s">
        <v>16</v>
      </c>
      <c r="O2760" s="2">
        <v>94674</v>
      </c>
    </row>
    <row r="2761" spans="1:15" x14ac:dyDescent="0.3">
      <c r="A2761" s="2">
        <v>2751</v>
      </c>
      <c r="B2761" s="1">
        <v>45041.583333333336</v>
      </c>
      <c r="C2761" s="1" t="str">
        <f t="shared" si="84"/>
        <v>04-2023</v>
      </c>
      <c r="D2761" s="2">
        <f t="shared" si="85"/>
        <v>17</v>
      </c>
      <c r="E2761" t="s">
        <v>13</v>
      </c>
      <c r="F2761" t="s">
        <v>23</v>
      </c>
      <c r="G2761" t="s">
        <v>19</v>
      </c>
      <c r="H2761" s="2">
        <v>84763</v>
      </c>
      <c r="I2761" s="2">
        <v>6</v>
      </c>
      <c r="J2761" s="2">
        <v>117662</v>
      </c>
      <c r="K2761" s="2">
        <v>82285</v>
      </c>
      <c r="L2761" s="2">
        <v>6</v>
      </c>
      <c r="M2761" t="str">
        <f>IF(Revv_bike_sales_data[[#This Row],[delivery_days]]&lt;=7, "Yes", "No")</f>
        <v>Yes</v>
      </c>
      <c r="N2761" t="s">
        <v>16</v>
      </c>
      <c r="O2761" s="2">
        <v>35377</v>
      </c>
    </row>
    <row r="2762" spans="1:15" x14ac:dyDescent="0.3">
      <c r="A2762" s="2">
        <v>2752</v>
      </c>
      <c r="B2762" s="1">
        <v>45041.625</v>
      </c>
      <c r="C2762" s="1" t="str">
        <f t="shared" si="84"/>
        <v>04-2023</v>
      </c>
      <c r="D2762" s="2">
        <f t="shared" si="85"/>
        <v>17</v>
      </c>
      <c r="E2762" t="s">
        <v>22</v>
      </c>
      <c r="F2762" t="s">
        <v>14</v>
      </c>
      <c r="G2762" t="s">
        <v>19</v>
      </c>
      <c r="H2762" s="2">
        <v>99156</v>
      </c>
      <c r="I2762" s="2">
        <v>7</v>
      </c>
      <c r="J2762" s="2">
        <v>42970</v>
      </c>
      <c r="K2762" s="2">
        <v>136359</v>
      </c>
      <c r="L2762" s="2">
        <v>2</v>
      </c>
      <c r="M2762" t="str">
        <f>IF(Revv_bike_sales_data[[#This Row],[delivery_days]]&lt;=7, "Yes", "No")</f>
        <v>Yes</v>
      </c>
      <c r="N2762" t="s">
        <v>16</v>
      </c>
      <c r="O2762" s="2">
        <v>-93389</v>
      </c>
    </row>
    <row r="2763" spans="1:15" x14ac:dyDescent="0.3">
      <c r="A2763" s="2">
        <v>2753</v>
      </c>
      <c r="B2763" s="1">
        <v>45041.666666666664</v>
      </c>
      <c r="C2763" s="1" t="str">
        <f t="shared" ref="C2763:C2826" si="86">TEXT(B2763,"mm-yyyy")</f>
        <v>04-2023</v>
      </c>
      <c r="D2763" s="2">
        <f t="shared" ref="D2763:D2826" si="87">WEEKNUM(B2763)</f>
        <v>17</v>
      </c>
      <c r="E2763" t="s">
        <v>25</v>
      </c>
      <c r="F2763" t="s">
        <v>14</v>
      </c>
      <c r="G2763" t="s">
        <v>19</v>
      </c>
      <c r="H2763" s="2">
        <v>52607</v>
      </c>
      <c r="I2763" s="2">
        <v>4</v>
      </c>
      <c r="J2763" s="2">
        <v>95218</v>
      </c>
      <c r="K2763" s="2">
        <v>113844</v>
      </c>
      <c r="L2763" s="2">
        <v>3</v>
      </c>
      <c r="M2763" t="str">
        <f>IF(Revv_bike_sales_data[[#This Row],[delivery_days]]&lt;=7, "Yes", "No")</f>
        <v>Yes</v>
      </c>
      <c r="N2763" t="s">
        <v>16</v>
      </c>
      <c r="O2763" s="2">
        <v>-18626</v>
      </c>
    </row>
    <row r="2764" spans="1:15" x14ac:dyDescent="0.3">
      <c r="A2764" s="2">
        <v>2754</v>
      </c>
      <c r="B2764" s="1">
        <v>45041.708333333336</v>
      </c>
      <c r="C2764" s="1" t="str">
        <f t="shared" si="86"/>
        <v>04-2023</v>
      </c>
      <c r="D2764" s="2">
        <f t="shared" si="87"/>
        <v>17</v>
      </c>
      <c r="E2764" t="s">
        <v>17</v>
      </c>
      <c r="F2764" t="s">
        <v>14</v>
      </c>
      <c r="G2764" t="s">
        <v>21</v>
      </c>
      <c r="H2764" s="2">
        <v>67054</v>
      </c>
      <c r="I2764" s="2">
        <v>1</v>
      </c>
      <c r="J2764" s="2">
        <v>99362</v>
      </c>
      <c r="K2764" s="2">
        <v>79927</v>
      </c>
      <c r="L2764" s="2">
        <v>1</v>
      </c>
      <c r="M2764" t="str">
        <f>IF(Revv_bike_sales_data[[#This Row],[delivery_days]]&lt;=7, "Yes", "No")</f>
        <v>Yes</v>
      </c>
      <c r="N2764" t="s">
        <v>24</v>
      </c>
      <c r="O2764" s="2">
        <v>19435</v>
      </c>
    </row>
    <row r="2765" spans="1:15" x14ac:dyDescent="0.3">
      <c r="A2765" s="2">
        <v>2755</v>
      </c>
      <c r="B2765" s="1">
        <v>45041.75</v>
      </c>
      <c r="C2765" s="1" t="str">
        <f t="shared" si="86"/>
        <v>04-2023</v>
      </c>
      <c r="D2765" s="2">
        <f t="shared" si="87"/>
        <v>17</v>
      </c>
      <c r="E2765" t="s">
        <v>18</v>
      </c>
      <c r="F2765" t="s">
        <v>14</v>
      </c>
      <c r="G2765" t="s">
        <v>21</v>
      </c>
      <c r="H2765" s="2">
        <v>18063</v>
      </c>
      <c r="I2765" s="2">
        <v>7</v>
      </c>
      <c r="J2765" s="2">
        <v>179443</v>
      </c>
      <c r="K2765" s="2">
        <v>88170</v>
      </c>
      <c r="L2765" s="2">
        <v>9</v>
      </c>
      <c r="M2765" t="str">
        <f>IF(Revv_bike_sales_data[[#This Row],[delivery_days]]&lt;=7, "Yes", "No")</f>
        <v>No</v>
      </c>
      <c r="N2765" t="s">
        <v>16</v>
      </c>
      <c r="O2765" s="2">
        <v>91273</v>
      </c>
    </row>
    <row r="2766" spans="1:15" x14ac:dyDescent="0.3">
      <c r="A2766" s="2">
        <v>2756</v>
      </c>
      <c r="B2766" s="1">
        <v>45041.791666666664</v>
      </c>
      <c r="C2766" s="1" t="str">
        <f t="shared" si="86"/>
        <v>04-2023</v>
      </c>
      <c r="D2766" s="2">
        <f t="shared" si="87"/>
        <v>17</v>
      </c>
      <c r="E2766" t="s">
        <v>25</v>
      </c>
      <c r="F2766" t="s">
        <v>23</v>
      </c>
      <c r="G2766" t="s">
        <v>15</v>
      </c>
      <c r="H2766" s="2">
        <v>71229</v>
      </c>
      <c r="I2766" s="2">
        <v>0</v>
      </c>
      <c r="J2766" s="2">
        <v>175338</v>
      </c>
      <c r="K2766" s="2">
        <v>91150</v>
      </c>
      <c r="L2766" s="2">
        <v>4</v>
      </c>
      <c r="M2766" t="str">
        <f>IF(Revv_bike_sales_data[[#This Row],[delivery_days]]&lt;=7, "Yes", "No")</f>
        <v>Yes</v>
      </c>
      <c r="N2766" t="s">
        <v>16</v>
      </c>
      <c r="O2766" s="2">
        <v>84188</v>
      </c>
    </row>
    <row r="2767" spans="1:15" x14ac:dyDescent="0.3">
      <c r="A2767" s="2">
        <v>2757</v>
      </c>
      <c r="B2767" s="1">
        <v>45041.833333333336</v>
      </c>
      <c r="C2767" s="1" t="str">
        <f t="shared" si="86"/>
        <v>04-2023</v>
      </c>
      <c r="D2767" s="2">
        <f t="shared" si="87"/>
        <v>17</v>
      </c>
      <c r="E2767" t="s">
        <v>17</v>
      </c>
      <c r="F2767" t="s">
        <v>14</v>
      </c>
      <c r="G2767" t="s">
        <v>19</v>
      </c>
      <c r="H2767" s="2">
        <v>16201</v>
      </c>
      <c r="I2767" s="2">
        <v>6</v>
      </c>
      <c r="J2767" s="2">
        <v>175267</v>
      </c>
      <c r="K2767" s="2">
        <v>39866</v>
      </c>
      <c r="L2767" s="2">
        <v>6</v>
      </c>
      <c r="M2767" t="str">
        <f>IF(Revv_bike_sales_data[[#This Row],[delivery_days]]&lt;=7, "Yes", "No")</f>
        <v>Yes</v>
      </c>
      <c r="N2767" t="s">
        <v>16</v>
      </c>
      <c r="O2767" s="2">
        <v>135401</v>
      </c>
    </row>
    <row r="2768" spans="1:15" x14ac:dyDescent="0.3">
      <c r="A2768" s="2">
        <v>2758</v>
      </c>
      <c r="B2768" s="1">
        <v>45041.875</v>
      </c>
      <c r="C2768" s="1" t="str">
        <f t="shared" si="86"/>
        <v>04-2023</v>
      </c>
      <c r="D2768" s="2">
        <f t="shared" si="87"/>
        <v>17</v>
      </c>
      <c r="E2768" t="s">
        <v>17</v>
      </c>
      <c r="F2768" t="s">
        <v>14</v>
      </c>
      <c r="G2768" t="s">
        <v>20</v>
      </c>
      <c r="H2768" s="2">
        <v>69572</v>
      </c>
      <c r="I2768" s="2">
        <v>0</v>
      </c>
      <c r="J2768" s="2">
        <v>135949</v>
      </c>
      <c r="K2768" s="2">
        <v>25282</v>
      </c>
      <c r="L2768" s="2">
        <v>7</v>
      </c>
      <c r="M2768" t="str">
        <f>IF(Revv_bike_sales_data[[#This Row],[delivery_days]]&lt;=7, "Yes", "No")</f>
        <v>Yes</v>
      </c>
      <c r="N2768" t="s">
        <v>16</v>
      </c>
      <c r="O2768" s="2">
        <v>110667</v>
      </c>
    </row>
    <row r="2769" spans="1:15" x14ac:dyDescent="0.3">
      <c r="A2769" s="2">
        <v>2759</v>
      </c>
      <c r="B2769" s="1">
        <v>45041.916666666664</v>
      </c>
      <c r="C2769" s="1" t="str">
        <f t="shared" si="86"/>
        <v>04-2023</v>
      </c>
      <c r="D2769" s="2">
        <f t="shared" si="87"/>
        <v>17</v>
      </c>
      <c r="E2769" t="s">
        <v>13</v>
      </c>
      <c r="F2769" t="s">
        <v>14</v>
      </c>
      <c r="G2769" t="s">
        <v>20</v>
      </c>
      <c r="H2769" s="2">
        <v>48717</v>
      </c>
      <c r="I2769" s="2">
        <v>5</v>
      </c>
      <c r="J2769" s="2">
        <v>151895</v>
      </c>
      <c r="K2769" s="2">
        <v>35319</v>
      </c>
      <c r="L2769" s="2">
        <v>2</v>
      </c>
      <c r="M2769" t="str">
        <f>IF(Revv_bike_sales_data[[#This Row],[delivery_days]]&lt;=7, "Yes", "No")</f>
        <v>Yes</v>
      </c>
      <c r="N2769" t="s">
        <v>16</v>
      </c>
      <c r="O2769" s="2">
        <v>116576</v>
      </c>
    </row>
    <row r="2770" spans="1:15" x14ac:dyDescent="0.3">
      <c r="A2770" s="2">
        <v>2760</v>
      </c>
      <c r="B2770" s="1">
        <v>45041.958333333336</v>
      </c>
      <c r="C2770" s="1" t="str">
        <f t="shared" si="86"/>
        <v>04-2023</v>
      </c>
      <c r="D2770" s="2">
        <f t="shared" si="87"/>
        <v>17</v>
      </c>
      <c r="E2770" t="s">
        <v>13</v>
      </c>
      <c r="F2770" t="s">
        <v>14</v>
      </c>
      <c r="G2770" t="s">
        <v>15</v>
      </c>
      <c r="H2770" s="2">
        <v>45110</v>
      </c>
      <c r="I2770" s="2">
        <v>5</v>
      </c>
      <c r="J2770" s="2">
        <v>52315</v>
      </c>
      <c r="K2770" s="2">
        <v>51726</v>
      </c>
      <c r="L2770" s="2">
        <v>8</v>
      </c>
      <c r="M2770" t="str">
        <f>IF(Revv_bike_sales_data[[#This Row],[delivery_days]]&lt;=7, "Yes", "No")</f>
        <v>No</v>
      </c>
      <c r="N2770" t="s">
        <v>16</v>
      </c>
      <c r="O2770" s="2">
        <v>589</v>
      </c>
    </row>
    <row r="2771" spans="1:15" x14ac:dyDescent="0.3">
      <c r="A2771" s="2">
        <v>2761</v>
      </c>
      <c r="B2771" s="1">
        <v>45042</v>
      </c>
      <c r="C2771" s="1" t="str">
        <f t="shared" si="86"/>
        <v>04-2023</v>
      </c>
      <c r="D2771" s="2">
        <f t="shared" si="87"/>
        <v>17</v>
      </c>
      <c r="E2771" t="s">
        <v>13</v>
      </c>
      <c r="F2771" t="s">
        <v>23</v>
      </c>
      <c r="G2771" t="s">
        <v>20</v>
      </c>
      <c r="H2771" s="2">
        <v>84922</v>
      </c>
      <c r="I2771" s="2">
        <v>4</v>
      </c>
      <c r="J2771" s="2">
        <v>108804</v>
      </c>
      <c r="K2771" s="2">
        <v>30412</v>
      </c>
      <c r="L2771" s="2">
        <v>12</v>
      </c>
      <c r="M2771" t="str">
        <f>IF(Revv_bike_sales_data[[#This Row],[delivery_days]]&lt;=7, "Yes", "No")</f>
        <v>No</v>
      </c>
      <c r="N2771" t="s">
        <v>24</v>
      </c>
      <c r="O2771" s="2">
        <v>78392</v>
      </c>
    </row>
    <row r="2772" spans="1:15" x14ac:dyDescent="0.3">
      <c r="A2772" s="2">
        <v>2762</v>
      </c>
      <c r="B2772" s="1">
        <v>45042.041666666664</v>
      </c>
      <c r="C2772" s="1" t="str">
        <f t="shared" si="86"/>
        <v>04-2023</v>
      </c>
      <c r="D2772" s="2">
        <f t="shared" si="87"/>
        <v>17</v>
      </c>
      <c r="E2772" t="s">
        <v>25</v>
      </c>
      <c r="F2772" t="s">
        <v>14</v>
      </c>
      <c r="G2772" t="s">
        <v>15</v>
      </c>
      <c r="H2772" s="2">
        <v>50631</v>
      </c>
      <c r="I2772" s="2">
        <v>1</v>
      </c>
      <c r="J2772" s="2">
        <v>66581</v>
      </c>
      <c r="K2772" s="2">
        <v>117163</v>
      </c>
      <c r="L2772" s="2">
        <v>9</v>
      </c>
      <c r="M2772" t="str">
        <f>IF(Revv_bike_sales_data[[#This Row],[delivery_days]]&lt;=7, "Yes", "No")</f>
        <v>No</v>
      </c>
      <c r="N2772" t="s">
        <v>16</v>
      </c>
      <c r="O2772" s="2">
        <v>-50582</v>
      </c>
    </row>
    <row r="2773" spans="1:15" x14ac:dyDescent="0.3">
      <c r="A2773" s="2">
        <v>2763</v>
      </c>
      <c r="B2773" s="1">
        <v>45042.083333333336</v>
      </c>
      <c r="C2773" s="1" t="str">
        <f t="shared" si="86"/>
        <v>04-2023</v>
      </c>
      <c r="D2773" s="2">
        <f t="shared" si="87"/>
        <v>17</v>
      </c>
      <c r="E2773" t="s">
        <v>25</v>
      </c>
      <c r="F2773" t="s">
        <v>14</v>
      </c>
      <c r="G2773" t="s">
        <v>19</v>
      </c>
      <c r="H2773" s="2">
        <v>29910</v>
      </c>
      <c r="I2773" s="2">
        <v>1</v>
      </c>
      <c r="J2773" s="2">
        <v>122357</v>
      </c>
      <c r="K2773" s="2">
        <v>88586</v>
      </c>
      <c r="L2773" s="2">
        <v>14</v>
      </c>
      <c r="M2773" t="str">
        <f>IF(Revv_bike_sales_data[[#This Row],[delivery_days]]&lt;=7, "Yes", "No")</f>
        <v>No</v>
      </c>
      <c r="N2773" t="s">
        <v>16</v>
      </c>
      <c r="O2773" s="2">
        <v>33771</v>
      </c>
    </row>
    <row r="2774" spans="1:15" x14ac:dyDescent="0.3">
      <c r="A2774" s="2">
        <v>2764</v>
      </c>
      <c r="B2774" s="1">
        <v>45042.125</v>
      </c>
      <c r="C2774" s="1" t="str">
        <f t="shared" si="86"/>
        <v>04-2023</v>
      </c>
      <c r="D2774" s="2">
        <f t="shared" si="87"/>
        <v>17</v>
      </c>
      <c r="E2774" t="s">
        <v>18</v>
      </c>
      <c r="F2774" t="s">
        <v>14</v>
      </c>
      <c r="G2774" t="s">
        <v>20</v>
      </c>
      <c r="H2774" s="2">
        <v>99780</v>
      </c>
      <c r="I2774" s="2">
        <v>8</v>
      </c>
      <c r="J2774" s="2">
        <v>144761</v>
      </c>
      <c r="K2774" s="2">
        <v>139135</v>
      </c>
      <c r="L2774" s="2">
        <v>10</v>
      </c>
      <c r="M2774" t="str">
        <f>IF(Revv_bike_sales_data[[#This Row],[delivery_days]]&lt;=7, "Yes", "No")</f>
        <v>No</v>
      </c>
      <c r="N2774" t="s">
        <v>16</v>
      </c>
      <c r="O2774" s="2">
        <v>5626</v>
      </c>
    </row>
    <row r="2775" spans="1:15" x14ac:dyDescent="0.3">
      <c r="A2775" s="2">
        <v>2765</v>
      </c>
      <c r="B2775" s="1">
        <v>45042.166666666664</v>
      </c>
      <c r="C2775" s="1" t="str">
        <f t="shared" si="86"/>
        <v>04-2023</v>
      </c>
      <c r="D2775" s="2">
        <f t="shared" si="87"/>
        <v>17</v>
      </c>
      <c r="E2775" t="s">
        <v>13</v>
      </c>
      <c r="F2775" t="s">
        <v>14</v>
      </c>
      <c r="G2775" t="s">
        <v>19</v>
      </c>
      <c r="H2775" s="2">
        <v>59215</v>
      </c>
      <c r="I2775" s="2">
        <v>4</v>
      </c>
      <c r="J2775" s="2">
        <v>138984</v>
      </c>
      <c r="K2775" s="2">
        <v>135019</v>
      </c>
      <c r="L2775" s="2">
        <v>11</v>
      </c>
      <c r="M2775" t="str">
        <f>IF(Revv_bike_sales_data[[#This Row],[delivery_days]]&lt;=7, "Yes", "No")</f>
        <v>No</v>
      </c>
      <c r="N2775" t="s">
        <v>16</v>
      </c>
      <c r="O2775" s="2">
        <v>3965</v>
      </c>
    </row>
    <row r="2776" spans="1:15" x14ac:dyDescent="0.3">
      <c r="A2776" s="2">
        <v>2766</v>
      </c>
      <c r="B2776" s="1">
        <v>45042.208333333336</v>
      </c>
      <c r="C2776" s="1" t="str">
        <f t="shared" si="86"/>
        <v>04-2023</v>
      </c>
      <c r="D2776" s="2">
        <f t="shared" si="87"/>
        <v>17</v>
      </c>
      <c r="E2776" t="s">
        <v>17</v>
      </c>
      <c r="F2776" t="s">
        <v>23</v>
      </c>
      <c r="G2776" t="s">
        <v>21</v>
      </c>
      <c r="H2776" s="2">
        <v>39165</v>
      </c>
      <c r="I2776" s="2">
        <v>4</v>
      </c>
      <c r="J2776" s="2">
        <v>117449</v>
      </c>
      <c r="K2776" s="2">
        <v>39583</v>
      </c>
      <c r="L2776" s="2">
        <v>2</v>
      </c>
      <c r="M2776" t="str">
        <f>IF(Revv_bike_sales_data[[#This Row],[delivery_days]]&lt;=7, "Yes", "No")</f>
        <v>Yes</v>
      </c>
      <c r="N2776" t="s">
        <v>16</v>
      </c>
      <c r="O2776" s="2">
        <v>77866</v>
      </c>
    </row>
    <row r="2777" spans="1:15" x14ac:dyDescent="0.3">
      <c r="A2777" s="2">
        <v>2767</v>
      </c>
      <c r="B2777" s="1">
        <v>45042.25</v>
      </c>
      <c r="C2777" s="1" t="str">
        <f t="shared" si="86"/>
        <v>04-2023</v>
      </c>
      <c r="D2777" s="2">
        <f t="shared" si="87"/>
        <v>17</v>
      </c>
      <c r="E2777" t="s">
        <v>22</v>
      </c>
      <c r="F2777" t="s">
        <v>14</v>
      </c>
      <c r="G2777" t="s">
        <v>20</v>
      </c>
      <c r="H2777" s="2">
        <v>16457</v>
      </c>
      <c r="I2777" s="2">
        <v>6</v>
      </c>
      <c r="J2777" s="2">
        <v>178256</v>
      </c>
      <c r="K2777" s="2">
        <v>98577</v>
      </c>
      <c r="L2777" s="2">
        <v>5</v>
      </c>
      <c r="M2777" t="str">
        <f>IF(Revv_bike_sales_data[[#This Row],[delivery_days]]&lt;=7, "Yes", "No")</f>
        <v>Yes</v>
      </c>
      <c r="N2777" t="s">
        <v>16</v>
      </c>
      <c r="O2777" s="2">
        <v>79679</v>
      </c>
    </row>
    <row r="2778" spans="1:15" x14ac:dyDescent="0.3">
      <c r="A2778" s="2">
        <v>2768</v>
      </c>
      <c r="B2778" s="1">
        <v>45042.291666666664</v>
      </c>
      <c r="C2778" s="1" t="str">
        <f t="shared" si="86"/>
        <v>04-2023</v>
      </c>
      <c r="D2778" s="2">
        <f t="shared" si="87"/>
        <v>17</v>
      </c>
      <c r="E2778" t="s">
        <v>18</v>
      </c>
      <c r="F2778" t="s">
        <v>14</v>
      </c>
      <c r="G2778" t="s">
        <v>21</v>
      </c>
      <c r="H2778" s="2">
        <v>48627</v>
      </c>
      <c r="I2778" s="2">
        <v>5</v>
      </c>
      <c r="J2778" s="2">
        <v>179351</v>
      </c>
      <c r="K2778" s="2">
        <v>76922</v>
      </c>
      <c r="L2778" s="2">
        <v>2</v>
      </c>
      <c r="M2778" t="str">
        <f>IF(Revv_bike_sales_data[[#This Row],[delivery_days]]&lt;=7, "Yes", "No")</f>
        <v>Yes</v>
      </c>
      <c r="N2778" t="s">
        <v>16</v>
      </c>
      <c r="O2778" s="2">
        <v>102429</v>
      </c>
    </row>
    <row r="2779" spans="1:15" x14ac:dyDescent="0.3">
      <c r="A2779" s="2">
        <v>2769</v>
      </c>
      <c r="B2779" s="1">
        <v>45042.333333333336</v>
      </c>
      <c r="C2779" s="1" t="str">
        <f t="shared" si="86"/>
        <v>04-2023</v>
      </c>
      <c r="D2779" s="2">
        <f t="shared" si="87"/>
        <v>17</v>
      </c>
      <c r="E2779" t="s">
        <v>25</v>
      </c>
      <c r="F2779" t="s">
        <v>14</v>
      </c>
      <c r="G2779" t="s">
        <v>20</v>
      </c>
      <c r="H2779" s="2">
        <v>64089</v>
      </c>
      <c r="I2779" s="2">
        <v>1</v>
      </c>
      <c r="J2779" s="2">
        <v>155522</v>
      </c>
      <c r="K2779" s="2">
        <v>21185</v>
      </c>
      <c r="L2779" s="2">
        <v>11</v>
      </c>
      <c r="M2779" t="str">
        <f>IF(Revv_bike_sales_data[[#This Row],[delivery_days]]&lt;=7, "Yes", "No")</f>
        <v>No</v>
      </c>
      <c r="N2779" t="s">
        <v>16</v>
      </c>
      <c r="O2779" s="2">
        <v>134337</v>
      </c>
    </row>
    <row r="2780" spans="1:15" x14ac:dyDescent="0.3">
      <c r="A2780" s="2">
        <v>2770</v>
      </c>
      <c r="B2780" s="1">
        <v>45042.375</v>
      </c>
      <c r="C2780" s="1" t="str">
        <f t="shared" si="86"/>
        <v>04-2023</v>
      </c>
      <c r="D2780" s="2">
        <f t="shared" si="87"/>
        <v>17</v>
      </c>
      <c r="E2780" t="s">
        <v>18</v>
      </c>
      <c r="F2780" t="s">
        <v>14</v>
      </c>
      <c r="G2780" t="s">
        <v>19</v>
      </c>
      <c r="H2780" s="2">
        <v>46508</v>
      </c>
      <c r="I2780" s="2">
        <v>0</v>
      </c>
      <c r="J2780" s="2">
        <v>68030</v>
      </c>
      <c r="K2780" s="2">
        <v>101348</v>
      </c>
      <c r="L2780" s="2">
        <v>5</v>
      </c>
      <c r="M2780" t="str">
        <f>IF(Revv_bike_sales_data[[#This Row],[delivery_days]]&lt;=7, "Yes", "No")</f>
        <v>Yes</v>
      </c>
      <c r="N2780" t="s">
        <v>16</v>
      </c>
      <c r="O2780" s="2">
        <v>-33318</v>
      </c>
    </row>
    <row r="2781" spans="1:15" x14ac:dyDescent="0.3">
      <c r="A2781" s="2">
        <v>2771</v>
      </c>
      <c r="B2781" s="1">
        <v>45042.416666666664</v>
      </c>
      <c r="C2781" s="1" t="str">
        <f t="shared" si="86"/>
        <v>04-2023</v>
      </c>
      <c r="D2781" s="2">
        <f t="shared" si="87"/>
        <v>17</v>
      </c>
      <c r="E2781" t="s">
        <v>18</v>
      </c>
      <c r="F2781" t="s">
        <v>14</v>
      </c>
      <c r="G2781" t="s">
        <v>15</v>
      </c>
      <c r="H2781" s="2">
        <v>62420</v>
      </c>
      <c r="I2781" s="2">
        <v>4</v>
      </c>
      <c r="J2781" s="2">
        <v>87245</v>
      </c>
      <c r="K2781" s="2">
        <v>106368</v>
      </c>
      <c r="L2781" s="2">
        <v>7</v>
      </c>
      <c r="M2781" t="str">
        <f>IF(Revv_bike_sales_data[[#This Row],[delivery_days]]&lt;=7, "Yes", "No")</f>
        <v>Yes</v>
      </c>
      <c r="N2781" t="s">
        <v>16</v>
      </c>
      <c r="O2781" s="2">
        <v>-19123</v>
      </c>
    </row>
    <row r="2782" spans="1:15" x14ac:dyDescent="0.3">
      <c r="A2782" s="2">
        <v>2772</v>
      </c>
      <c r="B2782" s="1">
        <v>45042.458333333336</v>
      </c>
      <c r="C2782" s="1" t="str">
        <f t="shared" si="86"/>
        <v>04-2023</v>
      </c>
      <c r="D2782" s="2">
        <f t="shared" si="87"/>
        <v>17</v>
      </c>
      <c r="E2782" t="s">
        <v>18</v>
      </c>
      <c r="F2782" t="s">
        <v>23</v>
      </c>
      <c r="G2782" t="s">
        <v>19</v>
      </c>
      <c r="H2782" s="2">
        <v>33375</v>
      </c>
      <c r="I2782" s="2">
        <v>3</v>
      </c>
      <c r="J2782" s="2">
        <v>60133</v>
      </c>
      <c r="K2782" s="2">
        <v>71389</v>
      </c>
      <c r="L2782" s="2">
        <v>6</v>
      </c>
      <c r="M2782" t="str">
        <f>IF(Revv_bike_sales_data[[#This Row],[delivery_days]]&lt;=7, "Yes", "No")</f>
        <v>Yes</v>
      </c>
      <c r="N2782" t="s">
        <v>16</v>
      </c>
      <c r="O2782" s="2">
        <v>-11256</v>
      </c>
    </row>
    <row r="2783" spans="1:15" x14ac:dyDescent="0.3">
      <c r="A2783" s="2">
        <v>2773</v>
      </c>
      <c r="B2783" s="1">
        <v>45042.5</v>
      </c>
      <c r="C2783" s="1" t="str">
        <f t="shared" si="86"/>
        <v>04-2023</v>
      </c>
      <c r="D2783" s="2">
        <f t="shared" si="87"/>
        <v>17</v>
      </c>
      <c r="E2783" t="s">
        <v>18</v>
      </c>
      <c r="F2783" t="s">
        <v>14</v>
      </c>
      <c r="G2783" t="s">
        <v>19</v>
      </c>
      <c r="H2783" s="2">
        <v>2126</v>
      </c>
      <c r="I2783" s="2">
        <v>2</v>
      </c>
      <c r="J2783" s="2">
        <v>68998</v>
      </c>
      <c r="K2783" s="2">
        <v>32423</v>
      </c>
      <c r="L2783" s="2">
        <v>4</v>
      </c>
      <c r="M2783" t="str">
        <f>IF(Revv_bike_sales_data[[#This Row],[delivery_days]]&lt;=7, "Yes", "No")</f>
        <v>Yes</v>
      </c>
      <c r="N2783" t="s">
        <v>16</v>
      </c>
      <c r="O2783" s="2">
        <v>36575</v>
      </c>
    </row>
    <row r="2784" spans="1:15" x14ac:dyDescent="0.3">
      <c r="A2784" s="2">
        <v>2774</v>
      </c>
      <c r="B2784" s="1">
        <v>45042.541666666664</v>
      </c>
      <c r="C2784" s="1" t="str">
        <f t="shared" si="86"/>
        <v>04-2023</v>
      </c>
      <c r="D2784" s="2">
        <f t="shared" si="87"/>
        <v>17</v>
      </c>
      <c r="E2784" t="s">
        <v>22</v>
      </c>
      <c r="F2784" t="s">
        <v>23</v>
      </c>
      <c r="G2784" t="s">
        <v>19</v>
      </c>
      <c r="H2784" s="2">
        <v>91315</v>
      </c>
      <c r="I2784" s="2">
        <v>1</v>
      </c>
      <c r="J2784" s="2">
        <v>173310</v>
      </c>
      <c r="K2784" s="2">
        <v>66268</v>
      </c>
      <c r="L2784" s="2">
        <v>14</v>
      </c>
      <c r="M2784" t="str">
        <f>IF(Revv_bike_sales_data[[#This Row],[delivery_days]]&lt;=7, "Yes", "No")</f>
        <v>No</v>
      </c>
      <c r="N2784" t="s">
        <v>16</v>
      </c>
      <c r="O2784" s="2">
        <v>107042</v>
      </c>
    </row>
    <row r="2785" spans="1:15" x14ac:dyDescent="0.3">
      <c r="A2785" s="2">
        <v>2775</v>
      </c>
      <c r="B2785" s="1">
        <v>45042.583333333336</v>
      </c>
      <c r="C2785" s="1" t="str">
        <f t="shared" si="86"/>
        <v>04-2023</v>
      </c>
      <c r="D2785" s="2">
        <f t="shared" si="87"/>
        <v>17</v>
      </c>
      <c r="E2785" t="s">
        <v>13</v>
      </c>
      <c r="F2785" t="s">
        <v>14</v>
      </c>
      <c r="G2785" t="s">
        <v>20</v>
      </c>
      <c r="H2785" s="2">
        <v>64322</v>
      </c>
      <c r="I2785" s="2">
        <v>9</v>
      </c>
      <c r="J2785" s="2">
        <v>140603</v>
      </c>
      <c r="K2785" s="2">
        <v>127692</v>
      </c>
      <c r="L2785" s="2">
        <v>2</v>
      </c>
      <c r="M2785" t="str">
        <f>IF(Revv_bike_sales_data[[#This Row],[delivery_days]]&lt;=7, "Yes", "No")</f>
        <v>Yes</v>
      </c>
      <c r="N2785" t="s">
        <v>24</v>
      </c>
      <c r="O2785" s="2">
        <v>12911</v>
      </c>
    </row>
    <row r="2786" spans="1:15" x14ac:dyDescent="0.3">
      <c r="A2786" s="2">
        <v>2776</v>
      </c>
      <c r="B2786" s="1">
        <v>45042.625</v>
      </c>
      <c r="C2786" s="1" t="str">
        <f t="shared" si="86"/>
        <v>04-2023</v>
      </c>
      <c r="D2786" s="2">
        <f t="shared" si="87"/>
        <v>17</v>
      </c>
      <c r="E2786" t="s">
        <v>17</v>
      </c>
      <c r="F2786" t="s">
        <v>14</v>
      </c>
      <c r="G2786" t="s">
        <v>15</v>
      </c>
      <c r="H2786" s="2">
        <v>72265</v>
      </c>
      <c r="I2786" s="2">
        <v>1</v>
      </c>
      <c r="J2786" s="2">
        <v>73245</v>
      </c>
      <c r="K2786" s="2">
        <v>56644</v>
      </c>
      <c r="L2786" s="2">
        <v>7</v>
      </c>
      <c r="M2786" t="str">
        <f>IF(Revv_bike_sales_data[[#This Row],[delivery_days]]&lt;=7, "Yes", "No")</f>
        <v>Yes</v>
      </c>
      <c r="N2786" t="s">
        <v>16</v>
      </c>
      <c r="O2786" s="2">
        <v>16601</v>
      </c>
    </row>
    <row r="2787" spans="1:15" x14ac:dyDescent="0.3">
      <c r="A2787" s="2">
        <v>2777</v>
      </c>
      <c r="B2787" s="1">
        <v>45042.666666666664</v>
      </c>
      <c r="C2787" s="1" t="str">
        <f t="shared" si="86"/>
        <v>04-2023</v>
      </c>
      <c r="D2787" s="2">
        <f t="shared" si="87"/>
        <v>17</v>
      </c>
      <c r="E2787" t="s">
        <v>18</v>
      </c>
      <c r="F2787" t="s">
        <v>14</v>
      </c>
      <c r="G2787" t="s">
        <v>21</v>
      </c>
      <c r="H2787" s="2">
        <v>72913</v>
      </c>
      <c r="I2787" s="2">
        <v>3</v>
      </c>
      <c r="J2787" s="2">
        <v>48557</v>
      </c>
      <c r="K2787" s="2">
        <v>51786</v>
      </c>
      <c r="L2787" s="2">
        <v>12</v>
      </c>
      <c r="M2787" t="str">
        <f>IF(Revv_bike_sales_data[[#This Row],[delivery_days]]&lt;=7, "Yes", "No")</f>
        <v>No</v>
      </c>
      <c r="N2787" t="s">
        <v>16</v>
      </c>
      <c r="O2787" s="2">
        <v>-3229</v>
      </c>
    </row>
    <row r="2788" spans="1:15" x14ac:dyDescent="0.3">
      <c r="A2788" s="2">
        <v>2778</v>
      </c>
      <c r="B2788" s="1">
        <v>45042.708333333336</v>
      </c>
      <c r="C2788" s="1" t="str">
        <f t="shared" si="86"/>
        <v>04-2023</v>
      </c>
      <c r="D2788" s="2">
        <f t="shared" si="87"/>
        <v>17</v>
      </c>
      <c r="E2788" t="s">
        <v>18</v>
      </c>
      <c r="F2788" t="s">
        <v>14</v>
      </c>
      <c r="G2788" t="s">
        <v>19</v>
      </c>
      <c r="H2788" s="2">
        <v>34142</v>
      </c>
      <c r="I2788" s="2">
        <v>1</v>
      </c>
      <c r="J2788" s="2">
        <v>95474</v>
      </c>
      <c r="K2788" s="2">
        <v>110201</v>
      </c>
      <c r="L2788" s="2">
        <v>10</v>
      </c>
      <c r="M2788" t="str">
        <f>IF(Revv_bike_sales_data[[#This Row],[delivery_days]]&lt;=7, "Yes", "No")</f>
        <v>No</v>
      </c>
      <c r="N2788" t="s">
        <v>16</v>
      </c>
      <c r="O2788" s="2">
        <v>-14727</v>
      </c>
    </row>
    <row r="2789" spans="1:15" x14ac:dyDescent="0.3">
      <c r="A2789" s="2">
        <v>2779</v>
      </c>
      <c r="B2789" s="1">
        <v>45042.75</v>
      </c>
      <c r="C2789" s="1" t="str">
        <f t="shared" si="86"/>
        <v>04-2023</v>
      </c>
      <c r="D2789" s="2">
        <f t="shared" si="87"/>
        <v>17</v>
      </c>
      <c r="E2789" t="s">
        <v>18</v>
      </c>
      <c r="F2789" t="s">
        <v>23</v>
      </c>
      <c r="G2789" t="s">
        <v>20</v>
      </c>
      <c r="H2789" s="2">
        <v>38811</v>
      </c>
      <c r="I2789" s="2">
        <v>3</v>
      </c>
      <c r="J2789" s="2">
        <v>116228</v>
      </c>
      <c r="K2789" s="2">
        <v>90525</v>
      </c>
      <c r="L2789" s="2">
        <v>9</v>
      </c>
      <c r="M2789" t="str">
        <f>IF(Revv_bike_sales_data[[#This Row],[delivery_days]]&lt;=7, "Yes", "No")</f>
        <v>No</v>
      </c>
      <c r="N2789" t="s">
        <v>16</v>
      </c>
      <c r="O2789" s="2">
        <v>25703</v>
      </c>
    </row>
    <row r="2790" spans="1:15" x14ac:dyDescent="0.3">
      <c r="A2790" s="2">
        <v>2780</v>
      </c>
      <c r="B2790" s="1">
        <v>45042.791666666664</v>
      </c>
      <c r="C2790" s="1" t="str">
        <f t="shared" si="86"/>
        <v>04-2023</v>
      </c>
      <c r="D2790" s="2">
        <f t="shared" si="87"/>
        <v>17</v>
      </c>
      <c r="E2790" t="s">
        <v>13</v>
      </c>
      <c r="F2790" t="s">
        <v>14</v>
      </c>
      <c r="G2790" t="s">
        <v>21</v>
      </c>
      <c r="H2790" s="2">
        <v>32856</v>
      </c>
      <c r="I2790" s="2">
        <v>2</v>
      </c>
      <c r="J2790" s="2">
        <v>90074</v>
      </c>
      <c r="K2790" s="2">
        <v>137234</v>
      </c>
      <c r="L2790" s="2">
        <v>1</v>
      </c>
      <c r="M2790" t="str">
        <f>IF(Revv_bike_sales_data[[#This Row],[delivery_days]]&lt;=7, "Yes", "No")</f>
        <v>Yes</v>
      </c>
      <c r="N2790" t="s">
        <v>16</v>
      </c>
      <c r="O2790" s="2">
        <v>-47160</v>
      </c>
    </row>
    <row r="2791" spans="1:15" x14ac:dyDescent="0.3">
      <c r="A2791" s="2">
        <v>2781</v>
      </c>
      <c r="B2791" s="1">
        <v>45042.833333333336</v>
      </c>
      <c r="C2791" s="1" t="str">
        <f t="shared" si="86"/>
        <v>04-2023</v>
      </c>
      <c r="D2791" s="2">
        <f t="shared" si="87"/>
        <v>17</v>
      </c>
      <c r="E2791" t="s">
        <v>25</v>
      </c>
      <c r="F2791" t="s">
        <v>14</v>
      </c>
      <c r="G2791" t="s">
        <v>19</v>
      </c>
      <c r="H2791" s="2">
        <v>4309</v>
      </c>
      <c r="I2791" s="2">
        <v>8</v>
      </c>
      <c r="J2791" s="2">
        <v>83204</v>
      </c>
      <c r="K2791" s="2">
        <v>98744</v>
      </c>
      <c r="L2791" s="2">
        <v>3</v>
      </c>
      <c r="M2791" t="str">
        <f>IF(Revv_bike_sales_data[[#This Row],[delivery_days]]&lt;=7, "Yes", "No")</f>
        <v>Yes</v>
      </c>
      <c r="N2791" t="s">
        <v>16</v>
      </c>
      <c r="O2791" s="2">
        <v>-15540</v>
      </c>
    </row>
    <row r="2792" spans="1:15" x14ac:dyDescent="0.3">
      <c r="A2792" s="2">
        <v>2782</v>
      </c>
      <c r="B2792" s="1">
        <v>45042.875</v>
      </c>
      <c r="C2792" s="1" t="str">
        <f t="shared" si="86"/>
        <v>04-2023</v>
      </c>
      <c r="D2792" s="2">
        <f t="shared" si="87"/>
        <v>17</v>
      </c>
      <c r="E2792" t="s">
        <v>25</v>
      </c>
      <c r="F2792" t="s">
        <v>14</v>
      </c>
      <c r="G2792" t="s">
        <v>21</v>
      </c>
      <c r="H2792" s="2">
        <v>43871</v>
      </c>
      <c r="I2792" s="2">
        <v>6</v>
      </c>
      <c r="J2792" s="2">
        <v>176141</v>
      </c>
      <c r="K2792" s="2">
        <v>133222</v>
      </c>
      <c r="L2792" s="2">
        <v>7</v>
      </c>
      <c r="M2792" t="str">
        <f>IF(Revv_bike_sales_data[[#This Row],[delivery_days]]&lt;=7, "Yes", "No")</f>
        <v>Yes</v>
      </c>
      <c r="N2792" t="s">
        <v>16</v>
      </c>
      <c r="O2792" s="2">
        <v>42919</v>
      </c>
    </row>
    <row r="2793" spans="1:15" x14ac:dyDescent="0.3">
      <c r="A2793" s="2">
        <v>2783</v>
      </c>
      <c r="B2793" s="1">
        <v>45042.916666666664</v>
      </c>
      <c r="C2793" s="1" t="str">
        <f t="shared" si="86"/>
        <v>04-2023</v>
      </c>
      <c r="D2793" s="2">
        <f t="shared" si="87"/>
        <v>17</v>
      </c>
      <c r="E2793" t="s">
        <v>22</v>
      </c>
      <c r="F2793" t="s">
        <v>14</v>
      </c>
      <c r="G2793" t="s">
        <v>19</v>
      </c>
      <c r="H2793" s="2">
        <v>35375</v>
      </c>
      <c r="I2793" s="2">
        <v>2</v>
      </c>
      <c r="J2793" s="2">
        <v>31846</v>
      </c>
      <c r="K2793" s="2">
        <v>103590</v>
      </c>
      <c r="L2793" s="2">
        <v>14</v>
      </c>
      <c r="M2793" t="str">
        <f>IF(Revv_bike_sales_data[[#This Row],[delivery_days]]&lt;=7, "Yes", "No")</f>
        <v>No</v>
      </c>
      <c r="N2793" t="s">
        <v>16</v>
      </c>
      <c r="O2793" s="2">
        <v>-71744</v>
      </c>
    </row>
    <row r="2794" spans="1:15" x14ac:dyDescent="0.3">
      <c r="A2794" s="2">
        <v>2784</v>
      </c>
      <c r="B2794" s="1">
        <v>45042.958333333336</v>
      </c>
      <c r="C2794" s="1" t="str">
        <f t="shared" si="86"/>
        <v>04-2023</v>
      </c>
      <c r="D2794" s="2">
        <f t="shared" si="87"/>
        <v>17</v>
      </c>
      <c r="E2794" t="s">
        <v>25</v>
      </c>
      <c r="F2794" t="s">
        <v>14</v>
      </c>
      <c r="G2794" t="s">
        <v>21</v>
      </c>
      <c r="H2794" s="2">
        <v>9965</v>
      </c>
      <c r="I2794" s="2">
        <v>7</v>
      </c>
      <c r="J2794" s="2">
        <v>48694</v>
      </c>
      <c r="K2794" s="2">
        <v>45477</v>
      </c>
      <c r="L2794" s="2">
        <v>9</v>
      </c>
      <c r="M2794" t="str">
        <f>IF(Revv_bike_sales_data[[#This Row],[delivery_days]]&lt;=7, "Yes", "No")</f>
        <v>No</v>
      </c>
      <c r="N2794" t="s">
        <v>16</v>
      </c>
      <c r="O2794" s="2">
        <v>3217</v>
      </c>
    </row>
    <row r="2795" spans="1:15" x14ac:dyDescent="0.3">
      <c r="A2795" s="2">
        <v>2785</v>
      </c>
      <c r="B2795" s="1">
        <v>45043</v>
      </c>
      <c r="C2795" s="1" t="str">
        <f t="shared" si="86"/>
        <v>04-2023</v>
      </c>
      <c r="D2795" s="2">
        <f t="shared" si="87"/>
        <v>17</v>
      </c>
      <c r="E2795" t="s">
        <v>18</v>
      </c>
      <c r="F2795" t="s">
        <v>14</v>
      </c>
      <c r="G2795" t="s">
        <v>21</v>
      </c>
      <c r="H2795" s="2">
        <v>66595</v>
      </c>
      <c r="I2795" s="2">
        <v>8</v>
      </c>
      <c r="J2795" s="2">
        <v>46740</v>
      </c>
      <c r="K2795" s="2">
        <v>110910</v>
      </c>
      <c r="L2795" s="2">
        <v>13</v>
      </c>
      <c r="M2795" t="str">
        <f>IF(Revv_bike_sales_data[[#This Row],[delivery_days]]&lt;=7, "Yes", "No")</f>
        <v>No</v>
      </c>
      <c r="N2795" t="s">
        <v>16</v>
      </c>
      <c r="O2795" s="2">
        <v>-64170</v>
      </c>
    </row>
    <row r="2796" spans="1:15" x14ac:dyDescent="0.3">
      <c r="A2796" s="2">
        <v>2786</v>
      </c>
      <c r="B2796" s="1">
        <v>45043.041666666664</v>
      </c>
      <c r="C2796" s="1" t="str">
        <f t="shared" si="86"/>
        <v>04-2023</v>
      </c>
      <c r="D2796" s="2">
        <f t="shared" si="87"/>
        <v>17</v>
      </c>
      <c r="E2796" t="s">
        <v>18</v>
      </c>
      <c r="F2796" t="s">
        <v>14</v>
      </c>
      <c r="G2796" t="s">
        <v>15</v>
      </c>
      <c r="H2796" s="2">
        <v>74344</v>
      </c>
      <c r="I2796" s="2">
        <v>6</v>
      </c>
      <c r="J2796" s="2">
        <v>55996</v>
      </c>
      <c r="K2796" s="2">
        <v>137942</v>
      </c>
      <c r="L2796" s="2">
        <v>5</v>
      </c>
      <c r="M2796" t="str">
        <f>IF(Revv_bike_sales_data[[#This Row],[delivery_days]]&lt;=7, "Yes", "No")</f>
        <v>Yes</v>
      </c>
      <c r="N2796" t="s">
        <v>16</v>
      </c>
      <c r="O2796" s="2">
        <v>-81946</v>
      </c>
    </row>
    <row r="2797" spans="1:15" x14ac:dyDescent="0.3">
      <c r="A2797" s="2">
        <v>2787</v>
      </c>
      <c r="B2797" s="1">
        <v>45043.083333333336</v>
      </c>
      <c r="C2797" s="1" t="str">
        <f t="shared" si="86"/>
        <v>04-2023</v>
      </c>
      <c r="D2797" s="2">
        <f t="shared" si="87"/>
        <v>17</v>
      </c>
      <c r="E2797" t="s">
        <v>18</v>
      </c>
      <c r="F2797" t="s">
        <v>14</v>
      </c>
      <c r="G2797" t="s">
        <v>15</v>
      </c>
      <c r="H2797" s="2">
        <v>65750</v>
      </c>
      <c r="I2797" s="2">
        <v>5</v>
      </c>
      <c r="J2797" s="2">
        <v>88874</v>
      </c>
      <c r="K2797" s="2">
        <v>121756</v>
      </c>
      <c r="L2797" s="2">
        <v>7</v>
      </c>
      <c r="M2797" t="str">
        <f>IF(Revv_bike_sales_data[[#This Row],[delivery_days]]&lt;=7, "Yes", "No")</f>
        <v>Yes</v>
      </c>
      <c r="N2797" t="s">
        <v>16</v>
      </c>
      <c r="O2797" s="2">
        <v>-32882</v>
      </c>
    </row>
    <row r="2798" spans="1:15" x14ac:dyDescent="0.3">
      <c r="A2798" s="2">
        <v>2788</v>
      </c>
      <c r="B2798" s="1">
        <v>45043.125</v>
      </c>
      <c r="C2798" s="1" t="str">
        <f t="shared" si="86"/>
        <v>04-2023</v>
      </c>
      <c r="D2798" s="2">
        <f t="shared" si="87"/>
        <v>17</v>
      </c>
      <c r="E2798" t="s">
        <v>22</v>
      </c>
      <c r="F2798" t="s">
        <v>14</v>
      </c>
      <c r="G2798" t="s">
        <v>19</v>
      </c>
      <c r="H2798" s="2">
        <v>87389</v>
      </c>
      <c r="I2798" s="2">
        <v>3</v>
      </c>
      <c r="J2798" s="2">
        <v>122661</v>
      </c>
      <c r="K2798" s="2">
        <v>18571</v>
      </c>
      <c r="L2798" s="2">
        <v>10</v>
      </c>
      <c r="M2798" t="str">
        <f>IF(Revv_bike_sales_data[[#This Row],[delivery_days]]&lt;=7, "Yes", "No")</f>
        <v>No</v>
      </c>
      <c r="N2798" t="s">
        <v>16</v>
      </c>
      <c r="O2798" s="2">
        <v>104090</v>
      </c>
    </row>
    <row r="2799" spans="1:15" x14ac:dyDescent="0.3">
      <c r="A2799" s="2">
        <v>2789</v>
      </c>
      <c r="B2799" s="1">
        <v>45043.166666666664</v>
      </c>
      <c r="C2799" s="1" t="str">
        <f t="shared" si="86"/>
        <v>04-2023</v>
      </c>
      <c r="D2799" s="2">
        <f t="shared" si="87"/>
        <v>17</v>
      </c>
      <c r="E2799" t="s">
        <v>18</v>
      </c>
      <c r="F2799" t="s">
        <v>14</v>
      </c>
      <c r="G2799" t="s">
        <v>20</v>
      </c>
      <c r="H2799" s="2">
        <v>15750</v>
      </c>
      <c r="I2799" s="2">
        <v>4</v>
      </c>
      <c r="J2799" s="2">
        <v>131945</v>
      </c>
      <c r="K2799" s="2">
        <v>34576</v>
      </c>
      <c r="L2799" s="2">
        <v>7</v>
      </c>
      <c r="M2799" t="str">
        <f>IF(Revv_bike_sales_data[[#This Row],[delivery_days]]&lt;=7, "Yes", "No")</f>
        <v>Yes</v>
      </c>
      <c r="N2799" t="s">
        <v>16</v>
      </c>
      <c r="O2799" s="2">
        <v>97369</v>
      </c>
    </row>
    <row r="2800" spans="1:15" x14ac:dyDescent="0.3">
      <c r="A2800" s="2">
        <v>2790</v>
      </c>
      <c r="B2800" s="1">
        <v>45043.208333333336</v>
      </c>
      <c r="C2800" s="1" t="str">
        <f t="shared" si="86"/>
        <v>04-2023</v>
      </c>
      <c r="D2800" s="2">
        <f t="shared" si="87"/>
        <v>17</v>
      </c>
      <c r="E2800" t="s">
        <v>25</v>
      </c>
      <c r="F2800" t="s">
        <v>14</v>
      </c>
      <c r="G2800" t="s">
        <v>15</v>
      </c>
      <c r="H2800" s="2">
        <v>46523</v>
      </c>
      <c r="I2800" s="2">
        <v>7</v>
      </c>
      <c r="J2800" s="2">
        <v>47970</v>
      </c>
      <c r="K2800" s="2">
        <v>134641</v>
      </c>
      <c r="L2800" s="2">
        <v>4</v>
      </c>
      <c r="M2800" t="str">
        <f>IF(Revv_bike_sales_data[[#This Row],[delivery_days]]&lt;=7, "Yes", "No")</f>
        <v>Yes</v>
      </c>
      <c r="N2800" t="s">
        <v>24</v>
      </c>
      <c r="O2800" s="2">
        <v>-86671</v>
      </c>
    </row>
    <row r="2801" spans="1:15" x14ac:dyDescent="0.3">
      <c r="A2801" s="2">
        <v>2791</v>
      </c>
      <c r="B2801" s="1">
        <v>45043.25</v>
      </c>
      <c r="C2801" s="1" t="str">
        <f t="shared" si="86"/>
        <v>04-2023</v>
      </c>
      <c r="D2801" s="2">
        <f t="shared" si="87"/>
        <v>17</v>
      </c>
      <c r="E2801" t="s">
        <v>13</v>
      </c>
      <c r="F2801" t="s">
        <v>14</v>
      </c>
      <c r="G2801" t="s">
        <v>21</v>
      </c>
      <c r="H2801" s="2">
        <v>47124</v>
      </c>
      <c r="I2801" s="2">
        <v>2</v>
      </c>
      <c r="J2801" s="2">
        <v>166967</v>
      </c>
      <c r="K2801" s="2">
        <v>77703</v>
      </c>
      <c r="L2801" s="2">
        <v>5</v>
      </c>
      <c r="M2801" t="str">
        <f>IF(Revv_bike_sales_data[[#This Row],[delivery_days]]&lt;=7, "Yes", "No")</f>
        <v>Yes</v>
      </c>
      <c r="N2801" t="s">
        <v>24</v>
      </c>
      <c r="O2801" s="2">
        <v>89264</v>
      </c>
    </row>
    <row r="2802" spans="1:15" x14ac:dyDescent="0.3">
      <c r="A2802" s="2">
        <v>2792</v>
      </c>
      <c r="B2802" s="1">
        <v>45043.291666666664</v>
      </c>
      <c r="C2802" s="1" t="str">
        <f t="shared" si="86"/>
        <v>04-2023</v>
      </c>
      <c r="D2802" s="2">
        <f t="shared" si="87"/>
        <v>17</v>
      </c>
      <c r="E2802" t="s">
        <v>13</v>
      </c>
      <c r="F2802" t="s">
        <v>23</v>
      </c>
      <c r="G2802" t="s">
        <v>15</v>
      </c>
      <c r="H2802" s="2">
        <v>16927</v>
      </c>
      <c r="I2802" s="2">
        <v>1</v>
      </c>
      <c r="J2802" s="2">
        <v>178330</v>
      </c>
      <c r="K2802" s="2">
        <v>24680</v>
      </c>
      <c r="L2802" s="2">
        <v>2</v>
      </c>
      <c r="M2802" t="str">
        <f>IF(Revv_bike_sales_data[[#This Row],[delivery_days]]&lt;=7, "Yes", "No")</f>
        <v>Yes</v>
      </c>
      <c r="N2802" t="s">
        <v>16</v>
      </c>
      <c r="O2802" s="2">
        <v>153650</v>
      </c>
    </row>
    <row r="2803" spans="1:15" x14ac:dyDescent="0.3">
      <c r="A2803" s="2">
        <v>2793</v>
      </c>
      <c r="B2803" s="1">
        <v>45043.333333333336</v>
      </c>
      <c r="C2803" s="1" t="str">
        <f t="shared" si="86"/>
        <v>04-2023</v>
      </c>
      <c r="D2803" s="2">
        <f t="shared" si="87"/>
        <v>17</v>
      </c>
      <c r="E2803" t="s">
        <v>17</v>
      </c>
      <c r="F2803" t="s">
        <v>14</v>
      </c>
      <c r="G2803" t="s">
        <v>15</v>
      </c>
      <c r="H2803" s="2">
        <v>33776</v>
      </c>
      <c r="I2803" s="2">
        <v>2</v>
      </c>
      <c r="J2803" s="2">
        <v>113890</v>
      </c>
      <c r="K2803" s="2">
        <v>40706</v>
      </c>
      <c r="L2803" s="2">
        <v>8</v>
      </c>
      <c r="M2803" t="str">
        <f>IF(Revv_bike_sales_data[[#This Row],[delivery_days]]&lt;=7, "Yes", "No")</f>
        <v>No</v>
      </c>
      <c r="N2803" t="s">
        <v>16</v>
      </c>
      <c r="O2803" s="2">
        <v>73184</v>
      </c>
    </row>
    <row r="2804" spans="1:15" x14ac:dyDescent="0.3">
      <c r="A2804" s="2">
        <v>2794</v>
      </c>
      <c r="B2804" s="1">
        <v>45043.375</v>
      </c>
      <c r="C2804" s="1" t="str">
        <f t="shared" si="86"/>
        <v>04-2023</v>
      </c>
      <c r="D2804" s="2">
        <f t="shared" si="87"/>
        <v>17</v>
      </c>
      <c r="E2804" t="s">
        <v>25</v>
      </c>
      <c r="F2804" t="s">
        <v>14</v>
      </c>
      <c r="G2804" t="s">
        <v>19</v>
      </c>
      <c r="H2804" s="2">
        <v>72143</v>
      </c>
      <c r="I2804" s="2">
        <v>6</v>
      </c>
      <c r="J2804" s="2">
        <v>82300</v>
      </c>
      <c r="K2804" s="2">
        <v>94854</v>
      </c>
      <c r="L2804" s="2">
        <v>12</v>
      </c>
      <c r="M2804" t="str">
        <f>IF(Revv_bike_sales_data[[#This Row],[delivery_days]]&lt;=7, "Yes", "No")</f>
        <v>No</v>
      </c>
      <c r="N2804" t="s">
        <v>16</v>
      </c>
      <c r="O2804" s="2">
        <v>-12554</v>
      </c>
    </row>
    <row r="2805" spans="1:15" x14ac:dyDescent="0.3">
      <c r="A2805" s="2">
        <v>2795</v>
      </c>
      <c r="B2805" s="1">
        <v>45043.416666666664</v>
      </c>
      <c r="C2805" s="1" t="str">
        <f t="shared" si="86"/>
        <v>04-2023</v>
      </c>
      <c r="D2805" s="2">
        <f t="shared" si="87"/>
        <v>17</v>
      </c>
      <c r="E2805" t="s">
        <v>18</v>
      </c>
      <c r="F2805" t="s">
        <v>14</v>
      </c>
      <c r="G2805" t="s">
        <v>15</v>
      </c>
      <c r="H2805" s="2">
        <v>79512</v>
      </c>
      <c r="I2805" s="2">
        <v>7</v>
      </c>
      <c r="J2805" s="2">
        <v>86915</v>
      </c>
      <c r="K2805" s="2">
        <v>101195</v>
      </c>
      <c r="L2805" s="2">
        <v>1</v>
      </c>
      <c r="M2805" t="str">
        <f>IF(Revv_bike_sales_data[[#This Row],[delivery_days]]&lt;=7, "Yes", "No")</f>
        <v>Yes</v>
      </c>
      <c r="N2805" t="s">
        <v>16</v>
      </c>
      <c r="O2805" s="2">
        <v>-14280</v>
      </c>
    </row>
    <row r="2806" spans="1:15" x14ac:dyDescent="0.3">
      <c r="A2806" s="2">
        <v>2796</v>
      </c>
      <c r="B2806" s="1">
        <v>45043.458333333336</v>
      </c>
      <c r="C2806" s="1" t="str">
        <f t="shared" si="86"/>
        <v>04-2023</v>
      </c>
      <c r="D2806" s="2">
        <f t="shared" si="87"/>
        <v>17</v>
      </c>
      <c r="E2806" t="s">
        <v>13</v>
      </c>
      <c r="F2806" t="s">
        <v>14</v>
      </c>
      <c r="G2806" t="s">
        <v>15</v>
      </c>
      <c r="H2806" s="2">
        <v>3939</v>
      </c>
      <c r="I2806" s="2">
        <v>0</v>
      </c>
      <c r="J2806" s="2">
        <v>164516</v>
      </c>
      <c r="K2806" s="2">
        <v>79527</v>
      </c>
      <c r="L2806" s="2">
        <v>2</v>
      </c>
      <c r="M2806" t="str">
        <f>IF(Revv_bike_sales_data[[#This Row],[delivery_days]]&lt;=7, "Yes", "No")</f>
        <v>Yes</v>
      </c>
      <c r="N2806" t="s">
        <v>16</v>
      </c>
      <c r="O2806" s="2">
        <v>84989</v>
      </c>
    </row>
    <row r="2807" spans="1:15" x14ac:dyDescent="0.3">
      <c r="A2807" s="2">
        <v>2797</v>
      </c>
      <c r="B2807" s="1">
        <v>45043.5</v>
      </c>
      <c r="C2807" s="1" t="str">
        <f t="shared" si="86"/>
        <v>04-2023</v>
      </c>
      <c r="D2807" s="2">
        <f t="shared" si="87"/>
        <v>17</v>
      </c>
      <c r="E2807" t="s">
        <v>25</v>
      </c>
      <c r="F2807" t="s">
        <v>14</v>
      </c>
      <c r="G2807" t="s">
        <v>21</v>
      </c>
      <c r="H2807" s="2">
        <v>86348</v>
      </c>
      <c r="I2807" s="2">
        <v>6</v>
      </c>
      <c r="J2807" s="2">
        <v>100147</v>
      </c>
      <c r="K2807" s="2">
        <v>130042</v>
      </c>
      <c r="L2807" s="2">
        <v>12</v>
      </c>
      <c r="M2807" t="str">
        <f>IF(Revv_bike_sales_data[[#This Row],[delivery_days]]&lt;=7, "Yes", "No")</f>
        <v>No</v>
      </c>
      <c r="N2807" t="s">
        <v>16</v>
      </c>
      <c r="O2807" s="2">
        <v>-29895</v>
      </c>
    </row>
    <row r="2808" spans="1:15" x14ac:dyDescent="0.3">
      <c r="A2808" s="2">
        <v>2798</v>
      </c>
      <c r="B2808" s="1">
        <v>45043.541666666664</v>
      </c>
      <c r="C2808" s="1" t="str">
        <f t="shared" si="86"/>
        <v>04-2023</v>
      </c>
      <c r="D2808" s="2">
        <f t="shared" si="87"/>
        <v>17</v>
      </c>
      <c r="E2808" t="s">
        <v>13</v>
      </c>
      <c r="F2808" t="s">
        <v>14</v>
      </c>
      <c r="G2808" t="s">
        <v>15</v>
      </c>
      <c r="H2808" s="2">
        <v>87831</v>
      </c>
      <c r="I2808" s="2">
        <v>8</v>
      </c>
      <c r="J2808" s="2">
        <v>101064</v>
      </c>
      <c r="K2808" s="2">
        <v>85565</v>
      </c>
      <c r="L2808" s="2">
        <v>3</v>
      </c>
      <c r="M2808" t="str">
        <f>IF(Revv_bike_sales_data[[#This Row],[delivery_days]]&lt;=7, "Yes", "No")</f>
        <v>Yes</v>
      </c>
      <c r="N2808" t="s">
        <v>16</v>
      </c>
      <c r="O2808" s="2">
        <v>15499</v>
      </c>
    </row>
    <row r="2809" spans="1:15" x14ac:dyDescent="0.3">
      <c r="A2809" s="2">
        <v>2799</v>
      </c>
      <c r="B2809" s="1">
        <v>45043.583333333336</v>
      </c>
      <c r="C2809" s="1" t="str">
        <f t="shared" si="86"/>
        <v>04-2023</v>
      </c>
      <c r="D2809" s="2">
        <f t="shared" si="87"/>
        <v>17</v>
      </c>
      <c r="E2809" t="s">
        <v>18</v>
      </c>
      <c r="F2809" t="s">
        <v>14</v>
      </c>
      <c r="G2809" t="s">
        <v>21</v>
      </c>
      <c r="H2809" s="2">
        <v>79172</v>
      </c>
      <c r="I2809" s="2">
        <v>2</v>
      </c>
      <c r="J2809" s="2">
        <v>91535</v>
      </c>
      <c r="K2809" s="2">
        <v>63436</v>
      </c>
      <c r="L2809" s="2">
        <v>7</v>
      </c>
      <c r="M2809" t="str">
        <f>IF(Revv_bike_sales_data[[#This Row],[delivery_days]]&lt;=7, "Yes", "No")</f>
        <v>Yes</v>
      </c>
      <c r="N2809" t="s">
        <v>16</v>
      </c>
      <c r="O2809" s="2">
        <v>28099</v>
      </c>
    </row>
    <row r="2810" spans="1:15" x14ac:dyDescent="0.3">
      <c r="A2810" s="2">
        <v>2800</v>
      </c>
      <c r="B2810" s="1">
        <v>45043.625</v>
      </c>
      <c r="C2810" s="1" t="str">
        <f t="shared" si="86"/>
        <v>04-2023</v>
      </c>
      <c r="D2810" s="2">
        <f t="shared" si="87"/>
        <v>17</v>
      </c>
      <c r="E2810" t="s">
        <v>13</v>
      </c>
      <c r="F2810" t="s">
        <v>14</v>
      </c>
      <c r="G2810" t="s">
        <v>15</v>
      </c>
      <c r="H2810" s="2">
        <v>80203</v>
      </c>
      <c r="I2810" s="2">
        <v>2</v>
      </c>
      <c r="J2810" s="2">
        <v>28760</v>
      </c>
      <c r="K2810" s="2">
        <v>17774</v>
      </c>
      <c r="L2810" s="2">
        <v>6</v>
      </c>
      <c r="M2810" t="str">
        <f>IF(Revv_bike_sales_data[[#This Row],[delivery_days]]&lt;=7, "Yes", "No")</f>
        <v>Yes</v>
      </c>
      <c r="N2810" t="s">
        <v>16</v>
      </c>
      <c r="O2810" s="2">
        <v>10986</v>
      </c>
    </row>
    <row r="2811" spans="1:15" x14ac:dyDescent="0.3">
      <c r="A2811" s="2">
        <v>2801</v>
      </c>
      <c r="B2811" s="1">
        <v>45043.666666666664</v>
      </c>
      <c r="C2811" s="1" t="str">
        <f t="shared" si="86"/>
        <v>04-2023</v>
      </c>
      <c r="D2811" s="2">
        <f t="shared" si="87"/>
        <v>17</v>
      </c>
      <c r="E2811" t="s">
        <v>17</v>
      </c>
      <c r="F2811" t="s">
        <v>14</v>
      </c>
      <c r="G2811" t="s">
        <v>15</v>
      </c>
      <c r="H2811" s="2">
        <v>17800</v>
      </c>
      <c r="I2811" s="2">
        <v>7</v>
      </c>
      <c r="J2811" s="2">
        <v>127715</v>
      </c>
      <c r="K2811" s="2">
        <v>31972</v>
      </c>
      <c r="L2811" s="2">
        <v>14</v>
      </c>
      <c r="M2811" t="str">
        <f>IF(Revv_bike_sales_data[[#This Row],[delivery_days]]&lt;=7, "Yes", "No")</f>
        <v>No</v>
      </c>
      <c r="N2811" t="s">
        <v>16</v>
      </c>
      <c r="O2811" s="2">
        <v>95743</v>
      </c>
    </row>
    <row r="2812" spans="1:15" x14ac:dyDescent="0.3">
      <c r="A2812" s="2">
        <v>2802</v>
      </c>
      <c r="B2812" s="1">
        <v>45043.708333333336</v>
      </c>
      <c r="C2812" s="1" t="str">
        <f t="shared" si="86"/>
        <v>04-2023</v>
      </c>
      <c r="D2812" s="2">
        <f t="shared" si="87"/>
        <v>17</v>
      </c>
      <c r="E2812" t="s">
        <v>17</v>
      </c>
      <c r="F2812" t="s">
        <v>14</v>
      </c>
      <c r="G2812" t="s">
        <v>20</v>
      </c>
      <c r="H2812" s="2">
        <v>60789</v>
      </c>
      <c r="I2812" s="2">
        <v>3</v>
      </c>
      <c r="J2812" s="2">
        <v>150491</v>
      </c>
      <c r="K2812" s="2">
        <v>29048</v>
      </c>
      <c r="L2812" s="2">
        <v>7</v>
      </c>
      <c r="M2812" t="str">
        <f>IF(Revv_bike_sales_data[[#This Row],[delivery_days]]&lt;=7, "Yes", "No")</f>
        <v>Yes</v>
      </c>
      <c r="N2812" t="s">
        <v>16</v>
      </c>
      <c r="O2812" s="2">
        <v>121443</v>
      </c>
    </row>
    <row r="2813" spans="1:15" x14ac:dyDescent="0.3">
      <c r="A2813" s="2">
        <v>2803</v>
      </c>
      <c r="B2813" s="1">
        <v>45043.75</v>
      </c>
      <c r="C2813" s="1" t="str">
        <f t="shared" si="86"/>
        <v>04-2023</v>
      </c>
      <c r="D2813" s="2">
        <f t="shared" si="87"/>
        <v>17</v>
      </c>
      <c r="E2813" t="s">
        <v>13</v>
      </c>
      <c r="F2813" t="s">
        <v>23</v>
      </c>
      <c r="G2813" t="s">
        <v>15</v>
      </c>
      <c r="H2813" s="2">
        <v>17682</v>
      </c>
      <c r="I2813" s="2">
        <v>7</v>
      </c>
      <c r="J2813" s="2">
        <v>155992</v>
      </c>
      <c r="K2813" s="2">
        <v>113908</v>
      </c>
      <c r="L2813" s="2">
        <v>11</v>
      </c>
      <c r="M2813" t="str">
        <f>IF(Revv_bike_sales_data[[#This Row],[delivery_days]]&lt;=7, "Yes", "No")</f>
        <v>No</v>
      </c>
      <c r="N2813" t="s">
        <v>16</v>
      </c>
      <c r="O2813" s="2">
        <v>42084</v>
      </c>
    </row>
    <row r="2814" spans="1:15" x14ac:dyDescent="0.3">
      <c r="A2814" s="2">
        <v>2804</v>
      </c>
      <c r="B2814" s="1">
        <v>45043.791666666664</v>
      </c>
      <c r="C2814" s="1" t="str">
        <f t="shared" si="86"/>
        <v>04-2023</v>
      </c>
      <c r="D2814" s="2">
        <f t="shared" si="87"/>
        <v>17</v>
      </c>
      <c r="E2814" t="s">
        <v>25</v>
      </c>
      <c r="F2814" t="s">
        <v>14</v>
      </c>
      <c r="G2814" t="s">
        <v>21</v>
      </c>
      <c r="H2814" s="2">
        <v>71007</v>
      </c>
      <c r="I2814" s="2">
        <v>4</v>
      </c>
      <c r="J2814" s="2">
        <v>87399</v>
      </c>
      <c r="K2814" s="2">
        <v>123724</v>
      </c>
      <c r="L2814" s="2">
        <v>5</v>
      </c>
      <c r="M2814" t="str">
        <f>IF(Revv_bike_sales_data[[#This Row],[delivery_days]]&lt;=7, "Yes", "No")</f>
        <v>Yes</v>
      </c>
      <c r="N2814" t="s">
        <v>16</v>
      </c>
      <c r="O2814" s="2">
        <v>-36325</v>
      </c>
    </row>
    <row r="2815" spans="1:15" x14ac:dyDescent="0.3">
      <c r="A2815" s="2">
        <v>2805</v>
      </c>
      <c r="B2815" s="1">
        <v>45043.833333333336</v>
      </c>
      <c r="C2815" s="1" t="str">
        <f t="shared" si="86"/>
        <v>04-2023</v>
      </c>
      <c r="D2815" s="2">
        <f t="shared" si="87"/>
        <v>17</v>
      </c>
      <c r="E2815" t="s">
        <v>25</v>
      </c>
      <c r="F2815" t="s">
        <v>14</v>
      </c>
      <c r="G2815" t="s">
        <v>21</v>
      </c>
      <c r="H2815" s="2">
        <v>51412</v>
      </c>
      <c r="I2815" s="2">
        <v>2</v>
      </c>
      <c r="J2815" s="2">
        <v>87278</v>
      </c>
      <c r="K2815" s="2">
        <v>121669</v>
      </c>
      <c r="L2815" s="2">
        <v>14</v>
      </c>
      <c r="M2815" t="str">
        <f>IF(Revv_bike_sales_data[[#This Row],[delivery_days]]&lt;=7, "Yes", "No")</f>
        <v>No</v>
      </c>
      <c r="N2815" t="s">
        <v>16</v>
      </c>
      <c r="O2815" s="2">
        <v>-34391</v>
      </c>
    </row>
    <row r="2816" spans="1:15" x14ac:dyDescent="0.3">
      <c r="A2816" s="2">
        <v>2806</v>
      </c>
      <c r="B2816" s="1">
        <v>45043.875</v>
      </c>
      <c r="C2816" s="1" t="str">
        <f t="shared" si="86"/>
        <v>04-2023</v>
      </c>
      <c r="D2816" s="2">
        <f t="shared" si="87"/>
        <v>17</v>
      </c>
      <c r="E2816" t="s">
        <v>25</v>
      </c>
      <c r="F2816" t="s">
        <v>23</v>
      </c>
      <c r="G2816" t="s">
        <v>19</v>
      </c>
      <c r="H2816" s="2">
        <v>27409</v>
      </c>
      <c r="I2816" s="2">
        <v>3</v>
      </c>
      <c r="J2816" s="2">
        <v>138286</v>
      </c>
      <c r="K2816" s="2">
        <v>95225</v>
      </c>
      <c r="L2816" s="2">
        <v>4</v>
      </c>
      <c r="M2816" t="str">
        <f>IF(Revv_bike_sales_data[[#This Row],[delivery_days]]&lt;=7, "Yes", "No")</f>
        <v>Yes</v>
      </c>
      <c r="N2816" t="s">
        <v>24</v>
      </c>
      <c r="O2816" s="2">
        <v>43061</v>
      </c>
    </row>
    <row r="2817" spans="1:15" x14ac:dyDescent="0.3">
      <c r="A2817" s="2">
        <v>2807</v>
      </c>
      <c r="B2817" s="1">
        <v>45043.916666666664</v>
      </c>
      <c r="C2817" s="1" t="str">
        <f t="shared" si="86"/>
        <v>04-2023</v>
      </c>
      <c r="D2817" s="2">
        <f t="shared" si="87"/>
        <v>17</v>
      </c>
      <c r="E2817" t="s">
        <v>13</v>
      </c>
      <c r="F2817" t="s">
        <v>14</v>
      </c>
      <c r="G2817" t="s">
        <v>19</v>
      </c>
      <c r="H2817" s="2">
        <v>20159</v>
      </c>
      <c r="I2817" s="2">
        <v>3</v>
      </c>
      <c r="J2817" s="2">
        <v>169151</v>
      </c>
      <c r="K2817" s="2">
        <v>97273</v>
      </c>
      <c r="L2817" s="2">
        <v>7</v>
      </c>
      <c r="M2817" t="str">
        <f>IF(Revv_bike_sales_data[[#This Row],[delivery_days]]&lt;=7, "Yes", "No")</f>
        <v>Yes</v>
      </c>
      <c r="N2817" t="s">
        <v>16</v>
      </c>
      <c r="O2817" s="2">
        <v>71878</v>
      </c>
    </row>
    <row r="2818" spans="1:15" x14ac:dyDescent="0.3">
      <c r="A2818" s="2">
        <v>2808</v>
      </c>
      <c r="B2818" s="1">
        <v>45043.958333333336</v>
      </c>
      <c r="C2818" s="1" t="str">
        <f t="shared" si="86"/>
        <v>04-2023</v>
      </c>
      <c r="D2818" s="2">
        <f t="shared" si="87"/>
        <v>17</v>
      </c>
      <c r="E2818" t="s">
        <v>25</v>
      </c>
      <c r="F2818" t="s">
        <v>14</v>
      </c>
      <c r="G2818" t="s">
        <v>20</v>
      </c>
      <c r="H2818" s="2">
        <v>31903</v>
      </c>
      <c r="I2818" s="2">
        <v>7</v>
      </c>
      <c r="J2818" s="2">
        <v>162967</v>
      </c>
      <c r="K2818" s="2">
        <v>96550</v>
      </c>
      <c r="L2818" s="2">
        <v>3</v>
      </c>
      <c r="M2818" t="str">
        <f>IF(Revv_bike_sales_data[[#This Row],[delivery_days]]&lt;=7, "Yes", "No")</f>
        <v>Yes</v>
      </c>
      <c r="N2818" t="s">
        <v>16</v>
      </c>
      <c r="O2818" s="2">
        <v>66417</v>
      </c>
    </row>
    <row r="2819" spans="1:15" x14ac:dyDescent="0.3">
      <c r="A2819" s="2">
        <v>2809</v>
      </c>
      <c r="B2819" s="1">
        <v>45044</v>
      </c>
      <c r="C2819" s="1" t="str">
        <f t="shared" si="86"/>
        <v>04-2023</v>
      </c>
      <c r="D2819" s="2">
        <f t="shared" si="87"/>
        <v>17</v>
      </c>
      <c r="E2819" t="s">
        <v>18</v>
      </c>
      <c r="F2819" t="s">
        <v>14</v>
      </c>
      <c r="G2819" t="s">
        <v>21</v>
      </c>
      <c r="H2819" s="2">
        <v>34086</v>
      </c>
      <c r="I2819" s="2">
        <v>5</v>
      </c>
      <c r="J2819" s="2">
        <v>118515</v>
      </c>
      <c r="K2819" s="2">
        <v>102354</v>
      </c>
      <c r="L2819" s="2">
        <v>13</v>
      </c>
      <c r="M2819" t="str">
        <f>IF(Revv_bike_sales_data[[#This Row],[delivery_days]]&lt;=7, "Yes", "No")</f>
        <v>No</v>
      </c>
      <c r="N2819" t="s">
        <v>16</v>
      </c>
      <c r="O2819" s="2">
        <v>16161</v>
      </c>
    </row>
    <row r="2820" spans="1:15" x14ac:dyDescent="0.3">
      <c r="A2820" s="2">
        <v>2810</v>
      </c>
      <c r="B2820" s="1">
        <v>45044.041666666664</v>
      </c>
      <c r="C2820" s="1" t="str">
        <f t="shared" si="86"/>
        <v>04-2023</v>
      </c>
      <c r="D2820" s="2">
        <f t="shared" si="87"/>
        <v>17</v>
      </c>
      <c r="E2820" t="s">
        <v>17</v>
      </c>
      <c r="F2820" t="s">
        <v>23</v>
      </c>
      <c r="G2820" t="s">
        <v>21</v>
      </c>
      <c r="H2820" s="2">
        <v>10860</v>
      </c>
      <c r="I2820" s="2">
        <v>6</v>
      </c>
      <c r="J2820" s="2">
        <v>77142</v>
      </c>
      <c r="K2820" s="2">
        <v>113737</v>
      </c>
      <c r="L2820" s="2">
        <v>10</v>
      </c>
      <c r="M2820" t="str">
        <f>IF(Revv_bike_sales_data[[#This Row],[delivery_days]]&lt;=7, "Yes", "No")</f>
        <v>No</v>
      </c>
      <c r="N2820" t="s">
        <v>16</v>
      </c>
      <c r="O2820" s="2">
        <v>-36595</v>
      </c>
    </row>
    <row r="2821" spans="1:15" x14ac:dyDescent="0.3">
      <c r="A2821" s="2">
        <v>2811</v>
      </c>
      <c r="B2821" s="1">
        <v>45044.083333333336</v>
      </c>
      <c r="C2821" s="1" t="str">
        <f t="shared" si="86"/>
        <v>04-2023</v>
      </c>
      <c r="D2821" s="2">
        <f t="shared" si="87"/>
        <v>17</v>
      </c>
      <c r="E2821" t="s">
        <v>18</v>
      </c>
      <c r="F2821" t="s">
        <v>14</v>
      </c>
      <c r="G2821" t="s">
        <v>21</v>
      </c>
      <c r="H2821" s="2">
        <v>21924</v>
      </c>
      <c r="I2821" s="2">
        <v>8</v>
      </c>
      <c r="J2821" s="2">
        <v>152157</v>
      </c>
      <c r="K2821" s="2">
        <v>91680</v>
      </c>
      <c r="L2821" s="2">
        <v>7</v>
      </c>
      <c r="M2821" t="str">
        <f>IF(Revv_bike_sales_data[[#This Row],[delivery_days]]&lt;=7, "Yes", "No")</f>
        <v>Yes</v>
      </c>
      <c r="N2821" t="s">
        <v>24</v>
      </c>
      <c r="O2821" s="2">
        <v>60477</v>
      </c>
    </row>
    <row r="2822" spans="1:15" x14ac:dyDescent="0.3">
      <c r="A2822" s="2">
        <v>2812</v>
      </c>
      <c r="B2822" s="1">
        <v>45044.125</v>
      </c>
      <c r="C2822" s="1" t="str">
        <f t="shared" si="86"/>
        <v>04-2023</v>
      </c>
      <c r="D2822" s="2">
        <f t="shared" si="87"/>
        <v>17</v>
      </c>
      <c r="E2822" t="s">
        <v>25</v>
      </c>
      <c r="F2822" t="s">
        <v>23</v>
      </c>
      <c r="G2822" t="s">
        <v>20</v>
      </c>
      <c r="H2822" s="2">
        <v>98535</v>
      </c>
      <c r="I2822" s="2">
        <v>5</v>
      </c>
      <c r="J2822" s="2">
        <v>168624</v>
      </c>
      <c r="K2822" s="2">
        <v>111537</v>
      </c>
      <c r="L2822" s="2">
        <v>2</v>
      </c>
      <c r="M2822" t="str">
        <f>IF(Revv_bike_sales_data[[#This Row],[delivery_days]]&lt;=7, "Yes", "No")</f>
        <v>Yes</v>
      </c>
      <c r="N2822" t="s">
        <v>16</v>
      </c>
      <c r="O2822" s="2">
        <v>57087</v>
      </c>
    </row>
    <row r="2823" spans="1:15" x14ac:dyDescent="0.3">
      <c r="A2823" s="2">
        <v>2813</v>
      </c>
      <c r="B2823" s="1">
        <v>45044.166666666664</v>
      </c>
      <c r="C2823" s="1" t="str">
        <f t="shared" si="86"/>
        <v>04-2023</v>
      </c>
      <c r="D2823" s="2">
        <f t="shared" si="87"/>
        <v>17</v>
      </c>
      <c r="E2823" t="s">
        <v>18</v>
      </c>
      <c r="F2823" t="s">
        <v>14</v>
      </c>
      <c r="G2823" t="s">
        <v>21</v>
      </c>
      <c r="H2823" s="2">
        <v>49291</v>
      </c>
      <c r="I2823" s="2">
        <v>2</v>
      </c>
      <c r="J2823" s="2">
        <v>117930</v>
      </c>
      <c r="K2823" s="2">
        <v>72602</v>
      </c>
      <c r="L2823" s="2">
        <v>12</v>
      </c>
      <c r="M2823" t="str">
        <f>IF(Revv_bike_sales_data[[#This Row],[delivery_days]]&lt;=7, "Yes", "No")</f>
        <v>No</v>
      </c>
      <c r="N2823" t="s">
        <v>16</v>
      </c>
      <c r="O2823" s="2">
        <v>45328</v>
      </c>
    </row>
    <row r="2824" spans="1:15" x14ac:dyDescent="0.3">
      <c r="A2824" s="2">
        <v>2814</v>
      </c>
      <c r="B2824" s="1">
        <v>45044.208333333336</v>
      </c>
      <c r="C2824" s="1" t="str">
        <f t="shared" si="86"/>
        <v>04-2023</v>
      </c>
      <c r="D2824" s="2">
        <f t="shared" si="87"/>
        <v>17</v>
      </c>
      <c r="E2824" t="s">
        <v>25</v>
      </c>
      <c r="F2824" t="s">
        <v>14</v>
      </c>
      <c r="G2824" t="s">
        <v>19</v>
      </c>
      <c r="H2824" s="2">
        <v>3565</v>
      </c>
      <c r="I2824" s="2">
        <v>2</v>
      </c>
      <c r="J2824" s="2">
        <v>122812</v>
      </c>
      <c r="K2824" s="2">
        <v>81403</v>
      </c>
      <c r="L2824" s="2">
        <v>12</v>
      </c>
      <c r="M2824" t="str">
        <f>IF(Revv_bike_sales_data[[#This Row],[delivery_days]]&lt;=7, "Yes", "No")</f>
        <v>No</v>
      </c>
      <c r="N2824" t="s">
        <v>16</v>
      </c>
      <c r="O2824" s="2">
        <v>41409</v>
      </c>
    </row>
    <row r="2825" spans="1:15" x14ac:dyDescent="0.3">
      <c r="A2825" s="2">
        <v>2815</v>
      </c>
      <c r="B2825" s="1">
        <v>45044.25</v>
      </c>
      <c r="C2825" s="1" t="str">
        <f t="shared" si="86"/>
        <v>04-2023</v>
      </c>
      <c r="D2825" s="2">
        <f t="shared" si="87"/>
        <v>17</v>
      </c>
      <c r="E2825" t="s">
        <v>13</v>
      </c>
      <c r="F2825" t="s">
        <v>23</v>
      </c>
      <c r="G2825" t="s">
        <v>20</v>
      </c>
      <c r="H2825" s="2">
        <v>69295</v>
      </c>
      <c r="I2825" s="2">
        <v>2</v>
      </c>
      <c r="J2825" s="2">
        <v>95063</v>
      </c>
      <c r="K2825" s="2">
        <v>42182</v>
      </c>
      <c r="L2825" s="2">
        <v>8</v>
      </c>
      <c r="M2825" t="str">
        <f>IF(Revv_bike_sales_data[[#This Row],[delivery_days]]&lt;=7, "Yes", "No")</f>
        <v>No</v>
      </c>
      <c r="N2825" t="s">
        <v>16</v>
      </c>
      <c r="O2825" s="2">
        <v>52881</v>
      </c>
    </row>
    <row r="2826" spans="1:15" x14ac:dyDescent="0.3">
      <c r="A2826" s="2">
        <v>2816</v>
      </c>
      <c r="B2826" s="1">
        <v>45044.291666666664</v>
      </c>
      <c r="C2826" s="1" t="str">
        <f t="shared" si="86"/>
        <v>04-2023</v>
      </c>
      <c r="D2826" s="2">
        <f t="shared" si="87"/>
        <v>17</v>
      </c>
      <c r="E2826" t="s">
        <v>18</v>
      </c>
      <c r="F2826" t="s">
        <v>14</v>
      </c>
      <c r="G2826" t="s">
        <v>19</v>
      </c>
      <c r="H2826" s="2">
        <v>12800</v>
      </c>
      <c r="I2826" s="2">
        <v>9</v>
      </c>
      <c r="J2826" s="2">
        <v>155990</v>
      </c>
      <c r="K2826" s="2">
        <v>94876</v>
      </c>
      <c r="L2826" s="2">
        <v>12</v>
      </c>
      <c r="M2826" t="str">
        <f>IF(Revv_bike_sales_data[[#This Row],[delivery_days]]&lt;=7, "Yes", "No")</f>
        <v>No</v>
      </c>
      <c r="N2826" t="s">
        <v>24</v>
      </c>
      <c r="O2826" s="2">
        <v>61114</v>
      </c>
    </row>
    <row r="2827" spans="1:15" x14ac:dyDescent="0.3">
      <c r="A2827" s="2">
        <v>2817</v>
      </c>
      <c r="B2827" s="1">
        <v>45044.333333333336</v>
      </c>
      <c r="C2827" s="1" t="str">
        <f t="shared" ref="C2827:C2890" si="88">TEXT(B2827,"mm-yyyy")</f>
        <v>04-2023</v>
      </c>
      <c r="D2827" s="2">
        <f t="shared" ref="D2827:D2890" si="89">WEEKNUM(B2827)</f>
        <v>17</v>
      </c>
      <c r="E2827" t="s">
        <v>13</v>
      </c>
      <c r="F2827" t="s">
        <v>14</v>
      </c>
      <c r="G2827" t="s">
        <v>19</v>
      </c>
      <c r="H2827" s="2">
        <v>33870</v>
      </c>
      <c r="I2827" s="2">
        <v>1</v>
      </c>
      <c r="J2827" s="2">
        <v>37247</v>
      </c>
      <c r="K2827" s="2">
        <v>92373</v>
      </c>
      <c r="L2827" s="2">
        <v>6</v>
      </c>
      <c r="M2827" t="str">
        <f>IF(Revv_bike_sales_data[[#This Row],[delivery_days]]&lt;=7, "Yes", "No")</f>
        <v>Yes</v>
      </c>
      <c r="N2827" t="s">
        <v>16</v>
      </c>
      <c r="O2827" s="2">
        <v>-55126</v>
      </c>
    </row>
    <row r="2828" spans="1:15" x14ac:dyDescent="0.3">
      <c r="A2828" s="2">
        <v>2818</v>
      </c>
      <c r="B2828" s="1">
        <v>45044.375</v>
      </c>
      <c r="C2828" s="1" t="str">
        <f t="shared" si="88"/>
        <v>04-2023</v>
      </c>
      <c r="D2828" s="2">
        <f t="shared" si="89"/>
        <v>17</v>
      </c>
      <c r="E2828" t="s">
        <v>13</v>
      </c>
      <c r="F2828" t="s">
        <v>14</v>
      </c>
      <c r="G2828" t="s">
        <v>20</v>
      </c>
      <c r="H2828" s="2">
        <v>70331</v>
      </c>
      <c r="I2828" s="2">
        <v>0</v>
      </c>
      <c r="J2828" s="2">
        <v>42603</v>
      </c>
      <c r="K2828" s="2">
        <v>62059</v>
      </c>
      <c r="L2828" s="2">
        <v>12</v>
      </c>
      <c r="M2828" t="str">
        <f>IF(Revv_bike_sales_data[[#This Row],[delivery_days]]&lt;=7, "Yes", "No")</f>
        <v>No</v>
      </c>
      <c r="N2828" t="s">
        <v>16</v>
      </c>
      <c r="O2828" s="2">
        <v>-19456</v>
      </c>
    </row>
    <row r="2829" spans="1:15" x14ac:dyDescent="0.3">
      <c r="A2829" s="2">
        <v>2819</v>
      </c>
      <c r="B2829" s="1">
        <v>45044.416666666664</v>
      </c>
      <c r="C2829" s="1" t="str">
        <f t="shared" si="88"/>
        <v>04-2023</v>
      </c>
      <c r="D2829" s="2">
        <f t="shared" si="89"/>
        <v>17</v>
      </c>
      <c r="E2829" t="s">
        <v>22</v>
      </c>
      <c r="F2829" t="s">
        <v>14</v>
      </c>
      <c r="G2829" t="s">
        <v>15</v>
      </c>
      <c r="H2829" s="2">
        <v>27709</v>
      </c>
      <c r="I2829" s="2">
        <v>9</v>
      </c>
      <c r="J2829" s="2">
        <v>127099</v>
      </c>
      <c r="K2829" s="2">
        <v>23787</v>
      </c>
      <c r="L2829" s="2">
        <v>3</v>
      </c>
      <c r="M2829" t="str">
        <f>IF(Revv_bike_sales_data[[#This Row],[delivery_days]]&lt;=7, "Yes", "No")</f>
        <v>Yes</v>
      </c>
      <c r="N2829" t="s">
        <v>16</v>
      </c>
      <c r="O2829" s="2">
        <v>103312</v>
      </c>
    </row>
    <row r="2830" spans="1:15" x14ac:dyDescent="0.3">
      <c r="A2830" s="2">
        <v>2820</v>
      </c>
      <c r="B2830" s="1">
        <v>45044.458333333336</v>
      </c>
      <c r="C2830" s="1" t="str">
        <f t="shared" si="88"/>
        <v>04-2023</v>
      </c>
      <c r="D2830" s="2">
        <f t="shared" si="89"/>
        <v>17</v>
      </c>
      <c r="E2830" t="s">
        <v>25</v>
      </c>
      <c r="F2830" t="s">
        <v>23</v>
      </c>
      <c r="G2830" t="s">
        <v>15</v>
      </c>
      <c r="H2830" s="2">
        <v>21427</v>
      </c>
      <c r="I2830" s="2">
        <v>0</v>
      </c>
      <c r="J2830" s="2">
        <v>25527</v>
      </c>
      <c r="K2830" s="2">
        <v>135452</v>
      </c>
      <c r="L2830" s="2">
        <v>3</v>
      </c>
      <c r="M2830" t="str">
        <f>IF(Revv_bike_sales_data[[#This Row],[delivery_days]]&lt;=7, "Yes", "No")</f>
        <v>Yes</v>
      </c>
      <c r="N2830" t="s">
        <v>16</v>
      </c>
      <c r="O2830" s="2">
        <v>-109925</v>
      </c>
    </row>
    <row r="2831" spans="1:15" x14ac:dyDescent="0.3">
      <c r="A2831" s="2">
        <v>2821</v>
      </c>
      <c r="B2831" s="1">
        <v>45044.5</v>
      </c>
      <c r="C2831" s="1" t="str">
        <f t="shared" si="88"/>
        <v>04-2023</v>
      </c>
      <c r="D2831" s="2">
        <f t="shared" si="89"/>
        <v>17</v>
      </c>
      <c r="E2831" t="s">
        <v>17</v>
      </c>
      <c r="F2831" t="s">
        <v>14</v>
      </c>
      <c r="G2831" t="s">
        <v>19</v>
      </c>
      <c r="H2831" s="2">
        <v>35079</v>
      </c>
      <c r="I2831" s="2">
        <v>3</v>
      </c>
      <c r="J2831" s="2">
        <v>30849</v>
      </c>
      <c r="K2831" s="2">
        <v>15393</v>
      </c>
      <c r="L2831" s="2">
        <v>5</v>
      </c>
      <c r="M2831" t="str">
        <f>IF(Revv_bike_sales_data[[#This Row],[delivery_days]]&lt;=7, "Yes", "No")</f>
        <v>Yes</v>
      </c>
      <c r="N2831" t="s">
        <v>16</v>
      </c>
      <c r="O2831" s="2">
        <v>15456</v>
      </c>
    </row>
    <row r="2832" spans="1:15" x14ac:dyDescent="0.3">
      <c r="A2832" s="2">
        <v>2822</v>
      </c>
      <c r="B2832" s="1">
        <v>45044.541666666664</v>
      </c>
      <c r="C2832" s="1" t="str">
        <f t="shared" si="88"/>
        <v>04-2023</v>
      </c>
      <c r="D2832" s="2">
        <f t="shared" si="89"/>
        <v>17</v>
      </c>
      <c r="E2832" t="s">
        <v>25</v>
      </c>
      <c r="F2832" t="s">
        <v>14</v>
      </c>
      <c r="G2832" t="s">
        <v>15</v>
      </c>
      <c r="H2832" s="2">
        <v>9532</v>
      </c>
      <c r="I2832" s="2">
        <v>2</v>
      </c>
      <c r="J2832" s="2">
        <v>75314</v>
      </c>
      <c r="K2832" s="2">
        <v>76775</v>
      </c>
      <c r="L2832" s="2">
        <v>3</v>
      </c>
      <c r="M2832" t="str">
        <f>IF(Revv_bike_sales_data[[#This Row],[delivery_days]]&lt;=7, "Yes", "No")</f>
        <v>Yes</v>
      </c>
      <c r="N2832" t="s">
        <v>16</v>
      </c>
      <c r="O2832" s="2">
        <v>-1461</v>
      </c>
    </row>
    <row r="2833" spans="1:15" x14ac:dyDescent="0.3">
      <c r="A2833" s="2">
        <v>2823</v>
      </c>
      <c r="B2833" s="1">
        <v>45044.583333333336</v>
      </c>
      <c r="C2833" s="1" t="str">
        <f t="shared" si="88"/>
        <v>04-2023</v>
      </c>
      <c r="D2833" s="2">
        <f t="shared" si="89"/>
        <v>17</v>
      </c>
      <c r="E2833" t="s">
        <v>17</v>
      </c>
      <c r="F2833" t="s">
        <v>14</v>
      </c>
      <c r="G2833" t="s">
        <v>21</v>
      </c>
      <c r="H2833" s="2">
        <v>93754</v>
      </c>
      <c r="I2833" s="2">
        <v>4</v>
      </c>
      <c r="J2833" s="2">
        <v>42230</v>
      </c>
      <c r="K2833" s="2">
        <v>74454</v>
      </c>
      <c r="L2833" s="2">
        <v>6</v>
      </c>
      <c r="M2833" t="str">
        <f>IF(Revv_bike_sales_data[[#This Row],[delivery_days]]&lt;=7, "Yes", "No")</f>
        <v>Yes</v>
      </c>
      <c r="N2833" t="s">
        <v>16</v>
      </c>
      <c r="O2833" s="2">
        <v>-32224</v>
      </c>
    </row>
    <row r="2834" spans="1:15" x14ac:dyDescent="0.3">
      <c r="A2834" s="2">
        <v>2824</v>
      </c>
      <c r="B2834" s="1">
        <v>45044.625</v>
      </c>
      <c r="C2834" s="1" t="str">
        <f t="shared" si="88"/>
        <v>04-2023</v>
      </c>
      <c r="D2834" s="2">
        <f t="shared" si="89"/>
        <v>17</v>
      </c>
      <c r="E2834" t="s">
        <v>25</v>
      </c>
      <c r="F2834" t="s">
        <v>14</v>
      </c>
      <c r="G2834" t="s">
        <v>20</v>
      </c>
      <c r="H2834" s="2">
        <v>78913</v>
      </c>
      <c r="I2834" s="2">
        <v>8</v>
      </c>
      <c r="J2834" s="2">
        <v>117229</v>
      </c>
      <c r="K2834" s="2">
        <v>27056</v>
      </c>
      <c r="L2834" s="2">
        <v>2</v>
      </c>
      <c r="M2834" t="str">
        <f>IF(Revv_bike_sales_data[[#This Row],[delivery_days]]&lt;=7, "Yes", "No")</f>
        <v>Yes</v>
      </c>
      <c r="N2834" t="s">
        <v>16</v>
      </c>
      <c r="O2834" s="2">
        <v>90173</v>
      </c>
    </row>
    <row r="2835" spans="1:15" x14ac:dyDescent="0.3">
      <c r="A2835" s="2">
        <v>2825</v>
      </c>
      <c r="B2835" s="1">
        <v>45044.666666666664</v>
      </c>
      <c r="C2835" s="1" t="str">
        <f t="shared" si="88"/>
        <v>04-2023</v>
      </c>
      <c r="D2835" s="2">
        <f t="shared" si="89"/>
        <v>17</v>
      </c>
      <c r="E2835" t="s">
        <v>13</v>
      </c>
      <c r="F2835" t="s">
        <v>14</v>
      </c>
      <c r="G2835" t="s">
        <v>19</v>
      </c>
      <c r="H2835" s="2">
        <v>41231</v>
      </c>
      <c r="I2835" s="2">
        <v>7</v>
      </c>
      <c r="J2835" s="2">
        <v>97495</v>
      </c>
      <c r="K2835" s="2">
        <v>76483</v>
      </c>
      <c r="L2835" s="2">
        <v>8</v>
      </c>
      <c r="M2835" t="str">
        <f>IF(Revv_bike_sales_data[[#This Row],[delivery_days]]&lt;=7, "Yes", "No")</f>
        <v>No</v>
      </c>
      <c r="N2835" t="s">
        <v>16</v>
      </c>
      <c r="O2835" s="2">
        <v>21012</v>
      </c>
    </row>
    <row r="2836" spans="1:15" x14ac:dyDescent="0.3">
      <c r="A2836" s="2">
        <v>2826</v>
      </c>
      <c r="B2836" s="1">
        <v>45044.708333333336</v>
      </c>
      <c r="C2836" s="1" t="str">
        <f t="shared" si="88"/>
        <v>04-2023</v>
      </c>
      <c r="D2836" s="2">
        <f t="shared" si="89"/>
        <v>17</v>
      </c>
      <c r="E2836" t="s">
        <v>18</v>
      </c>
      <c r="F2836" t="s">
        <v>14</v>
      </c>
      <c r="G2836" t="s">
        <v>21</v>
      </c>
      <c r="H2836" s="2">
        <v>92702</v>
      </c>
      <c r="I2836" s="2">
        <v>8</v>
      </c>
      <c r="J2836" s="2">
        <v>126390</v>
      </c>
      <c r="K2836" s="2">
        <v>123696</v>
      </c>
      <c r="L2836" s="2">
        <v>13</v>
      </c>
      <c r="M2836" t="str">
        <f>IF(Revv_bike_sales_data[[#This Row],[delivery_days]]&lt;=7, "Yes", "No")</f>
        <v>No</v>
      </c>
      <c r="N2836" t="s">
        <v>16</v>
      </c>
      <c r="O2836" s="2">
        <v>2694</v>
      </c>
    </row>
    <row r="2837" spans="1:15" x14ac:dyDescent="0.3">
      <c r="A2837" s="2">
        <v>2827</v>
      </c>
      <c r="B2837" s="1">
        <v>45044.75</v>
      </c>
      <c r="C2837" s="1" t="str">
        <f t="shared" si="88"/>
        <v>04-2023</v>
      </c>
      <c r="D2837" s="2">
        <f t="shared" si="89"/>
        <v>17</v>
      </c>
      <c r="E2837" t="s">
        <v>18</v>
      </c>
      <c r="F2837" t="s">
        <v>14</v>
      </c>
      <c r="G2837" t="s">
        <v>15</v>
      </c>
      <c r="H2837" s="2">
        <v>54267</v>
      </c>
      <c r="I2837" s="2">
        <v>4</v>
      </c>
      <c r="J2837" s="2">
        <v>116937</v>
      </c>
      <c r="K2837" s="2">
        <v>59957</v>
      </c>
      <c r="L2837" s="2">
        <v>11</v>
      </c>
      <c r="M2837" t="str">
        <f>IF(Revv_bike_sales_data[[#This Row],[delivery_days]]&lt;=7, "Yes", "No")</f>
        <v>No</v>
      </c>
      <c r="N2837" t="s">
        <v>16</v>
      </c>
      <c r="O2837" s="2">
        <v>56980</v>
      </c>
    </row>
    <row r="2838" spans="1:15" x14ac:dyDescent="0.3">
      <c r="A2838" s="2">
        <v>2828</v>
      </c>
      <c r="B2838" s="1">
        <v>45044.791666666664</v>
      </c>
      <c r="C2838" s="1" t="str">
        <f t="shared" si="88"/>
        <v>04-2023</v>
      </c>
      <c r="D2838" s="2">
        <f t="shared" si="89"/>
        <v>17</v>
      </c>
      <c r="E2838" t="s">
        <v>22</v>
      </c>
      <c r="F2838" t="s">
        <v>23</v>
      </c>
      <c r="G2838" t="s">
        <v>21</v>
      </c>
      <c r="H2838" s="2">
        <v>72802</v>
      </c>
      <c r="I2838" s="2">
        <v>7</v>
      </c>
      <c r="J2838" s="2">
        <v>138723</v>
      </c>
      <c r="K2838" s="2">
        <v>43429</v>
      </c>
      <c r="L2838" s="2">
        <v>12</v>
      </c>
      <c r="M2838" t="str">
        <f>IF(Revv_bike_sales_data[[#This Row],[delivery_days]]&lt;=7, "Yes", "No")</f>
        <v>No</v>
      </c>
      <c r="N2838" t="s">
        <v>16</v>
      </c>
      <c r="O2838" s="2">
        <v>95294</v>
      </c>
    </row>
    <row r="2839" spans="1:15" x14ac:dyDescent="0.3">
      <c r="A2839" s="2">
        <v>2829</v>
      </c>
      <c r="B2839" s="1">
        <v>45044.833333333336</v>
      </c>
      <c r="C2839" s="1" t="str">
        <f t="shared" si="88"/>
        <v>04-2023</v>
      </c>
      <c r="D2839" s="2">
        <f t="shared" si="89"/>
        <v>17</v>
      </c>
      <c r="E2839" t="s">
        <v>17</v>
      </c>
      <c r="F2839" t="s">
        <v>14</v>
      </c>
      <c r="G2839" t="s">
        <v>15</v>
      </c>
      <c r="H2839" s="2">
        <v>50454</v>
      </c>
      <c r="I2839" s="2">
        <v>3</v>
      </c>
      <c r="J2839" s="2">
        <v>28323</v>
      </c>
      <c r="K2839" s="2">
        <v>60909</v>
      </c>
      <c r="L2839" s="2">
        <v>11</v>
      </c>
      <c r="M2839" t="str">
        <f>IF(Revv_bike_sales_data[[#This Row],[delivery_days]]&lt;=7, "Yes", "No")</f>
        <v>No</v>
      </c>
      <c r="N2839" t="s">
        <v>16</v>
      </c>
      <c r="O2839" s="2">
        <v>-32586</v>
      </c>
    </row>
    <row r="2840" spans="1:15" x14ac:dyDescent="0.3">
      <c r="A2840" s="2">
        <v>2830</v>
      </c>
      <c r="B2840" s="1">
        <v>45044.875</v>
      </c>
      <c r="C2840" s="1" t="str">
        <f t="shared" si="88"/>
        <v>04-2023</v>
      </c>
      <c r="D2840" s="2">
        <f t="shared" si="89"/>
        <v>17</v>
      </c>
      <c r="E2840" t="s">
        <v>17</v>
      </c>
      <c r="F2840" t="s">
        <v>14</v>
      </c>
      <c r="G2840" t="s">
        <v>19</v>
      </c>
      <c r="H2840" s="2">
        <v>88865</v>
      </c>
      <c r="I2840" s="2">
        <v>4</v>
      </c>
      <c r="J2840" s="2">
        <v>156517</v>
      </c>
      <c r="K2840" s="2">
        <v>67906</v>
      </c>
      <c r="L2840" s="2">
        <v>9</v>
      </c>
      <c r="M2840" t="str">
        <f>IF(Revv_bike_sales_data[[#This Row],[delivery_days]]&lt;=7, "Yes", "No")</f>
        <v>No</v>
      </c>
      <c r="N2840" t="s">
        <v>16</v>
      </c>
      <c r="O2840" s="2">
        <v>88611</v>
      </c>
    </row>
    <row r="2841" spans="1:15" x14ac:dyDescent="0.3">
      <c r="A2841" s="2">
        <v>2831</v>
      </c>
      <c r="B2841" s="1">
        <v>45044.916666666664</v>
      </c>
      <c r="C2841" s="1" t="str">
        <f t="shared" si="88"/>
        <v>04-2023</v>
      </c>
      <c r="D2841" s="2">
        <f t="shared" si="89"/>
        <v>17</v>
      </c>
      <c r="E2841" t="s">
        <v>17</v>
      </c>
      <c r="F2841" t="s">
        <v>23</v>
      </c>
      <c r="G2841" t="s">
        <v>21</v>
      </c>
      <c r="H2841" s="2">
        <v>86257</v>
      </c>
      <c r="I2841" s="2">
        <v>2</v>
      </c>
      <c r="J2841" s="2">
        <v>107945</v>
      </c>
      <c r="K2841" s="2">
        <v>112435</v>
      </c>
      <c r="L2841" s="2">
        <v>13</v>
      </c>
      <c r="M2841" t="str">
        <f>IF(Revv_bike_sales_data[[#This Row],[delivery_days]]&lt;=7, "Yes", "No")</f>
        <v>No</v>
      </c>
      <c r="N2841" t="s">
        <v>16</v>
      </c>
      <c r="O2841" s="2">
        <v>-4490</v>
      </c>
    </row>
    <row r="2842" spans="1:15" x14ac:dyDescent="0.3">
      <c r="A2842" s="2">
        <v>2832</v>
      </c>
      <c r="B2842" s="1">
        <v>45044.958333333336</v>
      </c>
      <c r="C2842" s="1" t="str">
        <f t="shared" si="88"/>
        <v>04-2023</v>
      </c>
      <c r="D2842" s="2">
        <f t="shared" si="89"/>
        <v>17</v>
      </c>
      <c r="E2842" t="s">
        <v>13</v>
      </c>
      <c r="F2842" t="s">
        <v>14</v>
      </c>
      <c r="G2842" t="s">
        <v>20</v>
      </c>
      <c r="H2842" s="2">
        <v>25602</v>
      </c>
      <c r="I2842" s="2">
        <v>4</v>
      </c>
      <c r="J2842" s="2">
        <v>166035</v>
      </c>
      <c r="K2842" s="2">
        <v>112757</v>
      </c>
      <c r="L2842" s="2">
        <v>7</v>
      </c>
      <c r="M2842" t="str">
        <f>IF(Revv_bike_sales_data[[#This Row],[delivery_days]]&lt;=7, "Yes", "No")</f>
        <v>Yes</v>
      </c>
      <c r="N2842" t="s">
        <v>24</v>
      </c>
      <c r="O2842" s="2">
        <v>53278</v>
      </c>
    </row>
    <row r="2843" spans="1:15" x14ac:dyDescent="0.3">
      <c r="A2843" s="2">
        <v>2833</v>
      </c>
      <c r="B2843" s="1">
        <v>45045</v>
      </c>
      <c r="C2843" s="1" t="str">
        <f t="shared" si="88"/>
        <v>04-2023</v>
      </c>
      <c r="D2843" s="2">
        <f t="shared" si="89"/>
        <v>17</v>
      </c>
      <c r="E2843" t="s">
        <v>17</v>
      </c>
      <c r="F2843" t="s">
        <v>14</v>
      </c>
      <c r="G2843" t="s">
        <v>19</v>
      </c>
      <c r="H2843" s="2">
        <v>34933</v>
      </c>
      <c r="I2843" s="2">
        <v>2</v>
      </c>
      <c r="J2843" s="2">
        <v>145801</v>
      </c>
      <c r="K2843" s="2">
        <v>101290</v>
      </c>
      <c r="L2843" s="2">
        <v>14</v>
      </c>
      <c r="M2843" t="str">
        <f>IF(Revv_bike_sales_data[[#This Row],[delivery_days]]&lt;=7, "Yes", "No")</f>
        <v>No</v>
      </c>
      <c r="N2843" t="s">
        <v>16</v>
      </c>
      <c r="O2843" s="2">
        <v>44511</v>
      </c>
    </row>
    <row r="2844" spans="1:15" x14ac:dyDescent="0.3">
      <c r="A2844" s="2">
        <v>2834</v>
      </c>
      <c r="B2844" s="1">
        <v>45045.041666666664</v>
      </c>
      <c r="C2844" s="1" t="str">
        <f t="shared" si="88"/>
        <v>04-2023</v>
      </c>
      <c r="D2844" s="2">
        <f t="shared" si="89"/>
        <v>17</v>
      </c>
      <c r="E2844" t="s">
        <v>18</v>
      </c>
      <c r="F2844" t="s">
        <v>14</v>
      </c>
      <c r="G2844" t="s">
        <v>21</v>
      </c>
      <c r="H2844" s="2">
        <v>16432</v>
      </c>
      <c r="I2844" s="2">
        <v>4</v>
      </c>
      <c r="J2844" s="2">
        <v>171509</v>
      </c>
      <c r="K2844" s="2">
        <v>59389</v>
      </c>
      <c r="L2844" s="2">
        <v>3</v>
      </c>
      <c r="M2844" t="str">
        <f>IF(Revv_bike_sales_data[[#This Row],[delivery_days]]&lt;=7, "Yes", "No")</f>
        <v>Yes</v>
      </c>
      <c r="N2844" t="s">
        <v>16</v>
      </c>
      <c r="O2844" s="2">
        <v>112120</v>
      </c>
    </row>
    <row r="2845" spans="1:15" x14ac:dyDescent="0.3">
      <c r="A2845" s="2">
        <v>2835</v>
      </c>
      <c r="B2845" s="1">
        <v>45045.083333333336</v>
      </c>
      <c r="C2845" s="1" t="str">
        <f t="shared" si="88"/>
        <v>04-2023</v>
      </c>
      <c r="D2845" s="2">
        <f t="shared" si="89"/>
        <v>17</v>
      </c>
      <c r="E2845" t="s">
        <v>13</v>
      </c>
      <c r="F2845" t="s">
        <v>23</v>
      </c>
      <c r="G2845" t="s">
        <v>21</v>
      </c>
      <c r="H2845" s="2">
        <v>26214</v>
      </c>
      <c r="I2845" s="2">
        <v>4</v>
      </c>
      <c r="J2845" s="2">
        <v>172927</v>
      </c>
      <c r="K2845" s="2">
        <v>35905</v>
      </c>
      <c r="L2845" s="2">
        <v>11</v>
      </c>
      <c r="M2845" t="str">
        <f>IF(Revv_bike_sales_data[[#This Row],[delivery_days]]&lt;=7, "Yes", "No")</f>
        <v>No</v>
      </c>
      <c r="N2845" t="s">
        <v>16</v>
      </c>
      <c r="O2845" s="2">
        <v>137022</v>
      </c>
    </row>
    <row r="2846" spans="1:15" x14ac:dyDescent="0.3">
      <c r="A2846" s="2">
        <v>2836</v>
      </c>
      <c r="B2846" s="1">
        <v>45045.125</v>
      </c>
      <c r="C2846" s="1" t="str">
        <f t="shared" si="88"/>
        <v>04-2023</v>
      </c>
      <c r="D2846" s="2">
        <f t="shared" si="89"/>
        <v>17</v>
      </c>
      <c r="E2846" t="s">
        <v>25</v>
      </c>
      <c r="F2846" t="s">
        <v>14</v>
      </c>
      <c r="G2846" t="s">
        <v>15</v>
      </c>
      <c r="H2846" s="2">
        <v>58303</v>
      </c>
      <c r="I2846" s="2">
        <v>5</v>
      </c>
      <c r="J2846" s="2">
        <v>106947</v>
      </c>
      <c r="K2846" s="2">
        <v>104619</v>
      </c>
      <c r="L2846" s="2">
        <v>14</v>
      </c>
      <c r="M2846" t="str">
        <f>IF(Revv_bike_sales_data[[#This Row],[delivery_days]]&lt;=7, "Yes", "No")</f>
        <v>No</v>
      </c>
      <c r="N2846" t="s">
        <v>16</v>
      </c>
      <c r="O2846" s="2">
        <v>2328</v>
      </c>
    </row>
    <row r="2847" spans="1:15" x14ac:dyDescent="0.3">
      <c r="A2847" s="2">
        <v>2837</v>
      </c>
      <c r="B2847" s="1">
        <v>45045.166666666664</v>
      </c>
      <c r="C2847" s="1" t="str">
        <f t="shared" si="88"/>
        <v>04-2023</v>
      </c>
      <c r="D2847" s="2">
        <f t="shared" si="89"/>
        <v>17</v>
      </c>
      <c r="E2847" t="s">
        <v>17</v>
      </c>
      <c r="F2847" t="s">
        <v>23</v>
      </c>
      <c r="G2847" t="s">
        <v>19</v>
      </c>
      <c r="H2847" s="2">
        <v>40243</v>
      </c>
      <c r="I2847" s="2">
        <v>8</v>
      </c>
      <c r="J2847" s="2">
        <v>166919</v>
      </c>
      <c r="K2847" s="2">
        <v>68730</v>
      </c>
      <c r="L2847" s="2">
        <v>10</v>
      </c>
      <c r="M2847" t="str">
        <f>IF(Revv_bike_sales_data[[#This Row],[delivery_days]]&lt;=7, "Yes", "No")</f>
        <v>No</v>
      </c>
      <c r="N2847" t="s">
        <v>16</v>
      </c>
      <c r="O2847" s="2">
        <v>98189</v>
      </c>
    </row>
    <row r="2848" spans="1:15" x14ac:dyDescent="0.3">
      <c r="A2848" s="2">
        <v>2838</v>
      </c>
      <c r="B2848" s="1">
        <v>45045.208333333336</v>
      </c>
      <c r="C2848" s="1" t="str">
        <f t="shared" si="88"/>
        <v>04-2023</v>
      </c>
      <c r="D2848" s="2">
        <f t="shared" si="89"/>
        <v>17</v>
      </c>
      <c r="E2848" t="s">
        <v>17</v>
      </c>
      <c r="F2848" t="s">
        <v>14</v>
      </c>
      <c r="G2848" t="s">
        <v>19</v>
      </c>
      <c r="H2848" s="2">
        <v>3052</v>
      </c>
      <c r="I2848" s="2">
        <v>0</v>
      </c>
      <c r="J2848" s="2">
        <v>159308</v>
      </c>
      <c r="K2848" s="2">
        <v>72557</v>
      </c>
      <c r="L2848" s="2">
        <v>4</v>
      </c>
      <c r="M2848" t="str">
        <f>IF(Revv_bike_sales_data[[#This Row],[delivery_days]]&lt;=7, "Yes", "No")</f>
        <v>Yes</v>
      </c>
      <c r="N2848" t="s">
        <v>24</v>
      </c>
      <c r="O2848" s="2">
        <v>86751</v>
      </c>
    </row>
    <row r="2849" spans="1:15" x14ac:dyDescent="0.3">
      <c r="A2849" s="2">
        <v>2839</v>
      </c>
      <c r="B2849" s="1">
        <v>45045.25</v>
      </c>
      <c r="C2849" s="1" t="str">
        <f t="shared" si="88"/>
        <v>04-2023</v>
      </c>
      <c r="D2849" s="2">
        <f t="shared" si="89"/>
        <v>17</v>
      </c>
      <c r="E2849" t="s">
        <v>25</v>
      </c>
      <c r="F2849" t="s">
        <v>14</v>
      </c>
      <c r="G2849" t="s">
        <v>19</v>
      </c>
      <c r="H2849" s="2">
        <v>57127</v>
      </c>
      <c r="I2849" s="2">
        <v>9</v>
      </c>
      <c r="J2849" s="2">
        <v>86897</v>
      </c>
      <c r="K2849" s="2">
        <v>131814</v>
      </c>
      <c r="L2849" s="2">
        <v>12</v>
      </c>
      <c r="M2849" t="str">
        <f>IF(Revv_bike_sales_data[[#This Row],[delivery_days]]&lt;=7, "Yes", "No")</f>
        <v>No</v>
      </c>
      <c r="N2849" t="s">
        <v>16</v>
      </c>
      <c r="O2849" s="2">
        <v>-44917</v>
      </c>
    </row>
    <row r="2850" spans="1:15" x14ac:dyDescent="0.3">
      <c r="A2850" s="2">
        <v>2840</v>
      </c>
      <c r="B2850" s="1">
        <v>45045.291666666664</v>
      </c>
      <c r="C2850" s="1" t="str">
        <f t="shared" si="88"/>
        <v>04-2023</v>
      </c>
      <c r="D2850" s="2">
        <f t="shared" si="89"/>
        <v>17</v>
      </c>
      <c r="E2850" t="s">
        <v>17</v>
      </c>
      <c r="F2850" t="s">
        <v>14</v>
      </c>
      <c r="G2850" t="s">
        <v>19</v>
      </c>
      <c r="H2850" s="2">
        <v>46487</v>
      </c>
      <c r="I2850" s="2">
        <v>5</v>
      </c>
      <c r="J2850" s="2">
        <v>143636</v>
      </c>
      <c r="K2850" s="2">
        <v>121634</v>
      </c>
      <c r="L2850" s="2">
        <v>10</v>
      </c>
      <c r="M2850" t="str">
        <f>IF(Revv_bike_sales_data[[#This Row],[delivery_days]]&lt;=7, "Yes", "No")</f>
        <v>No</v>
      </c>
      <c r="N2850" t="s">
        <v>16</v>
      </c>
      <c r="O2850" s="2">
        <v>22002</v>
      </c>
    </row>
    <row r="2851" spans="1:15" x14ac:dyDescent="0.3">
      <c r="A2851" s="2">
        <v>2841</v>
      </c>
      <c r="B2851" s="1">
        <v>45045.333333333336</v>
      </c>
      <c r="C2851" s="1" t="str">
        <f t="shared" si="88"/>
        <v>04-2023</v>
      </c>
      <c r="D2851" s="2">
        <f t="shared" si="89"/>
        <v>17</v>
      </c>
      <c r="E2851" t="s">
        <v>25</v>
      </c>
      <c r="F2851" t="s">
        <v>14</v>
      </c>
      <c r="G2851" t="s">
        <v>15</v>
      </c>
      <c r="H2851" s="2">
        <v>80310</v>
      </c>
      <c r="I2851" s="2">
        <v>0</v>
      </c>
      <c r="J2851" s="2">
        <v>38487</v>
      </c>
      <c r="K2851" s="2">
        <v>110157</v>
      </c>
      <c r="L2851" s="2">
        <v>2</v>
      </c>
      <c r="M2851" t="str">
        <f>IF(Revv_bike_sales_data[[#This Row],[delivery_days]]&lt;=7, "Yes", "No")</f>
        <v>Yes</v>
      </c>
      <c r="N2851" t="s">
        <v>16</v>
      </c>
      <c r="O2851" s="2">
        <v>-71670</v>
      </c>
    </row>
    <row r="2852" spans="1:15" x14ac:dyDescent="0.3">
      <c r="A2852" s="2">
        <v>2842</v>
      </c>
      <c r="B2852" s="1">
        <v>45045.375</v>
      </c>
      <c r="C2852" s="1" t="str">
        <f t="shared" si="88"/>
        <v>04-2023</v>
      </c>
      <c r="D2852" s="2">
        <f t="shared" si="89"/>
        <v>17</v>
      </c>
      <c r="E2852" t="s">
        <v>13</v>
      </c>
      <c r="F2852" t="s">
        <v>14</v>
      </c>
      <c r="G2852" t="s">
        <v>20</v>
      </c>
      <c r="H2852" s="2">
        <v>45880</v>
      </c>
      <c r="I2852" s="2">
        <v>5</v>
      </c>
      <c r="J2852" s="2">
        <v>102384</v>
      </c>
      <c r="K2852" s="2">
        <v>101113</v>
      </c>
      <c r="L2852" s="2">
        <v>9</v>
      </c>
      <c r="M2852" t="str">
        <f>IF(Revv_bike_sales_data[[#This Row],[delivery_days]]&lt;=7, "Yes", "No")</f>
        <v>No</v>
      </c>
      <c r="N2852" t="s">
        <v>16</v>
      </c>
      <c r="O2852" s="2">
        <v>1271</v>
      </c>
    </row>
    <row r="2853" spans="1:15" x14ac:dyDescent="0.3">
      <c r="A2853" s="2">
        <v>2843</v>
      </c>
      <c r="B2853" s="1">
        <v>45045.416666666664</v>
      </c>
      <c r="C2853" s="1" t="str">
        <f t="shared" si="88"/>
        <v>04-2023</v>
      </c>
      <c r="D2853" s="2">
        <f t="shared" si="89"/>
        <v>17</v>
      </c>
      <c r="E2853" t="s">
        <v>18</v>
      </c>
      <c r="F2853" t="s">
        <v>14</v>
      </c>
      <c r="G2853" t="s">
        <v>19</v>
      </c>
      <c r="H2853" s="2">
        <v>29750</v>
      </c>
      <c r="I2853" s="2">
        <v>1</v>
      </c>
      <c r="J2853" s="2">
        <v>38155</v>
      </c>
      <c r="K2853" s="2">
        <v>117264</v>
      </c>
      <c r="L2853" s="2">
        <v>14</v>
      </c>
      <c r="M2853" t="str">
        <f>IF(Revv_bike_sales_data[[#This Row],[delivery_days]]&lt;=7, "Yes", "No")</f>
        <v>No</v>
      </c>
      <c r="N2853" t="s">
        <v>16</v>
      </c>
      <c r="O2853" s="2">
        <v>-79109</v>
      </c>
    </row>
    <row r="2854" spans="1:15" x14ac:dyDescent="0.3">
      <c r="A2854" s="2">
        <v>2844</v>
      </c>
      <c r="B2854" s="1">
        <v>45045.458333333336</v>
      </c>
      <c r="C2854" s="1" t="str">
        <f t="shared" si="88"/>
        <v>04-2023</v>
      </c>
      <c r="D2854" s="2">
        <f t="shared" si="89"/>
        <v>17</v>
      </c>
      <c r="E2854" t="s">
        <v>25</v>
      </c>
      <c r="F2854" t="s">
        <v>14</v>
      </c>
      <c r="G2854" t="s">
        <v>15</v>
      </c>
      <c r="H2854" s="2">
        <v>68844</v>
      </c>
      <c r="I2854" s="2">
        <v>7</v>
      </c>
      <c r="J2854" s="2">
        <v>36255</v>
      </c>
      <c r="K2854" s="2">
        <v>81199</v>
      </c>
      <c r="L2854" s="2">
        <v>5</v>
      </c>
      <c r="M2854" t="str">
        <f>IF(Revv_bike_sales_data[[#This Row],[delivery_days]]&lt;=7, "Yes", "No")</f>
        <v>Yes</v>
      </c>
      <c r="N2854" t="s">
        <v>16</v>
      </c>
      <c r="O2854" s="2">
        <v>-44944</v>
      </c>
    </row>
    <row r="2855" spans="1:15" x14ac:dyDescent="0.3">
      <c r="A2855" s="2">
        <v>2845</v>
      </c>
      <c r="B2855" s="1">
        <v>45045.5</v>
      </c>
      <c r="C2855" s="1" t="str">
        <f t="shared" si="88"/>
        <v>04-2023</v>
      </c>
      <c r="D2855" s="2">
        <f t="shared" si="89"/>
        <v>17</v>
      </c>
      <c r="E2855" t="s">
        <v>22</v>
      </c>
      <c r="F2855" t="s">
        <v>14</v>
      </c>
      <c r="G2855" t="s">
        <v>20</v>
      </c>
      <c r="H2855" s="2">
        <v>65186</v>
      </c>
      <c r="I2855" s="2">
        <v>2</v>
      </c>
      <c r="J2855" s="2">
        <v>145860</v>
      </c>
      <c r="K2855" s="2">
        <v>62301</v>
      </c>
      <c r="L2855" s="2">
        <v>12</v>
      </c>
      <c r="M2855" t="str">
        <f>IF(Revv_bike_sales_data[[#This Row],[delivery_days]]&lt;=7, "Yes", "No")</f>
        <v>No</v>
      </c>
      <c r="N2855" t="s">
        <v>16</v>
      </c>
      <c r="O2855" s="2">
        <v>83559</v>
      </c>
    </row>
    <row r="2856" spans="1:15" x14ac:dyDescent="0.3">
      <c r="A2856" s="2">
        <v>2846</v>
      </c>
      <c r="B2856" s="1">
        <v>45045.541666666664</v>
      </c>
      <c r="C2856" s="1" t="str">
        <f t="shared" si="88"/>
        <v>04-2023</v>
      </c>
      <c r="D2856" s="2">
        <f t="shared" si="89"/>
        <v>17</v>
      </c>
      <c r="E2856" t="s">
        <v>25</v>
      </c>
      <c r="F2856" t="s">
        <v>14</v>
      </c>
      <c r="G2856" t="s">
        <v>20</v>
      </c>
      <c r="H2856" s="2">
        <v>45528</v>
      </c>
      <c r="I2856" s="2">
        <v>9</v>
      </c>
      <c r="J2856" s="2">
        <v>158051</v>
      </c>
      <c r="K2856" s="2">
        <v>99752</v>
      </c>
      <c r="L2856" s="2">
        <v>2</v>
      </c>
      <c r="M2856" t="str">
        <f>IF(Revv_bike_sales_data[[#This Row],[delivery_days]]&lt;=7, "Yes", "No")</f>
        <v>Yes</v>
      </c>
      <c r="N2856" t="s">
        <v>16</v>
      </c>
      <c r="O2856" s="2">
        <v>58299</v>
      </c>
    </row>
    <row r="2857" spans="1:15" x14ac:dyDescent="0.3">
      <c r="A2857" s="2">
        <v>2847</v>
      </c>
      <c r="B2857" s="1">
        <v>45045.583333333336</v>
      </c>
      <c r="C2857" s="1" t="str">
        <f t="shared" si="88"/>
        <v>04-2023</v>
      </c>
      <c r="D2857" s="2">
        <f t="shared" si="89"/>
        <v>17</v>
      </c>
      <c r="E2857" t="s">
        <v>17</v>
      </c>
      <c r="F2857" t="s">
        <v>14</v>
      </c>
      <c r="G2857" t="s">
        <v>15</v>
      </c>
      <c r="H2857" s="2">
        <v>15795</v>
      </c>
      <c r="I2857" s="2">
        <v>5</v>
      </c>
      <c r="J2857" s="2">
        <v>150596</v>
      </c>
      <c r="K2857" s="2">
        <v>62259</v>
      </c>
      <c r="L2857" s="2">
        <v>10</v>
      </c>
      <c r="M2857" t="str">
        <f>IF(Revv_bike_sales_data[[#This Row],[delivery_days]]&lt;=7, "Yes", "No")</f>
        <v>No</v>
      </c>
      <c r="N2857" t="s">
        <v>16</v>
      </c>
      <c r="O2857" s="2">
        <v>88337</v>
      </c>
    </row>
    <row r="2858" spans="1:15" x14ac:dyDescent="0.3">
      <c r="A2858" s="2">
        <v>2848</v>
      </c>
      <c r="B2858" s="1">
        <v>45045.625</v>
      </c>
      <c r="C2858" s="1" t="str">
        <f t="shared" si="88"/>
        <v>04-2023</v>
      </c>
      <c r="D2858" s="2">
        <f t="shared" si="89"/>
        <v>17</v>
      </c>
      <c r="E2858" t="s">
        <v>13</v>
      </c>
      <c r="F2858" t="s">
        <v>14</v>
      </c>
      <c r="G2858" t="s">
        <v>19</v>
      </c>
      <c r="H2858" s="2">
        <v>55748</v>
      </c>
      <c r="I2858" s="2">
        <v>5</v>
      </c>
      <c r="J2858" s="2">
        <v>177377</v>
      </c>
      <c r="K2858" s="2">
        <v>89801</v>
      </c>
      <c r="L2858" s="2">
        <v>6</v>
      </c>
      <c r="M2858" t="str">
        <f>IF(Revv_bike_sales_data[[#This Row],[delivery_days]]&lt;=7, "Yes", "No")</f>
        <v>Yes</v>
      </c>
      <c r="N2858" t="s">
        <v>16</v>
      </c>
      <c r="O2858" s="2">
        <v>87576</v>
      </c>
    </row>
    <row r="2859" spans="1:15" x14ac:dyDescent="0.3">
      <c r="A2859" s="2">
        <v>2849</v>
      </c>
      <c r="B2859" s="1">
        <v>45045.666666666664</v>
      </c>
      <c r="C2859" s="1" t="str">
        <f t="shared" si="88"/>
        <v>04-2023</v>
      </c>
      <c r="D2859" s="2">
        <f t="shared" si="89"/>
        <v>17</v>
      </c>
      <c r="E2859" t="s">
        <v>13</v>
      </c>
      <c r="F2859" t="s">
        <v>14</v>
      </c>
      <c r="G2859" t="s">
        <v>20</v>
      </c>
      <c r="H2859" s="2">
        <v>80705</v>
      </c>
      <c r="I2859" s="2">
        <v>3</v>
      </c>
      <c r="J2859" s="2">
        <v>99543</v>
      </c>
      <c r="K2859" s="2">
        <v>19574</v>
      </c>
      <c r="L2859" s="2">
        <v>7</v>
      </c>
      <c r="M2859" t="str">
        <f>IF(Revv_bike_sales_data[[#This Row],[delivery_days]]&lt;=7, "Yes", "No")</f>
        <v>Yes</v>
      </c>
      <c r="N2859" t="s">
        <v>16</v>
      </c>
      <c r="O2859" s="2">
        <v>79969</v>
      </c>
    </row>
    <row r="2860" spans="1:15" x14ac:dyDescent="0.3">
      <c r="A2860" s="2">
        <v>2850</v>
      </c>
      <c r="B2860" s="1">
        <v>45045.708333333336</v>
      </c>
      <c r="C2860" s="1" t="str">
        <f t="shared" si="88"/>
        <v>04-2023</v>
      </c>
      <c r="D2860" s="2">
        <f t="shared" si="89"/>
        <v>17</v>
      </c>
      <c r="E2860" t="s">
        <v>25</v>
      </c>
      <c r="F2860" t="s">
        <v>14</v>
      </c>
      <c r="G2860" t="s">
        <v>19</v>
      </c>
      <c r="H2860" s="2">
        <v>11023</v>
      </c>
      <c r="I2860" s="2">
        <v>4</v>
      </c>
      <c r="J2860" s="2">
        <v>60094</v>
      </c>
      <c r="K2860" s="2">
        <v>103291</v>
      </c>
      <c r="L2860" s="2">
        <v>13</v>
      </c>
      <c r="M2860" t="str">
        <f>IF(Revv_bike_sales_data[[#This Row],[delivery_days]]&lt;=7, "Yes", "No")</f>
        <v>No</v>
      </c>
      <c r="N2860" t="s">
        <v>16</v>
      </c>
      <c r="O2860" s="2">
        <v>-43197</v>
      </c>
    </row>
    <row r="2861" spans="1:15" x14ac:dyDescent="0.3">
      <c r="A2861" s="2">
        <v>2851</v>
      </c>
      <c r="B2861" s="1">
        <v>45045.75</v>
      </c>
      <c r="C2861" s="1" t="str">
        <f t="shared" si="88"/>
        <v>04-2023</v>
      </c>
      <c r="D2861" s="2">
        <f t="shared" si="89"/>
        <v>17</v>
      </c>
      <c r="E2861" t="s">
        <v>18</v>
      </c>
      <c r="F2861" t="s">
        <v>14</v>
      </c>
      <c r="G2861" t="s">
        <v>19</v>
      </c>
      <c r="H2861" s="2">
        <v>46030</v>
      </c>
      <c r="I2861" s="2">
        <v>1</v>
      </c>
      <c r="J2861" s="2">
        <v>34734</v>
      </c>
      <c r="K2861" s="2">
        <v>71776</v>
      </c>
      <c r="L2861" s="2">
        <v>2</v>
      </c>
      <c r="M2861" t="str">
        <f>IF(Revv_bike_sales_data[[#This Row],[delivery_days]]&lt;=7, "Yes", "No")</f>
        <v>Yes</v>
      </c>
      <c r="N2861" t="s">
        <v>24</v>
      </c>
      <c r="O2861" s="2">
        <v>-37042</v>
      </c>
    </row>
    <row r="2862" spans="1:15" x14ac:dyDescent="0.3">
      <c r="A2862" s="2">
        <v>2852</v>
      </c>
      <c r="B2862" s="1">
        <v>45045.791666666664</v>
      </c>
      <c r="C2862" s="1" t="str">
        <f t="shared" si="88"/>
        <v>04-2023</v>
      </c>
      <c r="D2862" s="2">
        <f t="shared" si="89"/>
        <v>17</v>
      </c>
      <c r="E2862" t="s">
        <v>22</v>
      </c>
      <c r="F2862" t="s">
        <v>14</v>
      </c>
      <c r="G2862" t="s">
        <v>21</v>
      </c>
      <c r="H2862" s="2">
        <v>14269</v>
      </c>
      <c r="I2862" s="2">
        <v>9</v>
      </c>
      <c r="J2862" s="2">
        <v>64605</v>
      </c>
      <c r="K2862" s="2">
        <v>111777</v>
      </c>
      <c r="L2862" s="2">
        <v>1</v>
      </c>
      <c r="M2862" t="str">
        <f>IF(Revv_bike_sales_data[[#This Row],[delivery_days]]&lt;=7, "Yes", "No")</f>
        <v>Yes</v>
      </c>
      <c r="N2862" t="s">
        <v>16</v>
      </c>
      <c r="O2862" s="2">
        <v>-47172</v>
      </c>
    </row>
    <row r="2863" spans="1:15" x14ac:dyDescent="0.3">
      <c r="A2863" s="2">
        <v>2853</v>
      </c>
      <c r="B2863" s="1">
        <v>45045.833333333336</v>
      </c>
      <c r="C2863" s="1" t="str">
        <f t="shared" si="88"/>
        <v>04-2023</v>
      </c>
      <c r="D2863" s="2">
        <f t="shared" si="89"/>
        <v>17</v>
      </c>
      <c r="E2863" t="s">
        <v>13</v>
      </c>
      <c r="F2863" t="s">
        <v>14</v>
      </c>
      <c r="G2863" t="s">
        <v>19</v>
      </c>
      <c r="H2863" s="2">
        <v>63542</v>
      </c>
      <c r="I2863" s="2">
        <v>9</v>
      </c>
      <c r="J2863" s="2">
        <v>102932</v>
      </c>
      <c r="K2863" s="2">
        <v>103212</v>
      </c>
      <c r="L2863" s="2">
        <v>13</v>
      </c>
      <c r="M2863" t="str">
        <f>IF(Revv_bike_sales_data[[#This Row],[delivery_days]]&lt;=7, "Yes", "No")</f>
        <v>No</v>
      </c>
      <c r="N2863" t="s">
        <v>16</v>
      </c>
      <c r="O2863" s="2">
        <v>-280</v>
      </c>
    </row>
    <row r="2864" spans="1:15" x14ac:dyDescent="0.3">
      <c r="A2864" s="2">
        <v>2854</v>
      </c>
      <c r="B2864" s="1">
        <v>45045.875</v>
      </c>
      <c r="C2864" s="1" t="str">
        <f t="shared" si="88"/>
        <v>04-2023</v>
      </c>
      <c r="D2864" s="2">
        <f t="shared" si="89"/>
        <v>17</v>
      </c>
      <c r="E2864" t="s">
        <v>17</v>
      </c>
      <c r="F2864" t="s">
        <v>23</v>
      </c>
      <c r="G2864" t="s">
        <v>21</v>
      </c>
      <c r="H2864" s="2">
        <v>45145</v>
      </c>
      <c r="I2864" s="2">
        <v>7</v>
      </c>
      <c r="J2864" s="2">
        <v>149109</v>
      </c>
      <c r="K2864" s="2">
        <v>102097</v>
      </c>
      <c r="L2864" s="2">
        <v>7</v>
      </c>
      <c r="M2864" t="str">
        <f>IF(Revv_bike_sales_data[[#This Row],[delivery_days]]&lt;=7, "Yes", "No")</f>
        <v>Yes</v>
      </c>
      <c r="N2864" t="s">
        <v>16</v>
      </c>
      <c r="O2864" s="2">
        <v>47012</v>
      </c>
    </row>
    <row r="2865" spans="1:15" x14ac:dyDescent="0.3">
      <c r="A2865" s="2">
        <v>2855</v>
      </c>
      <c r="B2865" s="1">
        <v>45045.916666666664</v>
      </c>
      <c r="C2865" s="1" t="str">
        <f t="shared" si="88"/>
        <v>04-2023</v>
      </c>
      <c r="D2865" s="2">
        <f t="shared" si="89"/>
        <v>17</v>
      </c>
      <c r="E2865" t="s">
        <v>17</v>
      </c>
      <c r="F2865" t="s">
        <v>14</v>
      </c>
      <c r="G2865" t="s">
        <v>20</v>
      </c>
      <c r="H2865" s="2">
        <v>91243</v>
      </c>
      <c r="I2865" s="2">
        <v>9</v>
      </c>
      <c r="J2865" s="2">
        <v>52881</v>
      </c>
      <c r="K2865" s="2">
        <v>39737</v>
      </c>
      <c r="L2865" s="2">
        <v>1</v>
      </c>
      <c r="M2865" t="str">
        <f>IF(Revv_bike_sales_data[[#This Row],[delivery_days]]&lt;=7, "Yes", "No")</f>
        <v>Yes</v>
      </c>
      <c r="N2865" t="s">
        <v>16</v>
      </c>
      <c r="O2865" s="2">
        <v>13144</v>
      </c>
    </row>
    <row r="2866" spans="1:15" x14ac:dyDescent="0.3">
      <c r="A2866" s="2">
        <v>2856</v>
      </c>
      <c r="B2866" s="1">
        <v>45045.958333333336</v>
      </c>
      <c r="C2866" s="1" t="str">
        <f t="shared" si="88"/>
        <v>04-2023</v>
      </c>
      <c r="D2866" s="2">
        <f t="shared" si="89"/>
        <v>17</v>
      </c>
      <c r="E2866" t="s">
        <v>18</v>
      </c>
      <c r="F2866" t="s">
        <v>14</v>
      </c>
      <c r="G2866" t="s">
        <v>15</v>
      </c>
      <c r="H2866" s="2">
        <v>62642</v>
      </c>
      <c r="I2866" s="2">
        <v>6</v>
      </c>
      <c r="J2866" s="2">
        <v>65122</v>
      </c>
      <c r="K2866" s="2">
        <v>38390</v>
      </c>
      <c r="L2866" s="2">
        <v>3</v>
      </c>
      <c r="M2866" t="str">
        <f>IF(Revv_bike_sales_data[[#This Row],[delivery_days]]&lt;=7, "Yes", "No")</f>
        <v>Yes</v>
      </c>
      <c r="N2866" t="s">
        <v>16</v>
      </c>
      <c r="O2866" s="2">
        <v>26732</v>
      </c>
    </row>
    <row r="2867" spans="1:15" x14ac:dyDescent="0.3">
      <c r="A2867" s="2">
        <v>2857</v>
      </c>
      <c r="B2867" s="1">
        <v>45046</v>
      </c>
      <c r="C2867" s="1" t="str">
        <f t="shared" si="88"/>
        <v>04-2023</v>
      </c>
      <c r="D2867" s="2">
        <f t="shared" si="89"/>
        <v>18</v>
      </c>
      <c r="E2867" t="s">
        <v>13</v>
      </c>
      <c r="F2867" t="s">
        <v>14</v>
      </c>
      <c r="G2867" t="s">
        <v>21</v>
      </c>
      <c r="H2867" s="2">
        <v>26057</v>
      </c>
      <c r="I2867" s="2">
        <v>9</v>
      </c>
      <c r="J2867" s="2">
        <v>60297</v>
      </c>
      <c r="K2867" s="2">
        <v>106612</v>
      </c>
      <c r="L2867" s="2">
        <v>4</v>
      </c>
      <c r="M2867" t="str">
        <f>IF(Revv_bike_sales_data[[#This Row],[delivery_days]]&lt;=7, "Yes", "No")</f>
        <v>Yes</v>
      </c>
      <c r="N2867" t="s">
        <v>24</v>
      </c>
      <c r="O2867" s="2">
        <v>-46315</v>
      </c>
    </row>
    <row r="2868" spans="1:15" x14ac:dyDescent="0.3">
      <c r="A2868" s="2">
        <v>2858</v>
      </c>
      <c r="B2868" s="1">
        <v>45046.041666666664</v>
      </c>
      <c r="C2868" s="1" t="str">
        <f t="shared" si="88"/>
        <v>04-2023</v>
      </c>
      <c r="D2868" s="2">
        <f t="shared" si="89"/>
        <v>18</v>
      </c>
      <c r="E2868" t="s">
        <v>25</v>
      </c>
      <c r="F2868" t="s">
        <v>14</v>
      </c>
      <c r="G2868" t="s">
        <v>15</v>
      </c>
      <c r="H2868" s="2">
        <v>80282</v>
      </c>
      <c r="I2868" s="2">
        <v>5</v>
      </c>
      <c r="J2868" s="2">
        <v>136513</v>
      </c>
      <c r="K2868" s="2">
        <v>67330</v>
      </c>
      <c r="L2868" s="2">
        <v>2</v>
      </c>
      <c r="M2868" t="str">
        <f>IF(Revv_bike_sales_data[[#This Row],[delivery_days]]&lt;=7, "Yes", "No")</f>
        <v>Yes</v>
      </c>
      <c r="N2868" t="s">
        <v>16</v>
      </c>
      <c r="O2868" s="2">
        <v>69183</v>
      </c>
    </row>
    <row r="2869" spans="1:15" x14ac:dyDescent="0.3">
      <c r="A2869" s="2">
        <v>2859</v>
      </c>
      <c r="B2869" s="1">
        <v>45046.083333333336</v>
      </c>
      <c r="C2869" s="1" t="str">
        <f t="shared" si="88"/>
        <v>04-2023</v>
      </c>
      <c r="D2869" s="2">
        <f t="shared" si="89"/>
        <v>18</v>
      </c>
      <c r="E2869" t="s">
        <v>17</v>
      </c>
      <c r="F2869" t="s">
        <v>14</v>
      </c>
      <c r="G2869" t="s">
        <v>20</v>
      </c>
      <c r="H2869" s="2">
        <v>78882</v>
      </c>
      <c r="I2869" s="2">
        <v>6</v>
      </c>
      <c r="J2869" s="2">
        <v>61680</v>
      </c>
      <c r="K2869" s="2">
        <v>86082</v>
      </c>
      <c r="L2869" s="2">
        <v>7</v>
      </c>
      <c r="M2869" t="str">
        <f>IF(Revv_bike_sales_data[[#This Row],[delivery_days]]&lt;=7, "Yes", "No")</f>
        <v>Yes</v>
      </c>
      <c r="N2869" t="s">
        <v>16</v>
      </c>
      <c r="O2869" s="2">
        <v>-24402</v>
      </c>
    </row>
    <row r="2870" spans="1:15" x14ac:dyDescent="0.3">
      <c r="A2870" s="2">
        <v>2860</v>
      </c>
      <c r="B2870" s="1">
        <v>45046.125</v>
      </c>
      <c r="C2870" s="1" t="str">
        <f t="shared" si="88"/>
        <v>04-2023</v>
      </c>
      <c r="D2870" s="2">
        <f t="shared" si="89"/>
        <v>18</v>
      </c>
      <c r="E2870" t="s">
        <v>18</v>
      </c>
      <c r="F2870" t="s">
        <v>14</v>
      </c>
      <c r="G2870" t="s">
        <v>19</v>
      </c>
      <c r="H2870" s="2">
        <v>37585</v>
      </c>
      <c r="I2870" s="2">
        <v>0</v>
      </c>
      <c r="J2870" s="2">
        <v>108452</v>
      </c>
      <c r="K2870" s="2">
        <v>68642</v>
      </c>
      <c r="L2870" s="2">
        <v>5</v>
      </c>
      <c r="M2870" t="str">
        <f>IF(Revv_bike_sales_data[[#This Row],[delivery_days]]&lt;=7, "Yes", "No")</f>
        <v>Yes</v>
      </c>
      <c r="N2870" t="s">
        <v>16</v>
      </c>
      <c r="O2870" s="2">
        <v>39810</v>
      </c>
    </row>
    <row r="2871" spans="1:15" x14ac:dyDescent="0.3">
      <c r="A2871" s="2">
        <v>2861</v>
      </c>
      <c r="B2871" s="1">
        <v>45046.166666666664</v>
      </c>
      <c r="C2871" s="1" t="str">
        <f t="shared" si="88"/>
        <v>04-2023</v>
      </c>
      <c r="D2871" s="2">
        <f t="shared" si="89"/>
        <v>18</v>
      </c>
      <c r="E2871" t="s">
        <v>13</v>
      </c>
      <c r="F2871" t="s">
        <v>14</v>
      </c>
      <c r="G2871" t="s">
        <v>20</v>
      </c>
      <c r="H2871" s="2">
        <v>51208</v>
      </c>
      <c r="I2871" s="2">
        <v>4</v>
      </c>
      <c r="J2871" s="2">
        <v>76044</v>
      </c>
      <c r="K2871" s="2">
        <v>36280</v>
      </c>
      <c r="L2871" s="2">
        <v>1</v>
      </c>
      <c r="M2871" t="str">
        <f>IF(Revv_bike_sales_data[[#This Row],[delivery_days]]&lt;=7, "Yes", "No")</f>
        <v>Yes</v>
      </c>
      <c r="N2871" t="s">
        <v>16</v>
      </c>
      <c r="O2871" s="2">
        <v>39764</v>
      </c>
    </row>
    <row r="2872" spans="1:15" x14ac:dyDescent="0.3">
      <c r="A2872" s="2">
        <v>2862</v>
      </c>
      <c r="B2872" s="1">
        <v>45046.208333333336</v>
      </c>
      <c r="C2872" s="1" t="str">
        <f t="shared" si="88"/>
        <v>04-2023</v>
      </c>
      <c r="D2872" s="2">
        <f t="shared" si="89"/>
        <v>18</v>
      </c>
      <c r="E2872" t="s">
        <v>13</v>
      </c>
      <c r="F2872" t="s">
        <v>14</v>
      </c>
      <c r="G2872" t="s">
        <v>15</v>
      </c>
      <c r="H2872" s="2">
        <v>51857</v>
      </c>
      <c r="I2872" s="2">
        <v>6</v>
      </c>
      <c r="J2872" s="2">
        <v>169582</v>
      </c>
      <c r="K2872" s="2">
        <v>113489</v>
      </c>
      <c r="L2872" s="2">
        <v>12</v>
      </c>
      <c r="M2872" t="str">
        <f>IF(Revv_bike_sales_data[[#This Row],[delivery_days]]&lt;=7, "Yes", "No")</f>
        <v>No</v>
      </c>
      <c r="N2872" t="s">
        <v>16</v>
      </c>
      <c r="O2872" s="2">
        <v>56093</v>
      </c>
    </row>
    <row r="2873" spans="1:15" x14ac:dyDescent="0.3">
      <c r="A2873" s="2">
        <v>2863</v>
      </c>
      <c r="B2873" s="1">
        <v>45046.25</v>
      </c>
      <c r="C2873" s="1" t="str">
        <f t="shared" si="88"/>
        <v>04-2023</v>
      </c>
      <c r="D2873" s="2">
        <f t="shared" si="89"/>
        <v>18</v>
      </c>
      <c r="E2873" t="s">
        <v>13</v>
      </c>
      <c r="F2873" t="s">
        <v>14</v>
      </c>
      <c r="G2873" t="s">
        <v>20</v>
      </c>
      <c r="H2873" s="2">
        <v>13970</v>
      </c>
      <c r="I2873" s="2">
        <v>0</v>
      </c>
      <c r="J2873" s="2">
        <v>115502</v>
      </c>
      <c r="K2873" s="2">
        <v>36037</v>
      </c>
      <c r="L2873" s="2">
        <v>12</v>
      </c>
      <c r="M2873" t="str">
        <f>IF(Revv_bike_sales_data[[#This Row],[delivery_days]]&lt;=7, "Yes", "No")</f>
        <v>No</v>
      </c>
      <c r="N2873" t="s">
        <v>24</v>
      </c>
      <c r="O2873" s="2">
        <v>79465</v>
      </c>
    </row>
    <row r="2874" spans="1:15" x14ac:dyDescent="0.3">
      <c r="A2874" s="2">
        <v>2864</v>
      </c>
      <c r="B2874" s="1">
        <v>45046.291666666664</v>
      </c>
      <c r="C2874" s="1" t="str">
        <f t="shared" si="88"/>
        <v>04-2023</v>
      </c>
      <c r="D2874" s="2">
        <f t="shared" si="89"/>
        <v>18</v>
      </c>
      <c r="E2874" t="s">
        <v>13</v>
      </c>
      <c r="F2874" t="s">
        <v>14</v>
      </c>
      <c r="G2874" t="s">
        <v>19</v>
      </c>
      <c r="H2874" s="2">
        <v>79212</v>
      </c>
      <c r="I2874" s="2">
        <v>1</v>
      </c>
      <c r="J2874" s="2">
        <v>47152</v>
      </c>
      <c r="K2874" s="2">
        <v>131668</v>
      </c>
      <c r="L2874" s="2">
        <v>8</v>
      </c>
      <c r="M2874" t="str">
        <f>IF(Revv_bike_sales_data[[#This Row],[delivery_days]]&lt;=7, "Yes", "No")</f>
        <v>No</v>
      </c>
      <c r="N2874" t="s">
        <v>16</v>
      </c>
      <c r="O2874" s="2">
        <v>-84516</v>
      </c>
    </row>
    <row r="2875" spans="1:15" x14ac:dyDescent="0.3">
      <c r="A2875" s="2">
        <v>2865</v>
      </c>
      <c r="B2875" s="1">
        <v>45046.333333333336</v>
      </c>
      <c r="C2875" s="1" t="str">
        <f t="shared" si="88"/>
        <v>04-2023</v>
      </c>
      <c r="D2875" s="2">
        <f t="shared" si="89"/>
        <v>18</v>
      </c>
      <c r="E2875" t="s">
        <v>13</v>
      </c>
      <c r="F2875" t="s">
        <v>14</v>
      </c>
      <c r="G2875" t="s">
        <v>20</v>
      </c>
      <c r="H2875" s="2">
        <v>79582</v>
      </c>
      <c r="I2875" s="2">
        <v>8</v>
      </c>
      <c r="J2875" s="2">
        <v>109738</v>
      </c>
      <c r="K2875" s="2">
        <v>134229</v>
      </c>
      <c r="L2875" s="2">
        <v>10</v>
      </c>
      <c r="M2875" t="str">
        <f>IF(Revv_bike_sales_data[[#This Row],[delivery_days]]&lt;=7, "Yes", "No")</f>
        <v>No</v>
      </c>
      <c r="N2875" t="s">
        <v>16</v>
      </c>
      <c r="O2875" s="2">
        <v>-24491</v>
      </c>
    </row>
    <row r="2876" spans="1:15" x14ac:dyDescent="0.3">
      <c r="A2876" s="2">
        <v>2866</v>
      </c>
      <c r="B2876" s="1">
        <v>45046.375</v>
      </c>
      <c r="C2876" s="1" t="str">
        <f t="shared" si="88"/>
        <v>04-2023</v>
      </c>
      <c r="D2876" s="2">
        <f t="shared" si="89"/>
        <v>18</v>
      </c>
      <c r="E2876" t="s">
        <v>17</v>
      </c>
      <c r="F2876" t="s">
        <v>14</v>
      </c>
      <c r="G2876" t="s">
        <v>19</v>
      </c>
      <c r="H2876" s="2">
        <v>7305</v>
      </c>
      <c r="I2876" s="2">
        <v>2</v>
      </c>
      <c r="J2876" s="2">
        <v>157267</v>
      </c>
      <c r="K2876" s="2">
        <v>55576</v>
      </c>
      <c r="L2876" s="2">
        <v>7</v>
      </c>
      <c r="M2876" t="str">
        <f>IF(Revv_bike_sales_data[[#This Row],[delivery_days]]&lt;=7, "Yes", "No")</f>
        <v>Yes</v>
      </c>
      <c r="N2876" t="s">
        <v>16</v>
      </c>
      <c r="O2876" s="2">
        <v>101691</v>
      </c>
    </row>
    <row r="2877" spans="1:15" x14ac:dyDescent="0.3">
      <c r="A2877" s="2">
        <v>2867</v>
      </c>
      <c r="B2877" s="1">
        <v>45046.416666666664</v>
      </c>
      <c r="C2877" s="1" t="str">
        <f t="shared" si="88"/>
        <v>04-2023</v>
      </c>
      <c r="D2877" s="2">
        <f t="shared" si="89"/>
        <v>18</v>
      </c>
      <c r="E2877" t="s">
        <v>18</v>
      </c>
      <c r="F2877" t="s">
        <v>23</v>
      </c>
      <c r="G2877" t="s">
        <v>21</v>
      </c>
      <c r="H2877" s="2">
        <v>82824</v>
      </c>
      <c r="I2877" s="2">
        <v>5</v>
      </c>
      <c r="J2877" s="2">
        <v>129533</v>
      </c>
      <c r="K2877" s="2">
        <v>43564</v>
      </c>
      <c r="L2877" s="2">
        <v>4</v>
      </c>
      <c r="M2877" t="str">
        <f>IF(Revv_bike_sales_data[[#This Row],[delivery_days]]&lt;=7, "Yes", "No")</f>
        <v>Yes</v>
      </c>
      <c r="N2877" t="s">
        <v>16</v>
      </c>
      <c r="O2877" s="2">
        <v>85969</v>
      </c>
    </row>
    <row r="2878" spans="1:15" x14ac:dyDescent="0.3">
      <c r="A2878" s="2">
        <v>2868</v>
      </c>
      <c r="B2878" s="1">
        <v>45046.458333333336</v>
      </c>
      <c r="C2878" s="1" t="str">
        <f t="shared" si="88"/>
        <v>04-2023</v>
      </c>
      <c r="D2878" s="2">
        <f t="shared" si="89"/>
        <v>18</v>
      </c>
      <c r="E2878" t="s">
        <v>13</v>
      </c>
      <c r="F2878" t="s">
        <v>14</v>
      </c>
      <c r="G2878" t="s">
        <v>15</v>
      </c>
      <c r="H2878" s="2">
        <v>95384</v>
      </c>
      <c r="I2878" s="2">
        <v>6</v>
      </c>
      <c r="J2878" s="2">
        <v>50433</v>
      </c>
      <c r="K2878" s="2">
        <v>114133</v>
      </c>
      <c r="L2878" s="2">
        <v>2</v>
      </c>
      <c r="M2878" t="str">
        <f>IF(Revv_bike_sales_data[[#This Row],[delivery_days]]&lt;=7, "Yes", "No")</f>
        <v>Yes</v>
      </c>
      <c r="N2878" t="s">
        <v>16</v>
      </c>
      <c r="O2878" s="2">
        <v>-63700</v>
      </c>
    </row>
    <row r="2879" spans="1:15" x14ac:dyDescent="0.3">
      <c r="A2879" s="2">
        <v>2869</v>
      </c>
      <c r="B2879" s="1">
        <v>45046.5</v>
      </c>
      <c r="C2879" s="1" t="str">
        <f t="shared" si="88"/>
        <v>04-2023</v>
      </c>
      <c r="D2879" s="2">
        <f t="shared" si="89"/>
        <v>18</v>
      </c>
      <c r="E2879" t="s">
        <v>22</v>
      </c>
      <c r="F2879" t="s">
        <v>14</v>
      </c>
      <c r="G2879" t="s">
        <v>19</v>
      </c>
      <c r="H2879" s="2">
        <v>62528</v>
      </c>
      <c r="I2879" s="2">
        <v>8</v>
      </c>
      <c r="J2879" s="2">
        <v>161377</v>
      </c>
      <c r="K2879" s="2">
        <v>100439</v>
      </c>
      <c r="L2879" s="2">
        <v>7</v>
      </c>
      <c r="M2879" t="str">
        <f>IF(Revv_bike_sales_data[[#This Row],[delivery_days]]&lt;=7, "Yes", "No")</f>
        <v>Yes</v>
      </c>
      <c r="N2879" t="s">
        <v>24</v>
      </c>
      <c r="O2879" s="2">
        <v>60938</v>
      </c>
    </row>
    <row r="2880" spans="1:15" x14ac:dyDescent="0.3">
      <c r="A2880" s="2">
        <v>2870</v>
      </c>
      <c r="B2880" s="1">
        <v>45046.541666666664</v>
      </c>
      <c r="C2880" s="1" t="str">
        <f t="shared" si="88"/>
        <v>04-2023</v>
      </c>
      <c r="D2880" s="2">
        <f t="shared" si="89"/>
        <v>18</v>
      </c>
      <c r="E2880" t="s">
        <v>22</v>
      </c>
      <c r="F2880" t="s">
        <v>23</v>
      </c>
      <c r="G2880" t="s">
        <v>19</v>
      </c>
      <c r="H2880" s="2">
        <v>51272</v>
      </c>
      <c r="I2880" s="2">
        <v>4</v>
      </c>
      <c r="J2880" s="2">
        <v>73648</v>
      </c>
      <c r="K2880" s="2">
        <v>111342</v>
      </c>
      <c r="L2880" s="2">
        <v>11</v>
      </c>
      <c r="M2880" t="str">
        <f>IF(Revv_bike_sales_data[[#This Row],[delivery_days]]&lt;=7, "Yes", "No")</f>
        <v>No</v>
      </c>
      <c r="N2880" t="s">
        <v>16</v>
      </c>
      <c r="O2880" s="2">
        <v>-37694</v>
      </c>
    </row>
    <row r="2881" spans="1:15" x14ac:dyDescent="0.3">
      <c r="A2881" s="2">
        <v>2871</v>
      </c>
      <c r="B2881" s="1">
        <v>45046.583333333336</v>
      </c>
      <c r="C2881" s="1" t="str">
        <f t="shared" si="88"/>
        <v>04-2023</v>
      </c>
      <c r="D2881" s="2">
        <f t="shared" si="89"/>
        <v>18</v>
      </c>
      <c r="E2881" t="s">
        <v>18</v>
      </c>
      <c r="F2881" t="s">
        <v>14</v>
      </c>
      <c r="G2881" t="s">
        <v>20</v>
      </c>
      <c r="H2881" s="2">
        <v>52604</v>
      </c>
      <c r="I2881" s="2">
        <v>3</v>
      </c>
      <c r="J2881" s="2">
        <v>67113</v>
      </c>
      <c r="K2881" s="2">
        <v>126864</v>
      </c>
      <c r="L2881" s="2">
        <v>2</v>
      </c>
      <c r="M2881" t="str">
        <f>IF(Revv_bike_sales_data[[#This Row],[delivery_days]]&lt;=7, "Yes", "No")</f>
        <v>Yes</v>
      </c>
      <c r="N2881" t="s">
        <v>16</v>
      </c>
      <c r="O2881" s="2">
        <v>-59751</v>
      </c>
    </row>
    <row r="2882" spans="1:15" x14ac:dyDescent="0.3">
      <c r="A2882" s="2">
        <v>2872</v>
      </c>
      <c r="B2882" s="1">
        <v>45046.625</v>
      </c>
      <c r="C2882" s="1" t="str">
        <f t="shared" si="88"/>
        <v>04-2023</v>
      </c>
      <c r="D2882" s="2">
        <f t="shared" si="89"/>
        <v>18</v>
      </c>
      <c r="E2882" t="s">
        <v>25</v>
      </c>
      <c r="F2882" t="s">
        <v>14</v>
      </c>
      <c r="G2882" t="s">
        <v>21</v>
      </c>
      <c r="H2882" s="2">
        <v>74116</v>
      </c>
      <c r="I2882" s="2">
        <v>1</v>
      </c>
      <c r="J2882" s="2">
        <v>128504</v>
      </c>
      <c r="K2882" s="2">
        <v>104928</v>
      </c>
      <c r="L2882" s="2">
        <v>6</v>
      </c>
      <c r="M2882" t="str">
        <f>IF(Revv_bike_sales_data[[#This Row],[delivery_days]]&lt;=7, "Yes", "No")</f>
        <v>Yes</v>
      </c>
      <c r="N2882" t="s">
        <v>16</v>
      </c>
      <c r="O2882" s="2">
        <v>23576</v>
      </c>
    </row>
    <row r="2883" spans="1:15" x14ac:dyDescent="0.3">
      <c r="A2883" s="2">
        <v>2873</v>
      </c>
      <c r="B2883" s="1">
        <v>45046.666666666664</v>
      </c>
      <c r="C2883" s="1" t="str">
        <f t="shared" si="88"/>
        <v>04-2023</v>
      </c>
      <c r="D2883" s="2">
        <f t="shared" si="89"/>
        <v>18</v>
      </c>
      <c r="E2883" t="s">
        <v>25</v>
      </c>
      <c r="F2883" t="s">
        <v>14</v>
      </c>
      <c r="G2883" t="s">
        <v>19</v>
      </c>
      <c r="H2883" s="2">
        <v>89800</v>
      </c>
      <c r="I2883" s="2">
        <v>2</v>
      </c>
      <c r="J2883" s="2">
        <v>155431</v>
      </c>
      <c r="K2883" s="2">
        <v>43087</v>
      </c>
      <c r="L2883" s="2">
        <v>1</v>
      </c>
      <c r="M2883" t="str">
        <f>IF(Revv_bike_sales_data[[#This Row],[delivery_days]]&lt;=7, "Yes", "No")</f>
        <v>Yes</v>
      </c>
      <c r="N2883" t="s">
        <v>16</v>
      </c>
      <c r="O2883" s="2">
        <v>112344</v>
      </c>
    </row>
    <row r="2884" spans="1:15" x14ac:dyDescent="0.3">
      <c r="A2884" s="2">
        <v>2874</v>
      </c>
      <c r="B2884" s="1">
        <v>45046.708333333336</v>
      </c>
      <c r="C2884" s="1" t="str">
        <f t="shared" si="88"/>
        <v>04-2023</v>
      </c>
      <c r="D2884" s="2">
        <f t="shared" si="89"/>
        <v>18</v>
      </c>
      <c r="E2884" t="s">
        <v>25</v>
      </c>
      <c r="F2884" t="s">
        <v>23</v>
      </c>
      <c r="G2884" t="s">
        <v>21</v>
      </c>
      <c r="H2884" s="2">
        <v>7130</v>
      </c>
      <c r="I2884" s="2">
        <v>4</v>
      </c>
      <c r="J2884" s="2">
        <v>58062</v>
      </c>
      <c r="K2884" s="2">
        <v>124824</v>
      </c>
      <c r="L2884" s="2">
        <v>14</v>
      </c>
      <c r="M2884" t="str">
        <f>IF(Revv_bike_sales_data[[#This Row],[delivery_days]]&lt;=7, "Yes", "No")</f>
        <v>No</v>
      </c>
      <c r="N2884" t="s">
        <v>16</v>
      </c>
      <c r="O2884" s="2">
        <v>-66762</v>
      </c>
    </row>
    <row r="2885" spans="1:15" x14ac:dyDescent="0.3">
      <c r="A2885" s="2">
        <v>2875</v>
      </c>
      <c r="B2885" s="1">
        <v>45046.75</v>
      </c>
      <c r="C2885" s="1" t="str">
        <f t="shared" si="88"/>
        <v>04-2023</v>
      </c>
      <c r="D2885" s="2">
        <f t="shared" si="89"/>
        <v>18</v>
      </c>
      <c r="E2885" t="s">
        <v>22</v>
      </c>
      <c r="F2885" t="s">
        <v>14</v>
      </c>
      <c r="G2885" t="s">
        <v>21</v>
      </c>
      <c r="H2885" s="2">
        <v>99369</v>
      </c>
      <c r="I2885" s="2">
        <v>1</v>
      </c>
      <c r="J2885" s="2">
        <v>96633</v>
      </c>
      <c r="K2885" s="2">
        <v>124844</v>
      </c>
      <c r="L2885" s="2">
        <v>7</v>
      </c>
      <c r="M2885" t="str">
        <f>IF(Revv_bike_sales_data[[#This Row],[delivery_days]]&lt;=7, "Yes", "No")</f>
        <v>Yes</v>
      </c>
      <c r="N2885" t="s">
        <v>16</v>
      </c>
      <c r="O2885" s="2">
        <v>-28211</v>
      </c>
    </row>
    <row r="2886" spans="1:15" x14ac:dyDescent="0.3">
      <c r="A2886" s="2">
        <v>2876</v>
      </c>
      <c r="B2886" s="1">
        <v>45046.791666666664</v>
      </c>
      <c r="C2886" s="1" t="str">
        <f t="shared" si="88"/>
        <v>04-2023</v>
      </c>
      <c r="D2886" s="2">
        <f t="shared" si="89"/>
        <v>18</v>
      </c>
      <c r="E2886" t="s">
        <v>25</v>
      </c>
      <c r="F2886" t="s">
        <v>14</v>
      </c>
      <c r="G2886" t="s">
        <v>20</v>
      </c>
      <c r="H2886" s="2">
        <v>16201</v>
      </c>
      <c r="I2886" s="2">
        <v>3</v>
      </c>
      <c r="J2886" s="2">
        <v>66604</v>
      </c>
      <c r="K2886" s="2">
        <v>102829</v>
      </c>
      <c r="L2886" s="2">
        <v>7</v>
      </c>
      <c r="M2886" t="str">
        <f>IF(Revv_bike_sales_data[[#This Row],[delivery_days]]&lt;=7, "Yes", "No")</f>
        <v>Yes</v>
      </c>
      <c r="N2886" t="s">
        <v>16</v>
      </c>
      <c r="O2886" s="2">
        <v>-36225</v>
      </c>
    </row>
    <row r="2887" spans="1:15" x14ac:dyDescent="0.3">
      <c r="A2887" s="2">
        <v>2877</v>
      </c>
      <c r="B2887" s="1">
        <v>45046.833333333336</v>
      </c>
      <c r="C2887" s="1" t="str">
        <f t="shared" si="88"/>
        <v>04-2023</v>
      </c>
      <c r="D2887" s="2">
        <f t="shared" si="89"/>
        <v>18</v>
      </c>
      <c r="E2887" t="s">
        <v>17</v>
      </c>
      <c r="F2887" t="s">
        <v>14</v>
      </c>
      <c r="G2887" t="s">
        <v>19</v>
      </c>
      <c r="H2887" s="2">
        <v>15359</v>
      </c>
      <c r="I2887" s="2">
        <v>0</v>
      </c>
      <c r="J2887" s="2">
        <v>162750</v>
      </c>
      <c r="K2887" s="2">
        <v>91213</v>
      </c>
      <c r="L2887" s="2">
        <v>12</v>
      </c>
      <c r="M2887" t="str">
        <f>IF(Revv_bike_sales_data[[#This Row],[delivery_days]]&lt;=7, "Yes", "No")</f>
        <v>No</v>
      </c>
      <c r="N2887" t="s">
        <v>16</v>
      </c>
      <c r="O2887" s="2">
        <v>71537</v>
      </c>
    </row>
    <row r="2888" spans="1:15" x14ac:dyDescent="0.3">
      <c r="A2888" s="2">
        <v>2878</v>
      </c>
      <c r="B2888" s="1">
        <v>45046.875</v>
      </c>
      <c r="C2888" s="1" t="str">
        <f t="shared" si="88"/>
        <v>04-2023</v>
      </c>
      <c r="D2888" s="2">
        <f t="shared" si="89"/>
        <v>18</v>
      </c>
      <c r="E2888" t="s">
        <v>13</v>
      </c>
      <c r="F2888" t="s">
        <v>23</v>
      </c>
      <c r="G2888" t="s">
        <v>20</v>
      </c>
      <c r="H2888" s="2">
        <v>21683</v>
      </c>
      <c r="I2888" s="2">
        <v>3</v>
      </c>
      <c r="J2888" s="2">
        <v>57121</v>
      </c>
      <c r="K2888" s="2">
        <v>27803</v>
      </c>
      <c r="L2888" s="2">
        <v>4</v>
      </c>
      <c r="M2888" t="str">
        <f>IF(Revv_bike_sales_data[[#This Row],[delivery_days]]&lt;=7, "Yes", "No")</f>
        <v>Yes</v>
      </c>
      <c r="N2888" t="s">
        <v>16</v>
      </c>
      <c r="O2888" s="2">
        <v>29318</v>
      </c>
    </row>
    <row r="2889" spans="1:15" x14ac:dyDescent="0.3">
      <c r="A2889" s="2">
        <v>2879</v>
      </c>
      <c r="B2889" s="1">
        <v>45046.916666666664</v>
      </c>
      <c r="C2889" s="1" t="str">
        <f t="shared" si="88"/>
        <v>04-2023</v>
      </c>
      <c r="D2889" s="2">
        <f t="shared" si="89"/>
        <v>18</v>
      </c>
      <c r="E2889" t="s">
        <v>22</v>
      </c>
      <c r="F2889" t="s">
        <v>14</v>
      </c>
      <c r="G2889" t="s">
        <v>15</v>
      </c>
      <c r="H2889" s="2">
        <v>40938</v>
      </c>
      <c r="I2889" s="2">
        <v>6</v>
      </c>
      <c r="J2889" s="2">
        <v>150015</v>
      </c>
      <c r="K2889" s="2">
        <v>127192</v>
      </c>
      <c r="L2889" s="2">
        <v>4</v>
      </c>
      <c r="M2889" t="str">
        <f>IF(Revv_bike_sales_data[[#This Row],[delivery_days]]&lt;=7, "Yes", "No")</f>
        <v>Yes</v>
      </c>
      <c r="N2889" t="s">
        <v>16</v>
      </c>
      <c r="O2889" s="2">
        <v>22823</v>
      </c>
    </row>
    <row r="2890" spans="1:15" x14ac:dyDescent="0.3">
      <c r="A2890" s="2">
        <v>2880</v>
      </c>
      <c r="B2890" s="1">
        <v>45046.958333333336</v>
      </c>
      <c r="C2890" s="1" t="str">
        <f t="shared" si="88"/>
        <v>04-2023</v>
      </c>
      <c r="D2890" s="2">
        <f t="shared" si="89"/>
        <v>18</v>
      </c>
      <c r="E2890" t="s">
        <v>18</v>
      </c>
      <c r="F2890" t="s">
        <v>14</v>
      </c>
      <c r="G2890" t="s">
        <v>15</v>
      </c>
      <c r="H2890" s="2">
        <v>97785</v>
      </c>
      <c r="I2890" s="2">
        <v>2</v>
      </c>
      <c r="J2890" s="2">
        <v>111940</v>
      </c>
      <c r="K2890" s="2">
        <v>61002</v>
      </c>
      <c r="L2890" s="2">
        <v>10</v>
      </c>
      <c r="M2890" t="str">
        <f>IF(Revv_bike_sales_data[[#This Row],[delivery_days]]&lt;=7, "Yes", "No")</f>
        <v>No</v>
      </c>
      <c r="N2890" t="s">
        <v>16</v>
      </c>
      <c r="O2890" s="2">
        <v>50938</v>
      </c>
    </row>
    <row r="2891" spans="1:15" x14ac:dyDescent="0.3">
      <c r="A2891" s="2">
        <v>2881</v>
      </c>
      <c r="B2891" s="1">
        <v>45047</v>
      </c>
      <c r="C2891" s="1" t="str">
        <f t="shared" ref="C2891:C2954" si="90">TEXT(B2891,"mm-yyyy")</f>
        <v>05-2023</v>
      </c>
      <c r="D2891" s="2">
        <f t="shared" ref="D2891:D2954" si="91">WEEKNUM(B2891)</f>
        <v>18</v>
      </c>
      <c r="E2891" t="s">
        <v>18</v>
      </c>
      <c r="F2891" t="s">
        <v>23</v>
      </c>
      <c r="G2891" t="s">
        <v>19</v>
      </c>
      <c r="H2891" s="2">
        <v>97923</v>
      </c>
      <c r="I2891" s="2">
        <v>9</v>
      </c>
      <c r="J2891" s="2">
        <v>41494</v>
      </c>
      <c r="K2891" s="2">
        <v>81761</v>
      </c>
      <c r="L2891" s="2">
        <v>5</v>
      </c>
      <c r="M2891" t="str">
        <f>IF(Revv_bike_sales_data[[#This Row],[delivery_days]]&lt;=7, "Yes", "No")</f>
        <v>Yes</v>
      </c>
      <c r="N2891" t="s">
        <v>16</v>
      </c>
      <c r="O2891" s="2">
        <v>-40267</v>
      </c>
    </row>
    <row r="2892" spans="1:15" x14ac:dyDescent="0.3">
      <c r="A2892" s="2">
        <v>2882</v>
      </c>
      <c r="B2892" s="1">
        <v>45047.041666666664</v>
      </c>
      <c r="C2892" s="1" t="str">
        <f t="shared" si="90"/>
        <v>05-2023</v>
      </c>
      <c r="D2892" s="2">
        <f t="shared" si="91"/>
        <v>18</v>
      </c>
      <c r="E2892" t="s">
        <v>13</v>
      </c>
      <c r="F2892" t="s">
        <v>14</v>
      </c>
      <c r="G2892" t="s">
        <v>21</v>
      </c>
      <c r="H2892" s="2">
        <v>42744</v>
      </c>
      <c r="I2892" s="2">
        <v>7</v>
      </c>
      <c r="J2892" s="2">
        <v>165750</v>
      </c>
      <c r="K2892" s="2">
        <v>86310</v>
      </c>
      <c r="L2892" s="2">
        <v>2</v>
      </c>
      <c r="M2892" t="str">
        <f>IF(Revv_bike_sales_data[[#This Row],[delivery_days]]&lt;=7, "Yes", "No")</f>
        <v>Yes</v>
      </c>
      <c r="N2892" t="s">
        <v>16</v>
      </c>
      <c r="O2892" s="2">
        <v>79440</v>
      </c>
    </row>
    <row r="2893" spans="1:15" x14ac:dyDescent="0.3">
      <c r="A2893" s="2">
        <v>2883</v>
      </c>
      <c r="B2893" s="1">
        <v>45047.083333333336</v>
      </c>
      <c r="C2893" s="1" t="str">
        <f t="shared" si="90"/>
        <v>05-2023</v>
      </c>
      <c r="D2893" s="2">
        <f t="shared" si="91"/>
        <v>18</v>
      </c>
      <c r="E2893" t="s">
        <v>22</v>
      </c>
      <c r="F2893" t="s">
        <v>14</v>
      </c>
      <c r="G2893" t="s">
        <v>19</v>
      </c>
      <c r="H2893" s="2">
        <v>74812</v>
      </c>
      <c r="I2893" s="2">
        <v>5</v>
      </c>
      <c r="J2893" s="2">
        <v>71235</v>
      </c>
      <c r="K2893" s="2">
        <v>93579</v>
      </c>
      <c r="L2893" s="2">
        <v>9</v>
      </c>
      <c r="M2893" t="str">
        <f>IF(Revv_bike_sales_data[[#This Row],[delivery_days]]&lt;=7, "Yes", "No")</f>
        <v>No</v>
      </c>
      <c r="N2893" t="s">
        <v>16</v>
      </c>
      <c r="O2893" s="2">
        <v>-22344</v>
      </c>
    </row>
    <row r="2894" spans="1:15" x14ac:dyDescent="0.3">
      <c r="A2894" s="2">
        <v>2884</v>
      </c>
      <c r="B2894" s="1">
        <v>45047.125</v>
      </c>
      <c r="C2894" s="1" t="str">
        <f t="shared" si="90"/>
        <v>05-2023</v>
      </c>
      <c r="D2894" s="2">
        <f t="shared" si="91"/>
        <v>18</v>
      </c>
      <c r="E2894" t="s">
        <v>25</v>
      </c>
      <c r="F2894" t="s">
        <v>14</v>
      </c>
      <c r="G2894" t="s">
        <v>19</v>
      </c>
      <c r="H2894" s="2">
        <v>15521</v>
      </c>
      <c r="I2894" s="2">
        <v>5</v>
      </c>
      <c r="J2894" s="2">
        <v>157720</v>
      </c>
      <c r="K2894" s="2">
        <v>31163</v>
      </c>
      <c r="L2894" s="2">
        <v>10</v>
      </c>
      <c r="M2894" t="str">
        <f>IF(Revv_bike_sales_data[[#This Row],[delivery_days]]&lt;=7, "Yes", "No")</f>
        <v>No</v>
      </c>
      <c r="N2894" t="s">
        <v>16</v>
      </c>
      <c r="O2894" s="2">
        <v>126557</v>
      </c>
    </row>
    <row r="2895" spans="1:15" x14ac:dyDescent="0.3">
      <c r="A2895" s="2">
        <v>2885</v>
      </c>
      <c r="B2895" s="1">
        <v>45047.166666666664</v>
      </c>
      <c r="C2895" s="1" t="str">
        <f t="shared" si="90"/>
        <v>05-2023</v>
      </c>
      <c r="D2895" s="2">
        <f t="shared" si="91"/>
        <v>18</v>
      </c>
      <c r="E2895" t="s">
        <v>25</v>
      </c>
      <c r="F2895" t="s">
        <v>14</v>
      </c>
      <c r="G2895" t="s">
        <v>15</v>
      </c>
      <c r="H2895" s="2">
        <v>70363</v>
      </c>
      <c r="I2895" s="2">
        <v>0</v>
      </c>
      <c r="J2895" s="2">
        <v>106213</v>
      </c>
      <c r="K2895" s="2">
        <v>83380</v>
      </c>
      <c r="L2895" s="2">
        <v>4</v>
      </c>
      <c r="M2895" t="str">
        <f>IF(Revv_bike_sales_data[[#This Row],[delivery_days]]&lt;=7, "Yes", "No")</f>
        <v>Yes</v>
      </c>
      <c r="N2895" t="s">
        <v>16</v>
      </c>
      <c r="O2895" s="2">
        <v>22833</v>
      </c>
    </row>
    <row r="2896" spans="1:15" x14ac:dyDescent="0.3">
      <c r="A2896" s="2">
        <v>2886</v>
      </c>
      <c r="B2896" s="1">
        <v>45047.208333333336</v>
      </c>
      <c r="C2896" s="1" t="str">
        <f t="shared" si="90"/>
        <v>05-2023</v>
      </c>
      <c r="D2896" s="2">
        <f t="shared" si="91"/>
        <v>18</v>
      </c>
      <c r="E2896" t="s">
        <v>17</v>
      </c>
      <c r="F2896" t="s">
        <v>23</v>
      </c>
      <c r="G2896" t="s">
        <v>15</v>
      </c>
      <c r="H2896" s="2">
        <v>56065</v>
      </c>
      <c r="I2896" s="2">
        <v>4</v>
      </c>
      <c r="J2896" s="2">
        <v>41489</v>
      </c>
      <c r="K2896" s="2">
        <v>87883</v>
      </c>
      <c r="L2896" s="2">
        <v>11</v>
      </c>
      <c r="M2896" t="str">
        <f>IF(Revv_bike_sales_data[[#This Row],[delivery_days]]&lt;=7, "Yes", "No")</f>
        <v>No</v>
      </c>
      <c r="N2896" t="s">
        <v>24</v>
      </c>
      <c r="O2896" s="2">
        <v>-46394</v>
      </c>
    </row>
    <row r="2897" spans="1:15" x14ac:dyDescent="0.3">
      <c r="A2897" s="2">
        <v>2887</v>
      </c>
      <c r="B2897" s="1">
        <v>45047.25</v>
      </c>
      <c r="C2897" s="1" t="str">
        <f t="shared" si="90"/>
        <v>05-2023</v>
      </c>
      <c r="D2897" s="2">
        <f t="shared" si="91"/>
        <v>18</v>
      </c>
      <c r="E2897" t="s">
        <v>17</v>
      </c>
      <c r="F2897" t="s">
        <v>14</v>
      </c>
      <c r="G2897" t="s">
        <v>21</v>
      </c>
      <c r="H2897" s="2">
        <v>48543</v>
      </c>
      <c r="I2897" s="2">
        <v>2</v>
      </c>
      <c r="J2897" s="2">
        <v>102281</v>
      </c>
      <c r="K2897" s="2">
        <v>66885</v>
      </c>
      <c r="L2897" s="2">
        <v>9</v>
      </c>
      <c r="M2897" t="str">
        <f>IF(Revv_bike_sales_data[[#This Row],[delivery_days]]&lt;=7, "Yes", "No")</f>
        <v>No</v>
      </c>
      <c r="N2897" t="s">
        <v>16</v>
      </c>
      <c r="O2897" s="2">
        <v>35396</v>
      </c>
    </row>
    <row r="2898" spans="1:15" x14ac:dyDescent="0.3">
      <c r="A2898" s="2">
        <v>2888</v>
      </c>
      <c r="B2898" s="1">
        <v>45047.291666666664</v>
      </c>
      <c r="C2898" s="1" t="str">
        <f t="shared" si="90"/>
        <v>05-2023</v>
      </c>
      <c r="D2898" s="2">
        <f t="shared" si="91"/>
        <v>18</v>
      </c>
      <c r="E2898" t="s">
        <v>25</v>
      </c>
      <c r="F2898" t="s">
        <v>14</v>
      </c>
      <c r="G2898" t="s">
        <v>21</v>
      </c>
      <c r="H2898" s="2">
        <v>73650</v>
      </c>
      <c r="I2898" s="2">
        <v>9</v>
      </c>
      <c r="J2898" s="2">
        <v>161890</v>
      </c>
      <c r="K2898" s="2">
        <v>101340</v>
      </c>
      <c r="L2898" s="2">
        <v>14</v>
      </c>
      <c r="M2898" t="str">
        <f>IF(Revv_bike_sales_data[[#This Row],[delivery_days]]&lt;=7, "Yes", "No")</f>
        <v>No</v>
      </c>
      <c r="N2898" t="s">
        <v>16</v>
      </c>
      <c r="O2898" s="2">
        <v>60550</v>
      </c>
    </row>
    <row r="2899" spans="1:15" x14ac:dyDescent="0.3">
      <c r="A2899" s="2">
        <v>2889</v>
      </c>
      <c r="B2899" s="1">
        <v>45047.333333333336</v>
      </c>
      <c r="C2899" s="1" t="str">
        <f t="shared" si="90"/>
        <v>05-2023</v>
      </c>
      <c r="D2899" s="2">
        <f t="shared" si="91"/>
        <v>18</v>
      </c>
      <c r="E2899" t="s">
        <v>18</v>
      </c>
      <c r="F2899" t="s">
        <v>14</v>
      </c>
      <c r="G2899" t="s">
        <v>19</v>
      </c>
      <c r="H2899" s="2">
        <v>64861</v>
      </c>
      <c r="I2899" s="2">
        <v>0</v>
      </c>
      <c r="J2899" s="2">
        <v>133190</v>
      </c>
      <c r="K2899" s="2">
        <v>51764</v>
      </c>
      <c r="L2899" s="2">
        <v>3</v>
      </c>
      <c r="M2899" t="str">
        <f>IF(Revv_bike_sales_data[[#This Row],[delivery_days]]&lt;=7, "Yes", "No")</f>
        <v>Yes</v>
      </c>
      <c r="N2899" t="s">
        <v>16</v>
      </c>
      <c r="O2899" s="2">
        <v>81426</v>
      </c>
    </row>
    <row r="2900" spans="1:15" x14ac:dyDescent="0.3">
      <c r="A2900" s="2">
        <v>2890</v>
      </c>
      <c r="B2900" s="1">
        <v>45047.375</v>
      </c>
      <c r="C2900" s="1" t="str">
        <f t="shared" si="90"/>
        <v>05-2023</v>
      </c>
      <c r="D2900" s="2">
        <f t="shared" si="91"/>
        <v>18</v>
      </c>
      <c r="E2900" t="s">
        <v>18</v>
      </c>
      <c r="F2900" t="s">
        <v>14</v>
      </c>
      <c r="G2900" t="s">
        <v>20</v>
      </c>
      <c r="H2900" s="2">
        <v>1745</v>
      </c>
      <c r="I2900" s="2">
        <v>7</v>
      </c>
      <c r="J2900" s="2">
        <v>149613</v>
      </c>
      <c r="K2900" s="2">
        <v>107782</v>
      </c>
      <c r="L2900" s="2">
        <v>9</v>
      </c>
      <c r="M2900" t="str">
        <f>IF(Revv_bike_sales_data[[#This Row],[delivery_days]]&lt;=7, "Yes", "No")</f>
        <v>No</v>
      </c>
      <c r="N2900" t="s">
        <v>16</v>
      </c>
      <c r="O2900" s="2">
        <v>41831</v>
      </c>
    </row>
    <row r="2901" spans="1:15" x14ac:dyDescent="0.3">
      <c r="A2901" s="2">
        <v>2891</v>
      </c>
      <c r="B2901" s="1">
        <v>45047.416666666664</v>
      </c>
      <c r="C2901" s="1" t="str">
        <f t="shared" si="90"/>
        <v>05-2023</v>
      </c>
      <c r="D2901" s="2">
        <f t="shared" si="91"/>
        <v>18</v>
      </c>
      <c r="E2901" t="s">
        <v>17</v>
      </c>
      <c r="F2901" t="s">
        <v>23</v>
      </c>
      <c r="G2901" t="s">
        <v>19</v>
      </c>
      <c r="H2901" s="2">
        <v>41511</v>
      </c>
      <c r="I2901" s="2">
        <v>6</v>
      </c>
      <c r="J2901" s="2">
        <v>129222</v>
      </c>
      <c r="K2901" s="2">
        <v>77126</v>
      </c>
      <c r="L2901" s="2">
        <v>1</v>
      </c>
      <c r="M2901" t="str">
        <f>IF(Revv_bike_sales_data[[#This Row],[delivery_days]]&lt;=7, "Yes", "No")</f>
        <v>Yes</v>
      </c>
      <c r="N2901" t="s">
        <v>16</v>
      </c>
      <c r="O2901" s="2">
        <v>52096</v>
      </c>
    </row>
    <row r="2902" spans="1:15" x14ac:dyDescent="0.3">
      <c r="A2902" s="2">
        <v>2892</v>
      </c>
      <c r="B2902" s="1">
        <v>45047.458333333336</v>
      </c>
      <c r="C2902" s="1" t="str">
        <f t="shared" si="90"/>
        <v>05-2023</v>
      </c>
      <c r="D2902" s="2">
        <f t="shared" si="91"/>
        <v>18</v>
      </c>
      <c r="E2902" t="s">
        <v>13</v>
      </c>
      <c r="F2902" t="s">
        <v>14</v>
      </c>
      <c r="G2902" t="s">
        <v>21</v>
      </c>
      <c r="H2902" s="2">
        <v>10855</v>
      </c>
      <c r="I2902" s="2">
        <v>6</v>
      </c>
      <c r="J2902" s="2">
        <v>26316</v>
      </c>
      <c r="K2902" s="2">
        <v>122994</v>
      </c>
      <c r="L2902" s="2">
        <v>7</v>
      </c>
      <c r="M2902" t="str">
        <f>IF(Revv_bike_sales_data[[#This Row],[delivery_days]]&lt;=7, "Yes", "No")</f>
        <v>Yes</v>
      </c>
      <c r="N2902" t="s">
        <v>24</v>
      </c>
      <c r="O2902" s="2">
        <v>-96678</v>
      </c>
    </row>
    <row r="2903" spans="1:15" x14ac:dyDescent="0.3">
      <c r="A2903" s="2">
        <v>2893</v>
      </c>
      <c r="B2903" s="1">
        <v>45047.5</v>
      </c>
      <c r="C2903" s="1" t="str">
        <f t="shared" si="90"/>
        <v>05-2023</v>
      </c>
      <c r="D2903" s="2">
        <f t="shared" si="91"/>
        <v>18</v>
      </c>
      <c r="E2903" t="s">
        <v>25</v>
      </c>
      <c r="F2903" t="s">
        <v>14</v>
      </c>
      <c r="G2903" t="s">
        <v>20</v>
      </c>
      <c r="H2903" s="2">
        <v>99341</v>
      </c>
      <c r="I2903" s="2">
        <v>9</v>
      </c>
      <c r="J2903" s="2">
        <v>85046</v>
      </c>
      <c r="K2903" s="2">
        <v>82224</v>
      </c>
      <c r="L2903" s="2">
        <v>4</v>
      </c>
      <c r="M2903" t="str">
        <f>IF(Revv_bike_sales_data[[#This Row],[delivery_days]]&lt;=7, "Yes", "No")</f>
        <v>Yes</v>
      </c>
      <c r="N2903" t="s">
        <v>16</v>
      </c>
      <c r="O2903" s="2">
        <v>2822</v>
      </c>
    </row>
    <row r="2904" spans="1:15" x14ac:dyDescent="0.3">
      <c r="A2904" s="2">
        <v>2894</v>
      </c>
      <c r="B2904" s="1">
        <v>45047.541666666664</v>
      </c>
      <c r="C2904" s="1" t="str">
        <f t="shared" si="90"/>
        <v>05-2023</v>
      </c>
      <c r="D2904" s="2">
        <f t="shared" si="91"/>
        <v>18</v>
      </c>
      <c r="E2904" t="s">
        <v>17</v>
      </c>
      <c r="F2904" t="s">
        <v>14</v>
      </c>
      <c r="G2904" t="s">
        <v>15</v>
      </c>
      <c r="H2904" s="2">
        <v>49192</v>
      </c>
      <c r="I2904" s="2">
        <v>9</v>
      </c>
      <c r="J2904" s="2">
        <v>103643</v>
      </c>
      <c r="K2904" s="2">
        <v>62055</v>
      </c>
      <c r="L2904" s="2">
        <v>7</v>
      </c>
      <c r="M2904" t="str">
        <f>IF(Revv_bike_sales_data[[#This Row],[delivery_days]]&lt;=7, "Yes", "No")</f>
        <v>Yes</v>
      </c>
      <c r="N2904" t="s">
        <v>16</v>
      </c>
      <c r="O2904" s="2">
        <v>41588</v>
      </c>
    </row>
    <row r="2905" spans="1:15" x14ac:dyDescent="0.3">
      <c r="A2905" s="2">
        <v>2895</v>
      </c>
      <c r="B2905" s="1">
        <v>45047.583333333336</v>
      </c>
      <c r="C2905" s="1" t="str">
        <f t="shared" si="90"/>
        <v>05-2023</v>
      </c>
      <c r="D2905" s="2">
        <f t="shared" si="91"/>
        <v>18</v>
      </c>
      <c r="E2905" t="s">
        <v>17</v>
      </c>
      <c r="F2905" t="s">
        <v>23</v>
      </c>
      <c r="G2905" t="s">
        <v>21</v>
      </c>
      <c r="H2905" s="2">
        <v>49504</v>
      </c>
      <c r="I2905" s="2">
        <v>9</v>
      </c>
      <c r="J2905" s="2">
        <v>122504</v>
      </c>
      <c r="K2905" s="2">
        <v>66599</v>
      </c>
      <c r="L2905" s="2">
        <v>14</v>
      </c>
      <c r="M2905" t="str">
        <f>IF(Revv_bike_sales_data[[#This Row],[delivery_days]]&lt;=7, "Yes", "No")</f>
        <v>No</v>
      </c>
      <c r="N2905" t="s">
        <v>16</v>
      </c>
      <c r="O2905" s="2">
        <v>55905</v>
      </c>
    </row>
    <row r="2906" spans="1:15" x14ac:dyDescent="0.3">
      <c r="A2906" s="2">
        <v>2896</v>
      </c>
      <c r="B2906" s="1">
        <v>45047.625</v>
      </c>
      <c r="C2906" s="1" t="str">
        <f t="shared" si="90"/>
        <v>05-2023</v>
      </c>
      <c r="D2906" s="2">
        <f t="shared" si="91"/>
        <v>18</v>
      </c>
      <c r="E2906" t="s">
        <v>25</v>
      </c>
      <c r="F2906" t="s">
        <v>14</v>
      </c>
      <c r="G2906" t="s">
        <v>21</v>
      </c>
      <c r="H2906" s="2">
        <v>30214</v>
      </c>
      <c r="I2906" s="2">
        <v>3</v>
      </c>
      <c r="J2906" s="2">
        <v>140594</v>
      </c>
      <c r="K2906" s="2">
        <v>97787</v>
      </c>
      <c r="L2906" s="2">
        <v>10</v>
      </c>
      <c r="M2906" t="str">
        <f>IF(Revv_bike_sales_data[[#This Row],[delivery_days]]&lt;=7, "Yes", "No")</f>
        <v>No</v>
      </c>
      <c r="N2906" t="s">
        <v>24</v>
      </c>
      <c r="O2906" s="2">
        <v>42807</v>
      </c>
    </row>
    <row r="2907" spans="1:15" x14ac:dyDescent="0.3">
      <c r="A2907" s="2">
        <v>2897</v>
      </c>
      <c r="B2907" s="1">
        <v>45047.666666666664</v>
      </c>
      <c r="C2907" s="1" t="str">
        <f t="shared" si="90"/>
        <v>05-2023</v>
      </c>
      <c r="D2907" s="2">
        <f t="shared" si="91"/>
        <v>18</v>
      </c>
      <c r="E2907" t="s">
        <v>25</v>
      </c>
      <c r="F2907" t="s">
        <v>14</v>
      </c>
      <c r="G2907" t="s">
        <v>20</v>
      </c>
      <c r="H2907" s="2">
        <v>17698</v>
      </c>
      <c r="I2907" s="2">
        <v>5</v>
      </c>
      <c r="J2907" s="2">
        <v>89042</v>
      </c>
      <c r="K2907" s="2">
        <v>93040</v>
      </c>
      <c r="L2907" s="2">
        <v>6</v>
      </c>
      <c r="M2907" t="str">
        <f>IF(Revv_bike_sales_data[[#This Row],[delivery_days]]&lt;=7, "Yes", "No")</f>
        <v>Yes</v>
      </c>
      <c r="N2907" t="s">
        <v>16</v>
      </c>
      <c r="O2907" s="2">
        <v>-3998</v>
      </c>
    </row>
    <row r="2908" spans="1:15" x14ac:dyDescent="0.3">
      <c r="A2908" s="2">
        <v>2898</v>
      </c>
      <c r="B2908" s="1">
        <v>45047.708333333336</v>
      </c>
      <c r="C2908" s="1" t="str">
        <f t="shared" si="90"/>
        <v>05-2023</v>
      </c>
      <c r="D2908" s="2">
        <f t="shared" si="91"/>
        <v>18</v>
      </c>
      <c r="E2908" t="s">
        <v>18</v>
      </c>
      <c r="F2908" t="s">
        <v>14</v>
      </c>
      <c r="G2908" t="s">
        <v>21</v>
      </c>
      <c r="H2908" s="2">
        <v>67451</v>
      </c>
      <c r="I2908" s="2">
        <v>8</v>
      </c>
      <c r="J2908" s="2">
        <v>153295</v>
      </c>
      <c r="K2908" s="2">
        <v>54720</v>
      </c>
      <c r="L2908" s="2">
        <v>4</v>
      </c>
      <c r="M2908" t="str">
        <f>IF(Revv_bike_sales_data[[#This Row],[delivery_days]]&lt;=7, "Yes", "No")</f>
        <v>Yes</v>
      </c>
      <c r="N2908" t="s">
        <v>16</v>
      </c>
      <c r="O2908" s="2">
        <v>98575</v>
      </c>
    </row>
    <row r="2909" spans="1:15" x14ac:dyDescent="0.3">
      <c r="A2909" s="2">
        <v>2899</v>
      </c>
      <c r="B2909" s="1">
        <v>45047.75</v>
      </c>
      <c r="C2909" s="1" t="str">
        <f t="shared" si="90"/>
        <v>05-2023</v>
      </c>
      <c r="D2909" s="2">
        <f t="shared" si="91"/>
        <v>18</v>
      </c>
      <c r="E2909" t="s">
        <v>13</v>
      </c>
      <c r="F2909" t="s">
        <v>14</v>
      </c>
      <c r="G2909" t="s">
        <v>21</v>
      </c>
      <c r="H2909" s="2">
        <v>2152</v>
      </c>
      <c r="I2909" s="2">
        <v>2</v>
      </c>
      <c r="J2909" s="2">
        <v>179174</v>
      </c>
      <c r="K2909" s="2">
        <v>108120</v>
      </c>
      <c r="L2909" s="2">
        <v>4</v>
      </c>
      <c r="M2909" t="str">
        <f>IF(Revv_bike_sales_data[[#This Row],[delivery_days]]&lt;=7, "Yes", "No")</f>
        <v>Yes</v>
      </c>
      <c r="N2909" t="s">
        <v>16</v>
      </c>
      <c r="O2909" s="2">
        <v>71054</v>
      </c>
    </row>
    <row r="2910" spans="1:15" x14ac:dyDescent="0.3">
      <c r="A2910" s="2">
        <v>2900</v>
      </c>
      <c r="B2910" s="1">
        <v>45047.791666666664</v>
      </c>
      <c r="C2910" s="1" t="str">
        <f t="shared" si="90"/>
        <v>05-2023</v>
      </c>
      <c r="D2910" s="2">
        <f t="shared" si="91"/>
        <v>18</v>
      </c>
      <c r="E2910" t="s">
        <v>13</v>
      </c>
      <c r="F2910" t="s">
        <v>14</v>
      </c>
      <c r="G2910" t="s">
        <v>21</v>
      </c>
      <c r="H2910" s="2">
        <v>44125</v>
      </c>
      <c r="I2910" s="2">
        <v>8</v>
      </c>
      <c r="J2910" s="2">
        <v>139430</v>
      </c>
      <c r="K2910" s="2">
        <v>59484</v>
      </c>
      <c r="L2910" s="2">
        <v>8</v>
      </c>
      <c r="M2910" t="str">
        <f>IF(Revv_bike_sales_data[[#This Row],[delivery_days]]&lt;=7, "Yes", "No")</f>
        <v>No</v>
      </c>
      <c r="N2910" t="s">
        <v>16</v>
      </c>
      <c r="O2910" s="2">
        <v>79946</v>
      </c>
    </row>
    <row r="2911" spans="1:15" x14ac:dyDescent="0.3">
      <c r="A2911" s="2">
        <v>2901</v>
      </c>
      <c r="B2911" s="1">
        <v>45047.833333333336</v>
      </c>
      <c r="C2911" s="1" t="str">
        <f t="shared" si="90"/>
        <v>05-2023</v>
      </c>
      <c r="D2911" s="2">
        <f t="shared" si="91"/>
        <v>18</v>
      </c>
      <c r="E2911" t="s">
        <v>25</v>
      </c>
      <c r="F2911" t="s">
        <v>14</v>
      </c>
      <c r="G2911" t="s">
        <v>21</v>
      </c>
      <c r="H2911" s="2">
        <v>86482</v>
      </c>
      <c r="I2911" s="2">
        <v>3</v>
      </c>
      <c r="J2911" s="2">
        <v>150782</v>
      </c>
      <c r="K2911" s="2">
        <v>129067</v>
      </c>
      <c r="L2911" s="2">
        <v>7</v>
      </c>
      <c r="M2911" t="str">
        <f>IF(Revv_bike_sales_data[[#This Row],[delivery_days]]&lt;=7, "Yes", "No")</f>
        <v>Yes</v>
      </c>
      <c r="N2911" t="s">
        <v>16</v>
      </c>
      <c r="O2911" s="2">
        <v>21715</v>
      </c>
    </row>
    <row r="2912" spans="1:15" x14ac:dyDescent="0.3">
      <c r="A2912" s="2">
        <v>2902</v>
      </c>
      <c r="B2912" s="1">
        <v>45047.875</v>
      </c>
      <c r="C2912" s="1" t="str">
        <f t="shared" si="90"/>
        <v>05-2023</v>
      </c>
      <c r="D2912" s="2">
        <f t="shared" si="91"/>
        <v>18</v>
      </c>
      <c r="E2912" t="s">
        <v>22</v>
      </c>
      <c r="F2912" t="s">
        <v>14</v>
      </c>
      <c r="G2912" t="s">
        <v>21</v>
      </c>
      <c r="H2912" s="2">
        <v>19240</v>
      </c>
      <c r="I2912" s="2">
        <v>4</v>
      </c>
      <c r="J2912" s="2">
        <v>168944</v>
      </c>
      <c r="K2912" s="2">
        <v>53852</v>
      </c>
      <c r="L2912" s="2">
        <v>4</v>
      </c>
      <c r="M2912" t="str">
        <f>IF(Revv_bike_sales_data[[#This Row],[delivery_days]]&lt;=7, "Yes", "No")</f>
        <v>Yes</v>
      </c>
      <c r="N2912" t="s">
        <v>16</v>
      </c>
      <c r="O2912" s="2">
        <v>115092</v>
      </c>
    </row>
    <row r="2913" spans="1:15" x14ac:dyDescent="0.3">
      <c r="A2913" s="2">
        <v>2903</v>
      </c>
      <c r="B2913" s="1">
        <v>45047.916666666664</v>
      </c>
      <c r="C2913" s="1" t="str">
        <f t="shared" si="90"/>
        <v>05-2023</v>
      </c>
      <c r="D2913" s="2">
        <f t="shared" si="91"/>
        <v>18</v>
      </c>
      <c r="E2913" t="s">
        <v>17</v>
      </c>
      <c r="F2913" t="s">
        <v>14</v>
      </c>
      <c r="G2913" t="s">
        <v>21</v>
      </c>
      <c r="H2913" s="2">
        <v>4310</v>
      </c>
      <c r="I2913" s="2">
        <v>6</v>
      </c>
      <c r="J2913" s="2">
        <v>75094</v>
      </c>
      <c r="K2913" s="2">
        <v>28219</v>
      </c>
      <c r="L2913" s="2">
        <v>11</v>
      </c>
      <c r="M2913" t="str">
        <f>IF(Revv_bike_sales_data[[#This Row],[delivery_days]]&lt;=7, "Yes", "No")</f>
        <v>No</v>
      </c>
      <c r="N2913" t="s">
        <v>24</v>
      </c>
      <c r="O2913" s="2">
        <v>46875</v>
      </c>
    </row>
    <row r="2914" spans="1:15" x14ac:dyDescent="0.3">
      <c r="A2914" s="2">
        <v>2904</v>
      </c>
      <c r="B2914" s="1">
        <v>45047.958333333336</v>
      </c>
      <c r="C2914" s="1" t="str">
        <f t="shared" si="90"/>
        <v>05-2023</v>
      </c>
      <c r="D2914" s="2">
        <f t="shared" si="91"/>
        <v>18</v>
      </c>
      <c r="E2914" t="s">
        <v>17</v>
      </c>
      <c r="F2914" t="s">
        <v>14</v>
      </c>
      <c r="G2914" t="s">
        <v>21</v>
      </c>
      <c r="H2914" s="2">
        <v>17069</v>
      </c>
      <c r="I2914" s="2">
        <v>5</v>
      </c>
      <c r="J2914" s="2">
        <v>72719</v>
      </c>
      <c r="K2914" s="2">
        <v>123508</v>
      </c>
      <c r="L2914" s="2">
        <v>6</v>
      </c>
      <c r="M2914" t="str">
        <f>IF(Revv_bike_sales_data[[#This Row],[delivery_days]]&lt;=7, "Yes", "No")</f>
        <v>Yes</v>
      </c>
      <c r="N2914" t="s">
        <v>24</v>
      </c>
      <c r="O2914" s="2">
        <v>-50789</v>
      </c>
    </row>
    <row r="2915" spans="1:15" x14ac:dyDescent="0.3">
      <c r="A2915" s="2">
        <v>2905</v>
      </c>
      <c r="B2915" s="1">
        <v>45048</v>
      </c>
      <c r="C2915" s="1" t="str">
        <f t="shared" si="90"/>
        <v>05-2023</v>
      </c>
      <c r="D2915" s="2">
        <f t="shared" si="91"/>
        <v>18</v>
      </c>
      <c r="E2915" t="s">
        <v>25</v>
      </c>
      <c r="F2915" t="s">
        <v>23</v>
      </c>
      <c r="G2915" t="s">
        <v>21</v>
      </c>
      <c r="H2915" s="2">
        <v>79620</v>
      </c>
      <c r="I2915" s="2">
        <v>9</v>
      </c>
      <c r="J2915" s="2">
        <v>146103</v>
      </c>
      <c r="K2915" s="2">
        <v>105351</v>
      </c>
      <c r="L2915" s="2">
        <v>6</v>
      </c>
      <c r="M2915" t="str">
        <f>IF(Revv_bike_sales_data[[#This Row],[delivery_days]]&lt;=7, "Yes", "No")</f>
        <v>Yes</v>
      </c>
      <c r="N2915" t="s">
        <v>16</v>
      </c>
      <c r="O2915" s="2">
        <v>40752</v>
      </c>
    </row>
    <row r="2916" spans="1:15" x14ac:dyDescent="0.3">
      <c r="A2916" s="2">
        <v>2906</v>
      </c>
      <c r="B2916" s="1">
        <v>45048.041666666664</v>
      </c>
      <c r="C2916" s="1" t="str">
        <f t="shared" si="90"/>
        <v>05-2023</v>
      </c>
      <c r="D2916" s="2">
        <f t="shared" si="91"/>
        <v>18</v>
      </c>
      <c r="E2916" t="s">
        <v>22</v>
      </c>
      <c r="F2916" t="s">
        <v>14</v>
      </c>
      <c r="G2916" t="s">
        <v>15</v>
      </c>
      <c r="H2916" s="2">
        <v>27283</v>
      </c>
      <c r="I2916" s="2">
        <v>7</v>
      </c>
      <c r="J2916" s="2">
        <v>153826</v>
      </c>
      <c r="K2916" s="2">
        <v>63865</v>
      </c>
      <c r="L2916" s="2">
        <v>1</v>
      </c>
      <c r="M2916" t="str">
        <f>IF(Revv_bike_sales_data[[#This Row],[delivery_days]]&lt;=7, "Yes", "No")</f>
        <v>Yes</v>
      </c>
      <c r="N2916" t="s">
        <v>16</v>
      </c>
      <c r="O2916" s="2">
        <v>89961</v>
      </c>
    </row>
    <row r="2917" spans="1:15" x14ac:dyDescent="0.3">
      <c r="A2917" s="2">
        <v>2907</v>
      </c>
      <c r="B2917" s="1">
        <v>45048.083333333336</v>
      </c>
      <c r="C2917" s="1" t="str">
        <f t="shared" si="90"/>
        <v>05-2023</v>
      </c>
      <c r="D2917" s="2">
        <f t="shared" si="91"/>
        <v>18</v>
      </c>
      <c r="E2917" t="s">
        <v>18</v>
      </c>
      <c r="F2917" t="s">
        <v>23</v>
      </c>
      <c r="G2917" t="s">
        <v>21</v>
      </c>
      <c r="H2917" s="2">
        <v>99565</v>
      </c>
      <c r="I2917" s="2">
        <v>7</v>
      </c>
      <c r="J2917" s="2">
        <v>175765</v>
      </c>
      <c r="K2917" s="2">
        <v>69457</v>
      </c>
      <c r="L2917" s="2">
        <v>13</v>
      </c>
      <c r="M2917" t="str">
        <f>IF(Revv_bike_sales_data[[#This Row],[delivery_days]]&lt;=7, "Yes", "No")</f>
        <v>No</v>
      </c>
      <c r="N2917" t="s">
        <v>16</v>
      </c>
      <c r="O2917" s="2">
        <v>106308</v>
      </c>
    </row>
    <row r="2918" spans="1:15" x14ac:dyDescent="0.3">
      <c r="A2918" s="2">
        <v>2908</v>
      </c>
      <c r="B2918" s="1">
        <v>45048.125</v>
      </c>
      <c r="C2918" s="1" t="str">
        <f t="shared" si="90"/>
        <v>05-2023</v>
      </c>
      <c r="D2918" s="2">
        <f t="shared" si="91"/>
        <v>18</v>
      </c>
      <c r="E2918" t="s">
        <v>25</v>
      </c>
      <c r="F2918" t="s">
        <v>14</v>
      </c>
      <c r="G2918" t="s">
        <v>15</v>
      </c>
      <c r="H2918" s="2">
        <v>78547</v>
      </c>
      <c r="I2918" s="2">
        <v>7</v>
      </c>
      <c r="J2918" s="2">
        <v>75478</v>
      </c>
      <c r="K2918" s="2">
        <v>105159</v>
      </c>
      <c r="L2918" s="2">
        <v>2</v>
      </c>
      <c r="M2918" t="str">
        <f>IF(Revv_bike_sales_data[[#This Row],[delivery_days]]&lt;=7, "Yes", "No")</f>
        <v>Yes</v>
      </c>
      <c r="N2918" t="s">
        <v>16</v>
      </c>
      <c r="O2918" s="2">
        <v>-29681</v>
      </c>
    </row>
    <row r="2919" spans="1:15" x14ac:dyDescent="0.3">
      <c r="A2919" s="2">
        <v>2909</v>
      </c>
      <c r="B2919" s="1">
        <v>45048.166666666664</v>
      </c>
      <c r="C2919" s="1" t="str">
        <f t="shared" si="90"/>
        <v>05-2023</v>
      </c>
      <c r="D2919" s="2">
        <f t="shared" si="91"/>
        <v>18</v>
      </c>
      <c r="E2919" t="s">
        <v>25</v>
      </c>
      <c r="F2919" t="s">
        <v>14</v>
      </c>
      <c r="G2919" t="s">
        <v>15</v>
      </c>
      <c r="H2919" s="2">
        <v>9971</v>
      </c>
      <c r="I2919" s="2">
        <v>2</v>
      </c>
      <c r="J2919" s="2">
        <v>68677</v>
      </c>
      <c r="K2919" s="2">
        <v>51817</v>
      </c>
      <c r="L2919" s="2">
        <v>4</v>
      </c>
      <c r="M2919" t="str">
        <f>IF(Revv_bike_sales_data[[#This Row],[delivery_days]]&lt;=7, "Yes", "No")</f>
        <v>Yes</v>
      </c>
      <c r="N2919" t="s">
        <v>16</v>
      </c>
      <c r="O2919" s="2">
        <v>16860</v>
      </c>
    </row>
    <row r="2920" spans="1:15" x14ac:dyDescent="0.3">
      <c r="A2920" s="2">
        <v>2910</v>
      </c>
      <c r="B2920" s="1">
        <v>45048.208333333336</v>
      </c>
      <c r="C2920" s="1" t="str">
        <f t="shared" si="90"/>
        <v>05-2023</v>
      </c>
      <c r="D2920" s="2">
        <f t="shared" si="91"/>
        <v>18</v>
      </c>
      <c r="E2920" t="s">
        <v>17</v>
      </c>
      <c r="F2920" t="s">
        <v>23</v>
      </c>
      <c r="G2920" t="s">
        <v>19</v>
      </c>
      <c r="H2920" s="2">
        <v>6663</v>
      </c>
      <c r="I2920" s="2">
        <v>9</v>
      </c>
      <c r="J2920" s="2">
        <v>166832</v>
      </c>
      <c r="K2920" s="2">
        <v>83993</v>
      </c>
      <c r="L2920" s="2">
        <v>6</v>
      </c>
      <c r="M2920" t="str">
        <f>IF(Revv_bike_sales_data[[#This Row],[delivery_days]]&lt;=7, "Yes", "No")</f>
        <v>Yes</v>
      </c>
      <c r="N2920" t="s">
        <v>16</v>
      </c>
      <c r="O2920" s="2">
        <v>82839</v>
      </c>
    </row>
    <row r="2921" spans="1:15" x14ac:dyDescent="0.3">
      <c r="A2921" s="2">
        <v>2911</v>
      </c>
      <c r="B2921" s="1">
        <v>45048.25</v>
      </c>
      <c r="C2921" s="1" t="str">
        <f t="shared" si="90"/>
        <v>05-2023</v>
      </c>
      <c r="D2921" s="2">
        <f t="shared" si="91"/>
        <v>18</v>
      </c>
      <c r="E2921" t="s">
        <v>25</v>
      </c>
      <c r="F2921" t="s">
        <v>14</v>
      </c>
      <c r="G2921" t="s">
        <v>19</v>
      </c>
      <c r="H2921" s="2">
        <v>63587</v>
      </c>
      <c r="I2921" s="2">
        <v>5</v>
      </c>
      <c r="J2921" s="2">
        <v>36584</v>
      </c>
      <c r="K2921" s="2">
        <v>108391</v>
      </c>
      <c r="L2921" s="2">
        <v>6</v>
      </c>
      <c r="M2921" t="str">
        <f>IF(Revv_bike_sales_data[[#This Row],[delivery_days]]&lt;=7, "Yes", "No")</f>
        <v>Yes</v>
      </c>
      <c r="N2921" t="s">
        <v>16</v>
      </c>
      <c r="O2921" s="2">
        <v>-71807</v>
      </c>
    </row>
    <row r="2922" spans="1:15" x14ac:dyDescent="0.3">
      <c r="A2922" s="2">
        <v>2912</v>
      </c>
      <c r="B2922" s="1">
        <v>45048.291666666664</v>
      </c>
      <c r="C2922" s="1" t="str">
        <f t="shared" si="90"/>
        <v>05-2023</v>
      </c>
      <c r="D2922" s="2">
        <f t="shared" si="91"/>
        <v>18</v>
      </c>
      <c r="E2922" t="s">
        <v>25</v>
      </c>
      <c r="F2922" t="s">
        <v>14</v>
      </c>
      <c r="G2922" t="s">
        <v>15</v>
      </c>
      <c r="H2922" s="2">
        <v>62571</v>
      </c>
      <c r="I2922" s="2">
        <v>6</v>
      </c>
      <c r="J2922" s="2">
        <v>27106</v>
      </c>
      <c r="K2922" s="2">
        <v>67380</v>
      </c>
      <c r="L2922" s="2">
        <v>1</v>
      </c>
      <c r="M2922" t="str">
        <f>IF(Revv_bike_sales_data[[#This Row],[delivery_days]]&lt;=7, "Yes", "No")</f>
        <v>Yes</v>
      </c>
      <c r="N2922" t="s">
        <v>16</v>
      </c>
      <c r="O2922" s="2">
        <v>-40274</v>
      </c>
    </row>
    <row r="2923" spans="1:15" x14ac:dyDescent="0.3">
      <c r="A2923" s="2">
        <v>2913</v>
      </c>
      <c r="B2923" s="1">
        <v>45048.333333333336</v>
      </c>
      <c r="C2923" s="1" t="str">
        <f t="shared" si="90"/>
        <v>05-2023</v>
      </c>
      <c r="D2923" s="2">
        <f t="shared" si="91"/>
        <v>18</v>
      </c>
      <c r="E2923" t="s">
        <v>25</v>
      </c>
      <c r="F2923" t="s">
        <v>23</v>
      </c>
      <c r="G2923" t="s">
        <v>15</v>
      </c>
      <c r="H2923" s="2">
        <v>16565</v>
      </c>
      <c r="I2923" s="2">
        <v>8</v>
      </c>
      <c r="J2923" s="2">
        <v>169741</v>
      </c>
      <c r="K2923" s="2">
        <v>65400</v>
      </c>
      <c r="L2923" s="2">
        <v>8</v>
      </c>
      <c r="M2923" t="str">
        <f>IF(Revv_bike_sales_data[[#This Row],[delivery_days]]&lt;=7, "Yes", "No")</f>
        <v>No</v>
      </c>
      <c r="N2923" t="s">
        <v>16</v>
      </c>
      <c r="O2923" s="2">
        <v>104341</v>
      </c>
    </row>
    <row r="2924" spans="1:15" x14ac:dyDescent="0.3">
      <c r="A2924" s="2">
        <v>2914</v>
      </c>
      <c r="B2924" s="1">
        <v>45048.375</v>
      </c>
      <c r="C2924" s="1" t="str">
        <f t="shared" si="90"/>
        <v>05-2023</v>
      </c>
      <c r="D2924" s="2">
        <f t="shared" si="91"/>
        <v>18</v>
      </c>
      <c r="E2924" t="s">
        <v>17</v>
      </c>
      <c r="F2924" t="s">
        <v>14</v>
      </c>
      <c r="G2924" t="s">
        <v>21</v>
      </c>
      <c r="H2924" s="2">
        <v>83956</v>
      </c>
      <c r="I2924" s="2">
        <v>9</v>
      </c>
      <c r="J2924" s="2">
        <v>50223</v>
      </c>
      <c r="K2924" s="2">
        <v>130855</v>
      </c>
      <c r="L2924" s="2">
        <v>2</v>
      </c>
      <c r="M2924" t="str">
        <f>IF(Revv_bike_sales_data[[#This Row],[delivery_days]]&lt;=7, "Yes", "No")</f>
        <v>Yes</v>
      </c>
      <c r="N2924" t="s">
        <v>24</v>
      </c>
      <c r="O2924" s="2">
        <v>-80632</v>
      </c>
    </row>
    <row r="2925" spans="1:15" x14ac:dyDescent="0.3">
      <c r="A2925" s="2">
        <v>2915</v>
      </c>
      <c r="B2925" s="1">
        <v>45048.416666666664</v>
      </c>
      <c r="C2925" s="1" t="str">
        <f t="shared" si="90"/>
        <v>05-2023</v>
      </c>
      <c r="D2925" s="2">
        <f t="shared" si="91"/>
        <v>18</v>
      </c>
      <c r="E2925" t="s">
        <v>18</v>
      </c>
      <c r="F2925" t="s">
        <v>14</v>
      </c>
      <c r="G2925" t="s">
        <v>19</v>
      </c>
      <c r="H2925" s="2">
        <v>48848</v>
      </c>
      <c r="I2925" s="2">
        <v>9</v>
      </c>
      <c r="J2925" s="2">
        <v>60706</v>
      </c>
      <c r="K2925" s="2">
        <v>51258</v>
      </c>
      <c r="L2925" s="2">
        <v>13</v>
      </c>
      <c r="M2925" t="str">
        <f>IF(Revv_bike_sales_data[[#This Row],[delivery_days]]&lt;=7, "Yes", "No")</f>
        <v>No</v>
      </c>
      <c r="N2925" t="s">
        <v>16</v>
      </c>
      <c r="O2925" s="2">
        <v>9448</v>
      </c>
    </row>
    <row r="2926" spans="1:15" x14ac:dyDescent="0.3">
      <c r="A2926" s="2">
        <v>2916</v>
      </c>
      <c r="B2926" s="1">
        <v>45048.458333333336</v>
      </c>
      <c r="C2926" s="1" t="str">
        <f t="shared" si="90"/>
        <v>05-2023</v>
      </c>
      <c r="D2926" s="2">
        <f t="shared" si="91"/>
        <v>18</v>
      </c>
      <c r="E2926" t="s">
        <v>18</v>
      </c>
      <c r="F2926" t="s">
        <v>14</v>
      </c>
      <c r="G2926" t="s">
        <v>20</v>
      </c>
      <c r="H2926" s="2">
        <v>19654</v>
      </c>
      <c r="I2926" s="2">
        <v>3</v>
      </c>
      <c r="J2926" s="2">
        <v>85369</v>
      </c>
      <c r="K2926" s="2">
        <v>96006</v>
      </c>
      <c r="L2926" s="2">
        <v>5</v>
      </c>
      <c r="M2926" t="str">
        <f>IF(Revv_bike_sales_data[[#This Row],[delivery_days]]&lt;=7, "Yes", "No")</f>
        <v>Yes</v>
      </c>
      <c r="N2926" t="s">
        <v>16</v>
      </c>
      <c r="O2926" s="2">
        <v>-10637</v>
      </c>
    </row>
    <row r="2927" spans="1:15" x14ac:dyDescent="0.3">
      <c r="A2927" s="2">
        <v>2917</v>
      </c>
      <c r="B2927" s="1">
        <v>45048.5</v>
      </c>
      <c r="C2927" s="1" t="str">
        <f t="shared" si="90"/>
        <v>05-2023</v>
      </c>
      <c r="D2927" s="2">
        <f t="shared" si="91"/>
        <v>18</v>
      </c>
      <c r="E2927" t="s">
        <v>25</v>
      </c>
      <c r="F2927" t="s">
        <v>14</v>
      </c>
      <c r="G2927" t="s">
        <v>19</v>
      </c>
      <c r="H2927" s="2">
        <v>20729</v>
      </c>
      <c r="I2927" s="2">
        <v>4</v>
      </c>
      <c r="J2927" s="2">
        <v>35015</v>
      </c>
      <c r="K2927" s="2">
        <v>63957</v>
      </c>
      <c r="L2927" s="2">
        <v>4</v>
      </c>
      <c r="M2927" t="str">
        <f>IF(Revv_bike_sales_data[[#This Row],[delivery_days]]&lt;=7, "Yes", "No")</f>
        <v>Yes</v>
      </c>
      <c r="N2927" t="s">
        <v>16</v>
      </c>
      <c r="O2927" s="2">
        <v>-28942</v>
      </c>
    </row>
    <row r="2928" spans="1:15" x14ac:dyDescent="0.3">
      <c r="A2928" s="2">
        <v>2918</v>
      </c>
      <c r="B2928" s="1">
        <v>45048.541666666664</v>
      </c>
      <c r="C2928" s="1" t="str">
        <f t="shared" si="90"/>
        <v>05-2023</v>
      </c>
      <c r="D2928" s="2">
        <f t="shared" si="91"/>
        <v>18</v>
      </c>
      <c r="E2928" t="s">
        <v>17</v>
      </c>
      <c r="F2928" t="s">
        <v>14</v>
      </c>
      <c r="G2928" t="s">
        <v>15</v>
      </c>
      <c r="H2928" s="2">
        <v>53087</v>
      </c>
      <c r="I2928" s="2">
        <v>7</v>
      </c>
      <c r="J2928" s="2">
        <v>107164</v>
      </c>
      <c r="K2928" s="2">
        <v>126466</v>
      </c>
      <c r="L2928" s="2">
        <v>5</v>
      </c>
      <c r="M2928" t="str">
        <f>IF(Revv_bike_sales_data[[#This Row],[delivery_days]]&lt;=7, "Yes", "No")</f>
        <v>Yes</v>
      </c>
      <c r="N2928" t="s">
        <v>16</v>
      </c>
      <c r="O2928" s="2">
        <v>-19302</v>
      </c>
    </row>
    <row r="2929" spans="1:15" x14ac:dyDescent="0.3">
      <c r="A2929" s="2">
        <v>2919</v>
      </c>
      <c r="B2929" s="1">
        <v>45048.583333333336</v>
      </c>
      <c r="C2929" s="1" t="str">
        <f t="shared" si="90"/>
        <v>05-2023</v>
      </c>
      <c r="D2929" s="2">
        <f t="shared" si="91"/>
        <v>18</v>
      </c>
      <c r="E2929" t="s">
        <v>18</v>
      </c>
      <c r="F2929" t="s">
        <v>14</v>
      </c>
      <c r="G2929" t="s">
        <v>15</v>
      </c>
      <c r="H2929" s="2">
        <v>50213</v>
      </c>
      <c r="I2929" s="2">
        <v>0</v>
      </c>
      <c r="J2929" s="2">
        <v>76500</v>
      </c>
      <c r="K2929" s="2">
        <v>33281</v>
      </c>
      <c r="L2929" s="2">
        <v>5</v>
      </c>
      <c r="M2929" t="str">
        <f>IF(Revv_bike_sales_data[[#This Row],[delivery_days]]&lt;=7, "Yes", "No")</f>
        <v>Yes</v>
      </c>
      <c r="N2929" t="s">
        <v>16</v>
      </c>
      <c r="O2929" s="2">
        <v>43219</v>
      </c>
    </row>
    <row r="2930" spans="1:15" x14ac:dyDescent="0.3">
      <c r="A2930" s="2">
        <v>2920</v>
      </c>
      <c r="B2930" s="1">
        <v>45048.625</v>
      </c>
      <c r="C2930" s="1" t="str">
        <f t="shared" si="90"/>
        <v>05-2023</v>
      </c>
      <c r="D2930" s="2">
        <f t="shared" si="91"/>
        <v>18</v>
      </c>
      <c r="E2930" t="s">
        <v>18</v>
      </c>
      <c r="F2930" t="s">
        <v>14</v>
      </c>
      <c r="G2930" t="s">
        <v>21</v>
      </c>
      <c r="H2930" s="2">
        <v>27497</v>
      </c>
      <c r="I2930" s="2">
        <v>5</v>
      </c>
      <c r="J2930" s="2">
        <v>88925</v>
      </c>
      <c r="K2930" s="2">
        <v>92264</v>
      </c>
      <c r="L2930" s="2">
        <v>10</v>
      </c>
      <c r="M2930" t="str">
        <f>IF(Revv_bike_sales_data[[#This Row],[delivery_days]]&lt;=7, "Yes", "No")</f>
        <v>No</v>
      </c>
      <c r="N2930" t="s">
        <v>16</v>
      </c>
      <c r="O2930" s="2">
        <v>-3339</v>
      </c>
    </row>
    <row r="2931" spans="1:15" x14ac:dyDescent="0.3">
      <c r="A2931" s="2">
        <v>2921</v>
      </c>
      <c r="B2931" s="1">
        <v>45048.666666666664</v>
      </c>
      <c r="C2931" s="1" t="str">
        <f t="shared" si="90"/>
        <v>05-2023</v>
      </c>
      <c r="D2931" s="2">
        <f t="shared" si="91"/>
        <v>18</v>
      </c>
      <c r="E2931" t="s">
        <v>18</v>
      </c>
      <c r="F2931" t="s">
        <v>14</v>
      </c>
      <c r="G2931" t="s">
        <v>21</v>
      </c>
      <c r="H2931" s="2">
        <v>21601</v>
      </c>
      <c r="I2931" s="2">
        <v>3</v>
      </c>
      <c r="J2931" s="2">
        <v>115979</v>
      </c>
      <c r="K2931" s="2">
        <v>66331</v>
      </c>
      <c r="L2931" s="2">
        <v>8</v>
      </c>
      <c r="M2931" t="str">
        <f>IF(Revv_bike_sales_data[[#This Row],[delivery_days]]&lt;=7, "Yes", "No")</f>
        <v>No</v>
      </c>
      <c r="N2931" t="s">
        <v>16</v>
      </c>
      <c r="O2931" s="2">
        <v>49648</v>
      </c>
    </row>
    <row r="2932" spans="1:15" x14ac:dyDescent="0.3">
      <c r="A2932" s="2">
        <v>2922</v>
      </c>
      <c r="B2932" s="1">
        <v>45048.708333333336</v>
      </c>
      <c r="C2932" s="1" t="str">
        <f t="shared" si="90"/>
        <v>05-2023</v>
      </c>
      <c r="D2932" s="2">
        <f t="shared" si="91"/>
        <v>18</v>
      </c>
      <c r="E2932" t="s">
        <v>17</v>
      </c>
      <c r="F2932" t="s">
        <v>14</v>
      </c>
      <c r="G2932" t="s">
        <v>19</v>
      </c>
      <c r="H2932" s="2">
        <v>40891</v>
      </c>
      <c r="I2932" s="2">
        <v>4</v>
      </c>
      <c r="J2932" s="2">
        <v>121355</v>
      </c>
      <c r="K2932" s="2">
        <v>60680</v>
      </c>
      <c r="L2932" s="2">
        <v>10</v>
      </c>
      <c r="M2932" t="str">
        <f>IF(Revv_bike_sales_data[[#This Row],[delivery_days]]&lt;=7, "Yes", "No")</f>
        <v>No</v>
      </c>
      <c r="N2932" t="s">
        <v>16</v>
      </c>
      <c r="O2932" s="2">
        <v>60675</v>
      </c>
    </row>
    <row r="2933" spans="1:15" x14ac:dyDescent="0.3">
      <c r="A2933" s="2">
        <v>2923</v>
      </c>
      <c r="B2933" s="1">
        <v>45048.75</v>
      </c>
      <c r="C2933" s="1" t="str">
        <f t="shared" si="90"/>
        <v>05-2023</v>
      </c>
      <c r="D2933" s="2">
        <f t="shared" si="91"/>
        <v>18</v>
      </c>
      <c r="E2933" t="s">
        <v>17</v>
      </c>
      <c r="F2933" t="s">
        <v>14</v>
      </c>
      <c r="G2933" t="s">
        <v>21</v>
      </c>
      <c r="H2933" s="2">
        <v>76363</v>
      </c>
      <c r="I2933" s="2">
        <v>4</v>
      </c>
      <c r="J2933" s="2">
        <v>79909</v>
      </c>
      <c r="K2933" s="2">
        <v>53723</v>
      </c>
      <c r="L2933" s="2">
        <v>7</v>
      </c>
      <c r="M2933" t="str">
        <f>IF(Revv_bike_sales_data[[#This Row],[delivery_days]]&lt;=7, "Yes", "No")</f>
        <v>Yes</v>
      </c>
      <c r="N2933" t="s">
        <v>16</v>
      </c>
      <c r="O2933" s="2">
        <v>26186</v>
      </c>
    </row>
    <row r="2934" spans="1:15" x14ac:dyDescent="0.3">
      <c r="A2934" s="2">
        <v>2924</v>
      </c>
      <c r="B2934" s="1">
        <v>45048.791666666664</v>
      </c>
      <c r="C2934" s="1" t="str">
        <f t="shared" si="90"/>
        <v>05-2023</v>
      </c>
      <c r="D2934" s="2">
        <f t="shared" si="91"/>
        <v>18</v>
      </c>
      <c r="E2934" t="s">
        <v>25</v>
      </c>
      <c r="F2934" t="s">
        <v>14</v>
      </c>
      <c r="G2934" t="s">
        <v>20</v>
      </c>
      <c r="H2934" s="2">
        <v>73223</v>
      </c>
      <c r="I2934" s="2">
        <v>1</v>
      </c>
      <c r="J2934" s="2">
        <v>36565</v>
      </c>
      <c r="K2934" s="2">
        <v>25162</v>
      </c>
      <c r="L2934" s="2">
        <v>12</v>
      </c>
      <c r="M2934" t="str">
        <f>IF(Revv_bike_sales_data[[#This Row],[delivery_days]]&lt;=7, "Yes", "No")</f>
        <v>No</v>
      </c>
      <c r="N2934" t="s">
        <v>24</v>
      </c>
      <c r="O2934" s="2">
        <v>11403</v>
      </c>
    </row>
    <row r="2935" spans="1:15" x14ac:dyDescent="0.3">
      <c r="A2935" s="2">
        <v>2925</v>
      </c>
      <c r="B2935" s="1">
        <v>45048.833333333336</v>
      </c>
      <c r="C2935" s="1" t="str">
        <f t="shared" si="90"/>
        <v>05-2023</v>
      </c>
      <c r="D2935" s="2">
        <f t="shared" si="91"/>
        <v>18</v>
      </c>
      <c r="E2935" t="s">
        <v>13</v>
      </c>
      <c r="F2935" t="s">
        <v>14</v>
      </c>
      <c r="G2935" t="s">
        <v>20</v>
      </c>
      <c r="H2935" s="2">
        <v>95721</v>
      </c>
      <c r="I2935" s="2">
        <v>7</v>
      </c>
      <c r="J2935" s="2">
        <v>52597</v>
      </c>
      <c r="K2935" s="2">
        <v>109808</v>
      </c>
      <c r="L2935" s="2">
        <v>14</v>
      </c>
      <c r="M2935" t="str">
        <f>IF(Revv_bike_sales_data[[#This Row],[delivery_days]]&lt;=7, "Yes", "No")</f>
        <v>No</v>
      </c>
      <c r="N2935" t="s">
        <v>16</v>
      </c>
      <c r="O2935" s="2">
        <v>-57211</v>
      </c>
    </row>
    <row r="2936" spans="1:15" x14ac:dyDescent="0.3">
      <c r="A2936" s="2">
        <v>2926</v>
      </c>
      <c r="B2936" s="1">
        <v>45048.875</v>
      </c>
      <c r="C2936" s="1" t="str">
        <f t="shared" si="90"/>
        <v>05-2023</v>
      </c>
      <c r="D2936" s="2">
        <f t="shared" si="91"/>
        <v>18</v>
      </c>
      <c r="E2936" t="s">
        <v>18</v>
      </c>
      <c r="F2936" t="s">
        <v>14</v>
      </c>
      <c r="G2936" t="s">
        <v>21</v>
      </c>
      <c r="H2936" s="2">
        <v>59905</v>
      </c>
      <c r="I2936" s="2">
        <v>1</v>
      </c>
      <c r="J2936" s="2">
        <v>90623</v>
      </c>
      <c r="K2936" s="2">
        <v>116024</v>
      </c>
      <c r="L2936" s="2">
        <v>9</v>
      </c>
      <c r="M2936" t="str">
        <f>IF(Revv_bike_sales_data[[#This Row],[delivery_days]]&lt;=7, "Yes", "No")</f>
        <v>No</v>
      </c>
      <c r="N2936" t="s">
        <v>16</v>
      </c>
      <c r="O2936" s="2">
        <v>-25401</v>
      </c>
    </row>
    <row r="2937" spans="1:15" x14ac:dyDescent="0.3">
      <c r="A2937" s="2">
        <v>2927</v>
      </c>
      <c r="B2937" s="1">
        <v>45048.916666666664</v>
      </c>
      <c r="C2937" s="1" t="str">
        <f t="shared" si="90"/>
        <v>05-2023</v>
      </c>
      <c r="D2937" s="2">
        <f t="shared" si="91"/>
        <v>18</v>
      </c>
      <c r="E2937" t="s">
        <v>13</v>
      </c>
      <c r="F2937" t="s">
        <v>14</v>
      </c>
      <c r="G2937" t="s">
        <v>20</v>
      </c>
      <c r="H2937" s="2">
        <v>35448</v>
      </c>
      <c r="I2937" s="2">
        <v>3</v>
      </c>
      <c r="J2937" s="2">
        <v>165504</v>
      </c>
      <c r="K2937" s="2">
        <v>123877</v>
      </c>
      <c r="L2937" s="2">
        <v>12</v>
      </c>
      <c r="M2937" t="str">
        <f>IF(Revv_bike_sales_data[[#This Row],[delivery_days]]&lt;=7, "Yes", "No")</f>
        <v>No</v>
      </c>
      <c r="N2937" t="s">
        <v>24</v>
      </c>
      <c r="O2937" s="2">
        <v>41627</v>
      </c>
    </row>
    <row r="2938" spans="1:15" x14ac:dyDescent="0.3">
      <c r="A2938" s="2">
        <v>2928</v>
      </c>
      <c r="B2938" s="1">
        <v>45048.958333333336</v>
      </c>
      <c r="C2938" s="1" t="str">
        <f t="shared" si="90"/>
        <v>05-2023</v>
      </c>
      <c r="D2938" s="2">
        <f t="shared" si="91"/>
        <v>18</v>
      </c>
      <c r="E2938" t="s">
        <v>17</v>
      </c>
      <c r="F2938" t="s">
        <v>14</v>
      </c>
      <c r="G2938" t="s">
        <v>20</v>
      </c>
      <c r="H2938" s="2">
        <v>53531</v>
      </c>
      <c r="I2938" s="2">
        <v>4</v>
      </c>
      <c r="J2938" s="2">
        <v>99300</v>
      </c>
      <c r="K2938" s="2">
        <v>66095</v>
      </c>
      <c r="L2938" s="2">
        <v>11</v>
      </c>
      <c r="M2938" t="str">
        <f>IF(Revv_bike_sales_data[[#This Row],[delivery_days]]&lt;=7, "Yes", "No")</f>
        <v>No</v>
      </c>
      <c r="N2938" t="s">
        <v>16</v>
      </c>
      <c r="O2938" s="2">
        <v>33205</v>
      </c>
    </row>
    <row r="2939" spans="1:15" x14ac:dyDescent="0.3">
      <c r="A2939" s="2">
        <v>2929</v>
      </c>
      <c r="B2939" s="1">
        <v>45049</v>
      </c>
      <c r="C2939" s="1" t="str">
        <f t="shared" si="90"/>
        <v>05-2023</v>
      </c>
      <c r="D2939" s="2">
        <f t="shared" si="91"/>
        <v>18</v>
      </c>
      <c r="E2939" t="s">
        <v>17</v>
      </c>
      <c r="F2939" t="s">
        <v>14</v>
      </c>
      <c r="G2939" t="s">
        <v>19</v>
      </c>
      <c r="H2939" s="2">
        <v>38421</v>
      </c>
      <c r="I2939" s="2">
        <v>0</v>
      </c>
      <c r="J2939" s="2">
        <v>116837</v>
      </c>
      <c r="K2939" s="2">
        <v>26338</v>
      </c>
      <c r="L2939" s="2">
        <v>13</v>
      </c>
      <c r="M2939" t="str">
        <f>IF(Revv_bike_sales_data[[#This Row],[delivery_days]]&lt;=7, "Yes", "No")</f>
        <v>No</v>
      </c>
      <c r="N2939" t="s">
        <v>16</v>
      </c>
      <c r="O2939" s="2">
        <v>90499</v>
      </c>
    </row>
    <row r="2940" spans="1:15" x14ac:dyDescent="0.3">
      <c r="A2940" s="2">
        <v>2930</v>
      </c>
      <c r="B2940" s="1">
        <v>45049.041666666664</v>
      </c>
      <c r="C2940" s="1" t="str">
        <f t="shared" si="90"/>
        <v>05-2023</v>
      </c>
      <c r="D2940" s="2">
        <f t="shared" si="91"/>
        <v>18</v>
      </c>
      <c r="E2940" t="s">
        <v>17</v>
      </c>
      <c r="F2940" t="s">
        <v>23</v>
      </c>
      <c r="G2940" t="s">
        <v>20</v>
      </c>
      <c r="H2940" s="2">
        <v>73071</v>
      </c>
      <c r="I2940" s="2">
        <v>5</v>
      </c>
      <c r="J2940" s="2">
        <v>74314</v>
      </c>
      <c r="K2940" s="2">
        <v>102832</v>
      </c>
      <c r="L2940" s="2">
        <v>1</v>
      </c>
      <c r="M2940" t="str">
        <f>IF(Revv_bike_sales_data[[#This Row],[delivery_days]]&lt;=7, "Yes", "No")</f>
        <v>Yes</v>
      </c>
      <c r="N2940" t="s">
        <v>16</v>
      </c>
      <c r="O2940" s="2">
        <v>-28518</v>
      </c>
    </row>
    <row r="2941" spans="1:15" x14ac:dyDescent="0.3">
      <c r="A2941" s="2">
        <v>2931</v>
      </c>
      <c r="B2941" s="1">
        <v>45049.083333333336</v>
      </c>
      <c r="C2941" s="1" t="str">
        <f t="shared" si="90"/>
        <v>05-2023</v>
      </c>
      <c r="D2941" s="2">
        <f t="shared" si="91"/>
        <v>18</v>
      </c>
      <c r="E2941" t="s">
        <v>13</v>
      </c>
      <c r="F2941" t="s">
        <v>14</v>
      </c>
      <c r="G2941" t="s">
        <v>15</v>
      </c>
      <c r="H2941" s="2">
        <v>77507</v>
      </c>
      <c r="I2941" s="2">
        <v>1</v>
      </c>
      <c r="J2941" s="2">
        <v>66965</v>
      </c>
      <c r="K2941" s="2">
        <v>26675</v>
      </c>
      <c r="L2941" s="2">
        <v>6</v>
      </c>
      <c r="M2941" t="str">
        <f>IF(Revv_bike_sales_data[[#This Row],[delivery_days]]&lt;=7, "Yes", "No")</f>
        <v>Yes</v>
      </c>
      <c r="N2941" t="s">
        <v>16</v>
      </c>
      <c r="O2941" s="2">
        <v>40290</v>
      </c>
    </row>
    <row r="2942" spans="1:15" x14ac:dyDescent="0.3">
      <c r="A2942" s="2">
        <v>2932</v>
      </c>
      <c r="B2942" s="1">
        <v>45049.125</v>
      </c>
      <c r="C2942" s="1" t="str">
        <f t="shared" si="90"/>
        <v>05-2023</v>
      </c>
      <c r="D2942" s="2">
        <f t="shared" si="91"/>
        <v>18</v>
      </c>
      <c r="E2942" t="s">
        <v>17</v>
      </c>
      <c r="F2942" t="s">
        <v>14</v>
      </c>
      <c r="G2942" t="s">
        <v>15</v>
      </c>
      <c r="H2942" s="2">
        <v>28960</v>
      </c>
      <c r="I2942" s="2">
        <v>4</v>
      </c>
      <c r="J2942" s="2">
        <v>122449</v>
      </c>
      <c r="K2942" s="2">
        <v>104606</v>
      </c>
      <c r="L2942" s="2">
        <v>6</v>
      </c>
      <c r="M2942" t="str">
        <f>IF(Revv_bike_sales_data[[#This Row],[delivery_days]]&lt;=7, "Yes", "No")</f>
        <v>Yes</v>
      </c>
      <c r="N2942" t="s">
        <v>16</v>
      </c>
      <c r="O2942" s="2">
        <v>17843</v>
      </c>
    </row>
    <row r="2943" spans="1:15" x14ac:dyDescent="0.3">
      <c r="A2943" s="2">
        <v>2933</v>
      </c>
      <c r="B2943" s="1">
        <v>45049.166666666664</v>
      </c>
      <c r="C2943" s="1" t="str">
        <f t="shared" si="90"/>
        <v>05-2023</v>
      </c>
      <c r="D2943" s="2">
        <f t="shared" si="91"/>
        <v>18</v>
      </c>
      <c r="E2943" t="s">
        <v>25</v>
      </c>
      <c r="F2943" t="s">
        <v>14</v>
      </c>
      <c r="G2943" t="s">
        <v>19</v>
      </c>
      <c r="H2943" s="2">
        <v>21571</v>
      </c>
      <c r="I2943" s="2">
        <v>5</v>
      </c>
      <c r="J2943" s="2">
        <v>92957</v>
      </c>
      <c r="K2943" s="2">
        <v>35080</v>
      </c>
      <c r="L2943" s="2">
        <v>2</v>
      </c>
      <c r="M2943" t="str">
        <f>IF(Revv_bike_sales_data[[#This Row],[delivery_days]]&lt;=7, "Yes", "No")</f>
        <v>Yes</v>
      </c>
      <c r="N2943" t="s">
        <v>16</v>
      </c>
      <c r="O2943" s="2">
        <v>57877</v>
      </c>
    </row>
    <row r="2944" spans="1:15" x14ac:dyDescent="0.3">
      <c r="A2944" s="2">
        <v>2934</v>
      </c>
      <c r="B2944" s="1">
        <v>45049.208333333336</v>
      </c>
      <c r="C2944" s="1" t="str">
        <f t="shared" si="90"/>
        <v>05-2023</v>
      </c>
      <c r="D2944" s="2">
        <f t="shared" si="91"/>
        <v>18</v>
      </c>
      <c r="E2944" t="s">
        <v>17</v>
      </c>
      <c r="F2944" t="s">
        <v>14</v>
      </c>
      <c r="G2944" t="s">
        <v>21</v>
      </c>
      <c r="H2944" s="2">
        <v>66618</v>
      </c>
      <c r="I2944" s="2">
        <v>7</v>
      </c>
      <c r="J2944" s="2">
        <v>53317</v>
      </c>
      <c r="K2944" s="2">
        <v>127675</v>
      </c>
      <c r="L2944" s="2">
        <v>11</v>
      </c>
      <c r="M2944" t="str">
        <f>IF(Revv_bike_sales_data[[#This Row],[delivery_days]]&lt;=7, "Yes", "No")</f>
        <v>No</v>
      </c>
      <c r="N2944" t="s">
        <v>16</v>
      </c>
      <c r="O2944" s="2">
        <v>-74358</v>
      </c>
    </row>
    <row r="2945" spans="1:15" x14ac:dyDescent="0.3">
      <c r="A2945" s="2">
        <v>2935</v>
      </c>
      <c r="B2945" s="1">
        <v>45049.25</v>
      </c>
      <c r="C2945" s="1" t="str">
        <f t="shared" si="90"/>
        <v>05-2023</v>
      </c>
      <c r="D2945" s="2">
        <f t="shared" si="91"/>
        <v>18</v>
      </c>
      <c r="E2945" t="s">
        <v>22</v>
      </c>
      <c r="F2945" t="s">
        <v>23</v>
      </c>
      <c r="G2945" t="s">
        <v>19</v>
      </c>
      <c r="H2945" s="2">
        <v>48782</v>
      </c>
      <c r="I2945" s="2">
        <v>8</v>
      </c>
      <c r="J2945" s="2">
        <v>144191</v>
      </c>
      <c r="K2945" s="2">
        <v>132513</v>
      </c>
      <c r="L2945" s="2">
        <v>8</v>
      </c>
      <c r="M2945" t="str">
        <f>IF(Revv_bike_sales_data[[#This Row],[delivery_days]]&lt;=7, "Yes", "No")</f>
        <v>No</v>
      </c>
      <c r="N2945" t="s">
        <v>16</v>
      </c>
      <c r="O2945" s="2">
        <v>11678</v>
      </c>
    </row>
    <row r="2946" spans="1:15" x14ac:dyDescent="0.3">
      <c r="A2946" s="2">
        <v>2936</v>
      </c>
      <c r="B2946" s="1">
        <v>45049.291666666664</v>
      </c>
      <c r="C2946" s="1" t="str">
        <f t="shared" si="90"/>
        <v>05-2023</v>
      </c>
      <c r="D2946" s="2">
        <f t="shared" si="91"/>
        <v>18</v>
      </c>
      <c r="E2946" t="s">
        <v>13</v>
      </c>
      <c r="F2946" t="s">
        <v>23</v>
      </c>
      <c r="G2946" t="s">
        <v>21</v>
      </c>
      <c r="H2946" s="2">
        <v>92225</v>
      </c>
      <c r="I2946" s="2">
        <v>5</v>
      </c>
      <c r="J2946" s="2">
        <v>91753</v>
      </c>
      <c r="K2946" s="2">
        <v>28936</v>
      </c>
      <c r="L2946" s="2">
        <v>6</v>
      </c>
      <c r="M2946" t="str">
        <f>IF(Revv_bike_sales_data[[#This Row],[delivery_days]]&lt;=7, "Yes", "No")</f>
        <v>Yes</v>
      </c>
      <c r="N2946" t="s">
        <v>16</v>
      </c>
      <c r="O2946" s="2">
        <v>62817</v>
      </c>
    </row>
    <row r="2947" spans="1:15" x14ac:dyDescent="0.3">
      <c r="A2947" s="2">
        <v>2937</v>
      </c>
      <c r="B2947" s="1">
        <v>45049.333333333336</v>
      </c>
      <c r="C2947" s="1" t="str">
        <f t="shared" si="90"/>
        <v>05-2023</v>
      </c>
      <c r="D2947" s="2">
        <f t="shared" si="91"/>
        <v>18</v>
      </c>
      <c r="E2947" t="s">
        <v>22</v>
      </c>
      <c r="F2947" t="s">
        <v>14</v>
      </c>
      <c r="G2947" t="s">
        <v>21</v>
      </c>
      <c r="H2947" s="2">
        <v>58945</v>
      </c>
      <c r="I2947" s="2">
        <v>4</v>
      </c>
      <c r="J2947" s="2">
        <v>60242</v>
      </c>
      <c r="K2947" s="2">
        <v>25019</v>
      </c>
      <c r="L2947" s="2">
        <v>11</v>
      </c>
      <c r="M2947" t="str">
        <f>IF(Revv_bike_sales_data[[#This Row],[delivery_days]]&lt;=7, "Yes", "No")</f>
        <v>No</v>
      </c>
      <c r="N2947" t="s">
        <v>16</v>
      </c>
      <c r="O2947" s="2">
        <v>35223</v>
      </c>
    </row>
    <row r="2948" spans="1:15" x14ac:dyDescent="0.3">
      <c r="A2948" s="2">
        <v>2938</v>
      </c>
      <c r="B2948" s="1">
        <v>45049.375</v>
      </c>
      <c r="C2948" s="1" t="str">
        <f t="shared" si="90"/>
        <v>05-2023</v>
      </c>
      <c r="D2948" s="2">
        <f t="shared" si="91"/>
        <v>18</v>
      </c>
      <c r="E2948" t="s">
        <v>17</v>
      </c>
      <c r="F2948" t="s">
        <v>14</v>
      </c>
      <c r="G2948" t="s">
        <v>21</v>
      </c>
      <c r="H2948" s="2">
        <v>81567</v>
      </c>
      <c r="I2948" s="2">
        <v>3</v>
      </c>
      <c r="J2948" s="2">
        <v>157001</v>
      </c>
      <c r="K2948" s="2">
        <v>121718</v>
      </c>
      <c r="L2948" s="2">
        <v>13</v>
      </c>
      <c r="M2948" t="str">
        <f>IF(Revv_bike_sales_data[[#This Row],[delivery_days]]&lt;=7, "Yes", "No")</f>
        <v>No</v>
      </c>
      <c r="N2948" t="s">
        <v>16</v>
      </c>
      <c r="O2948" s="2">
        <v>35283</v>
      </c>
    </row>
    <row r="2949" spans="1:15" x14ac:dyDescent="0.3">
      <c r="A2949" s="2">
        <v>2939</v>
      </c>
      <c r="B2949" s="1">
        <v>45049.416666666664</v>
      </c>
      <c r="C2949" s="1" t="str">
        <f t="shared" si="90"/>
        <v>05-2023</v>
      </c>
      <c r="D2949" s="2">
        <f t="shared" si="91"/>
        <v>18</v>
      </c>
      <c r="E2949" t="s">
        <v>25</v>
      </c>
      <c r="F2949" t="s">
        <v>23</v>
      </c>
      <c r="G2949" t="s">
        <v>21</v>
      </c>
      <c r="H2949" s="2">
        <v>82708</v>
      </c>
      <c r="I2949" s="2">
        <v>1</v>
      </c>
      <c r="J2949" s="2">
        <v>131262</v>
      </c>
      <c r="K2949" s="2">
        <v>82282</v>
      </c>
      <c r="L2949" s="2">
        <v>10</v>
      </c>
      <c r="M2949" t="str">
        <f>IF(Revv_bike_sales_data[[#This Row],[delivery_days]]&lt;=7, "Yes", "No")</f>
        <v>No</v>
      </c>
      <c r="N2949" t="s">
        <v>16</v>
      </c>
      <c r="O2949" s="2">
        <v>48980</v>
      </c>
    </row>
    <row r="2950" spans="1:15" x14ac:dyDescent="0.3">
      <c r="A2950" s="2">
        <v>2940</v>
      </c>
      <c r="B2950" s="1">
        <v>45049.458333333336</v>
      </c>
      <c r="C2950" s="1" t="str">
        <f t="shared" si="90"/>
        <v>05-2023</v>
      </c>
      <c r="D2950" s="2">
        <f t="shared" si="91"/>
        <v>18</v>
      </c>
      <c r="E2950" t="s">
        <v>18</v>
      </c>
      <c r="F2950" t="s">
        <v>23</v>
      </c>
      <c r="G2950" t="s">
        <v>21</v>
      </c>
      <c r="H2950" s="2">
        <v>55316</v>
      </c>
      <c r="I2950" s="2">
        <v>1</v>
      </c>
      <c r="J2950" s="2">
        <v>124806</v>
      </c>
      <c r="K2950" s="2">
        <v>64681</v>
      </c>
      <c r="L2950" s="2">
        <v>9</v>
      </c>
      <c r="M2950" t="str">
        <f>IF(Revv_bike_sales_data[[#This Row],[delivery_days]]&lt;=7, "Yes", "No")</f>
        <v>No</v>
      </c>
      <c r="N2950" t="s">
        <v>16</v>
      </c>
      <c r="O2950" s="2">
        <v>60125</v>
      </c>
    </row>
    <row r="2951" spans="1:15" x14ac:dyDescent="0.3">
      <c r="A2951" s="2">
        <v>2941</v>
      </c>
      <c r="B2951" s="1">
        <v>45049.5</v>
      </c>
      <c r="C2951" s="1" t="str">
        <f t="shared" si="90"/>
        <v>05-2023</v>
      </c>
      <c r="D2951" s="2">
        <f t="shared" si="91"/>
        <v>18</v>
      </c>
      <c r="E2951" t="s">
        <v>17</v>
      </c>
      <c r="F2951" t="s">
        <v>14</v>
      </c>
      <c r="G2951" t="s">
        <v>19</v>
      </c>
      <c r="H2951" s="2">
        <v>86279</v>
      </c>
      <c r="I2951" s="2">
        <v>6</v>
      </c>
      <c r="J2951" s="2">
        <v>123724</v>
      </c>
      <c r="K2951" s="2">
        <v>103304</v>
      </c>
      <c r="L2951" s="2">
        <v>10</v>
      </c>
      <c r="M2951" t="str">
        <f>IF(Revv_bike_sales_data[[#This Row],[delivery_days]]&lt;=7, "Yes", "No")</f>
        <v>No</v>
      </c>
      <c r="N2951" t="s">
        <v>16</v>
      </c>
      <c r="O2951" s="2">
        <v>20420</v>
      </c>
    </row>
    <row r="2952" spans="1:15" x14ac:dyDescent="0.3">
      <c r="A2952" s="2">
        <v>2942</v>
      </c>
      <c r="B2952" s="1">
        <v>45049.541666666664</v>
      </c>
      <c r="C2952" s="1" t="str">
        <f t="shared" si="90"/>
        <v>05-2023</v>
      </c>
      <c r="D2952" s="2">
        <f t="shared" si="91"/>
        <v>18</v>
      </c>
      <c r="E2952" t="s">
        <v>25</v>
      </c>
      <c r="F2952" t="s">
        <v>14</v>
      </c>
      <c r="G2952" t="s">
        <v>21</v>
      </c>
      <c r="H2952" s="2">
        <v>3560</v>
      </c>
      <c r="I2952" s="2">
        <v>4</v>
      </c>
      <c r="J2952" s="2">
        <v>38580</v>
      </c>
      <c r="K2952" s="2">
        <v>88861</v>
      </c>
      <c r="L2952" s="2">
        <v>5</v>
      </c>
      <c r="M2952" t="str">
        <f>IF(Revv_bike_sales_data[[#This Row],[delivery_days]]&lt;=7, "Yes", "No")</f>
        <v>Yes</v>
      </c>
      <c r="N2952" t="s">
        <v>16</v>
      </c>
      <c r="O2952" s="2">
        <v>-50281</v>
      </c>
    </row>
    <row r="2953" spans="1:15" x14ac:dyDescent="0.3">
      <c r="A2953" s="2">
        <v>2943</v>
      </c>
      <c r="B2953" s="1">
        <v>45049.583333333336</v>
      </c>
      <c r="C2953" s="1" t="str">
        <f t="shared" si="90"/>
        <v>05-2023</v>
      </c>
      <c r="D2953" s="2">
        <f t="shared" si="91"/>
        <v>18</v>
      </c>
      <c r="E2953" t="s">
        <v>13</v>
      </c>
      <c r="F2953" t="s">
        <v>14</v>
      </c>
      <c r="G2953" t="s">
        <v>20</v>
      </c>
      <c r="H2953" s="2">
        <v>14231</v>
      </c>
      <c r="I2953" s="2">
        <v>6</v>
      </c>
      <c r="J2953" s="2">
        <v>129134</v>
      </c>
      <c r="K2953" s="2">
        <v>125299</v>
      </c>
      <c r="L2953" s="2">
        <v>7</v>
      </c>
      <c r="M2953" t="str">
        <f>IF(Revv_bike_sales_data[[#This Row],[delivery_days]]&lt;=7, "Yes", "No")</f>
        <v>Yes</v>
      </c>
      <c r="N2953" t="s">
        <v>16</v>
      </c>
      <c r="O2953" s="2">
        <v>3835</v>
      </c>
    </row>
    <row r="2954" spans="1:15" x14ac:dyDescent="0.3">
      <c r="A2954" s="2">
        <v>2944</v>
      </c>
      <c r="B2954" s="1">
        <v>45049.625</v>
      </c>
      <c r="C2954" s="1" t="str">
        <f t="shared" si="90"/>
        <v>05-2023</v>
      </c>
      <c r="D2954" s="2">
        <f t="shared" si="91"/>
        <v>18</v>
      </c>
      <c r="E2954" t="s">
        <v>22</v>
      </c>
      <c r="F2954" t="s">
        <v>23</v>
      </c>
      <c r="G2954" t="s">
        <v>20</v>
      </c>
      <c r="H2954" s="2">
        <v>78330</v>
      </c>
      <c r="I2954" s="2">
        <v>0</v>
      </c>
      <c r="J2954" s="2">
        <v>120967</v>
      </c>
      <c r="K2954" s="2">
        <v>19486</v>
      </c>
      <c r="L2954" s="2">
        <v>6</v>
      </c>
      <c r="M2954" t="str">
        <f>IF(Revv_bike_sales_data[[#This Row],[delivery_days]]&lt;=7, "Yes", "No")</f>
        <v>Yes</v>
      </c>
      <c r="N2954" t="s">
        <v>16</v>
      </c>
      <c r="O2954" s="2">
        <v>101481</v>
      </c>
    </row>
    <row r="2955" spans="1:15" x14ac:dyDescent="0.3">
      <c r="A2955" s="2">
        <v>2945</v>
      </c>
      <c r="B2955" s="1">
        <v>45049.666666666664</v>
      </c>
      <c r="C2955" s="1" t="str">
        <f t="shared" ref="C2955:C2986" si="92">TEXT(B2955,"mm-yyyy")</f>
        <v>05-2023</v>
      </c>
      <c r="D2955" s="2">
        <f t="shared" ref="D2955:D3010" si="93">WEEKNUM(B2955)</f>
        <v>18</v>
      </c>
      <c r="E2955" t="s">
        <v>22</v>
      </c>
      <c r="F2955" t="s">
        <v>14</v>
      </c>
      <c r="G2955" t="s">
        <v>21</v>
      </c>
      <c r="H2955" s="2">
        <v>21219</v>
      </c>
      <c r="I2955" s="2">
        <v>0</v>
      </c>
      <c r="J2955" s="2">
        <v>45742</v>
      </c>
      <c r="K2955" s="2">
        <v>97021</v>
      </c>
      <c r="L2955" s="2">
        <v>11</v>
      </c>
      <c r="M2955" t="str">
        <f>IF(Revv_bike_sales_data[[#This Row],[delivery_days]]&lt;=7, "Yes", "No")</f>
        <v>No</v>
      </c>
      <c r="N2955" t="s">
        <v>16</v>
      </c>
      <c r="O2955" s="2">
        <v>-51279</v>
      </c>
    </row>
    <row r="2956" spans="1:15" x14ac:dyDescent="0.3">
      <c r="A2956" s="2">
        <v>2946</v>
      </c>
      <c r="B2956" s="1">
        <v>45049.708333333336</v>
      </c>
      <c r="C2956" s="1" t="str">
        <f t="shared" si="92"/>
        <v>05-2023</v>
      </c>
      <c r="D2956" s="2">
        <f t="shared" si="93"/>
        <v>18</v>
      </c>
      <c r="E2956" t="s">
        <v>22</v>
      </c>
      <c r="F2956" t="s">
        <v>14</v>
      </c>
      <c r="G2956" t="s">
        <v>20</v>
      </c>
      <c r="H2956" s="2">
        <v>47542</v>
      </c>
      <c r="I2956" s="2">
        <v>4</v>
      </c>
      <c r="J2956" s="2">
        <v>42833</v>
      </c>
      <c r="K2956" s="2">
        <v>94864</v>
      </c>
      <c r="L2956" s="2">
        <v>5</v>
      </c>
      <c r="M2956" t="str">
        <f>IF(Revv_bike_sales_data[[#This Row],[delivery_days]]&lt;=7, "Yes", "No")</f>
        <v>Yes</v>
      </c>
      <c r="N2956" t="s">
        <v>16</v>
      </c>
      <c r="O2956" s="2">
        <v>-52031</v>
      </c>
    </row>
    <row r="2957" spans="1:15" x14ac:dyDescent="0.3">
      <c r="A2957" s="2">
        <v>2947</v>
      </c>
      <c r="B2957" s="1">
        <v>45049.75</v>
      </c>
      <c r="C2957" s="1" t="str">
        <f t="shared" si="92"/>
        <v>05-2023</v>
      </c>
      <c r="D2957" s="2">
        <f t="shared" si="93"/>
        <v>18</v>
      </c>
      <c r="E2957" t="s">
        <v>13</v>
      </c>
      <c r="F2957" t="s">
        <v>14</v>
      </c>
      <c r="G2957" t="s">
        <v>15</v>
      </c>
      <c r="H2957" s="2">
        <v>49616</v>
      </c>
      <c r="I2957" s="2">
        <v>1</v>
      </c>
      <c r="J2957" s="2">
        <v>121421</v>
      </c>
      <c r="K2957" s="2">
        <v>133411</v>
      </c>
      <c r="L2957" s="2">
        <v>6</v>
      </c>
      <c r="M2957" t="str">
        <f>IF(Revv_bike_sales_data[[#This Row],[delivery_days]]&lt;=7, "Yes", "No")</f>
        <v>Yes</v>
      </c>
      <c r="N2957" t="s">
        <v>24</v>
      </c>
      <c r="O2957" s="2">
        <v>-11990</v>
      </c>
    </row>
    <row r="2958" spans="1:15" x14ac:dyDescent="0.3">
      <c r="A2958" s="2">
        <v>2948</v>
      </c>
      <c r="B2958" s="1">
        <v>45049.791666666664</v>
      </c>
      <c r="C2958" s="1" t="str">
        <f t="shared" si="92"/>
        <v>05-2023</v>
      </c>
      <c r="D2958" s="2">
        <f t="shared" si="93"/>
        <v>18</v>
      </c>
      <c r="E2958" t="s">
        <v>25</v>
      </c>
      <c r="F2958" t="s">
        <v>14</v>
      </c>
      <c r="G2958" t="s">
        <v>19</v>
      </c>
      <c r="H2958" s="2">
        <v>26825</v>
      </c>
      <c r="I2958" s="2">
        <v>7</v>
      </c>
      <c r="J2958" s="2">
        <v>96347</v>
      </c>
      <c r="K2958" s="2">
        <v>34112</v>
      </c>
      <c r="L2958" s="2">
        <v>4</v>
      </c>
      <c r="M2958" t="str">
        <f>IF(Revv_bike_sales_data[[#This Row],[delivery_days]]&lt;=7, "Yes", "No")</f>
        <v>Yes</v>
      </c>
      <c r="N2958" t="s">
        <v>16</v>
      </c>
      <c r="O2958" s="2">
        <v>62235</v>
      </c>
    </row>
    <row r="2959" spans="1:15" x14ac:dyDescent="0.3">
      <c r="A2959" s="2">
        <v>2949</v>
      </c>
      <c r="B2959" s="1">
        <v>45049.833333333336</v>
      </c>
      <c r="C2959" s="1" t="str">
        <f t="shared" si="92"/>
        <v>05-2023</v>
      </c>
      <c r="D2959" s="2">
        <f t="shared" si="93"/>
        <v>18</v>
      </c>
      <c r="E2959" t="s">
        <v>13</v>
      </c>
      <c r="F2959" t="s">
        <v>14</v>
      </c>
      <c r="G2959" t="s">
        <v>19</v>
      </c>
      <c r="H2959" s="2">
        <v>23097</v>
      </c>
      <c r="I2959" s="2">
        <v>2</v>
      </c>
      <c r="J2959" s="2">
        <v>99155</v>
      </c>
      <c r="K2959" s="2">
        <v>66697</v>
      </c>
      <c r="L2959" s="2">
        <v>3</v>
      </c>
      <c r="M2959" t="str">
        <f>IF(Revv_bike_sales_data[[#This Row],[delivery_days]]&lt;=7, "Yes", "No")</f>
        <v>Yes</v>
      </c>
      <c r="N2959" t="s">
        <v>24</v>
      </c>
      <c r="O2959" s="2">
        <v>32458</v>
      </c>
    </row>
    <row r="2960" spans="1:15" x14ac:dyDescent="0.3">
      <c r="A2960" s="2">
        <v>2950</v>
      </c>
      <c r="B2960" s="1">
        <v>45049.875</v>
      </c>
      <c r="C2960" s="1" t="str">
        <f t="shared" si="92"/>
        <v>05-2023</v>
      </c>
      <c r="D2960" s="2">
        <f t="shared" si="93"/>
        <v>18</v>
      </c>
      <c r="E2960" t="s">
        <v>22</v>
      </c>
      <c r="F2960" t="s">
        <v>23</v>
      </c>
      <c r="G2960" t="s">
        <v>21</v>
      </c>
      <c r="H2960" s="2">
        <v>67939</v>
      </c>
      <c r="I2960" s="2">
        <v>0</v>
      </c>
      <c r="J2960" s="2">
        <v>114791</v>
      </c>
      <c r="K2960" s="2">
        <v>132246</v>
      </c>
      <c r="L2960" s="2">
        <v>13</v>
      </c>
      <c r="M2960" t="str">
        <f>IF(Revv_bike_sales_data[[#This Row],[delivery_days]]&lt;=7, "Yes", "No")</f>
        <v>No</v>
      </c>
      <c r="N2960" t="s">
        <v>16</v>
      </c>
      <c r="O2960" s="2">
        <v>-17455</v>
      </c>
    </row>
    <row r="2961" spans="1:15" x14ac:dyDescent="0.3">
      <c r="A2961" s="2">
        <v>2951</v>
      </c>
      <c r="B2961" s="1">
        <v>45049.916666666664</v>
      </c>
      <c r="C2961" s="1" t="str">
        <f t="shared" si="92"/>
        <v>05-2023</v>
      </c>
      <c r="D2961" s="2">
        <f t="shared" si="93"/>
        <v>18</v>
      </c>
      <c r="E2961" t="s">
        <v>17</v>
      </c>
      <c r="F2961" t="s">
        <v>14</v>
      </c>
      <c r="G2961" t="s">
        <v>21</v>
      </c>
      <c r="H2961" s="2">
        <v>15051</v>
      </c>
      <c r="I2961" s="2">
        <v>1</v>
      </c>
      <c r="J2961" s="2">
        <v>169599</v>
      </c>
      <c r="K2961" s="2">
        <v>70998</v>
      </c>
      <c r="L2961" s="2">
        <v>1</v>
      </c>
      <c r="M2961" t="str">
        <f>IF(Revv_bike_sales_data[[#This Row],[delivery_days]]&lt;=7, "Yes", "No")</f>
        <v>Yes</v>
      </c>
      <c r="N2961" t="s">
        <v>16</v>
      </c>
      <c r="O2961" s="2">
        <v>98601</v>
      </c>
    </row>
    <row r="2962" spans="1:15" x14ac:dyDescent="0.3">
      <c r="A2962" s="2">
        <v>2952</v>
      </c>
      <c r="B2962" s="1">
        <v>45049.958333333336</v>
      </c>
      <c r="C2962" s="1" t="str">
        <f t="shared" si="92"/>
        <v>05-2023</v>
      </c>
      <c r="D2962" s="2">
        <f t="shared" si="93"/>
        <v>18</v>
      </c>
      <c r="E2962" t="s">
        <v>18</v>
      </c>
      <c r="F2962" t="s">
        <v>14</v>
      </c>
      <c r="G2962" t="s">
        <v>15</v>
      </c>
      <c r="H2962" s="2">
        <v>93787</v>
      </c>
      <c r="I2962" s="2">
        <v>9</v>
      </c>
      <c r="J2962" s="2">
        <v>139527</v>
      </c>
      <c r="K2962" s="2">
        <v>124537</v>
      </c>
      <c r="L2962" s="2">
        <v>1</v>
      </c>
      <c r="M2962" t="str">
        <f>IF(Revv_bike_sales_data[[#This Row],[delivery_days]]&lt;=7, "Yes", "No")</f>
        <v>Yes</v>
      </c>
      <c r="N2962" t="s">
        <v>16</v>
      </c>
      <c r="O2962" s="2">
        <v>14990</v>
      </c>
    </row>
    <row r="2963" spans="1:15" x14ac:dyDescent="0.3">
      <c r="A2963" s="2">
        <v>2953</v>
      </c>
      <c r="B2963" s="1">
        <v>45050</v>
      </c>
      <c r="C2963" s="1" t="str">
        <f t="shared" si="92"/>
        <v>05-2023</v>
      </c>
      <c r="D2963" s="2">
        <f t="shared" si="93"/>
        <v>18</v>
      </c>
      <c r="E2963" t="s">
        <v>13</v>
      </c>
      <c r="F2963" t="s">
        <v>14</v>
      </c>
      <c r="G2963" t="s">
        <v>21</v>
      </c>
      <c r="H2963" s="2">
        <v>24778</v>
      </c>
      <c r="I2963" s="2">
        <v>9</v>
      </c>
      <c r="J2963" s="2">
        <v>66057</v>
      </c>
      <c r="K2963" s="2">
        <v>112816</v>
      </c>
      <c r="L2963" s="2">
        <v>6</v>
      </c>
      <c r="M2963" t="str">
        <f>IF(Revv_bike_sales_data[[#This Row],[delivery_days]]&lt;=7, "Yes", "No")</f>
        <v>Yes</v>
      </c>
      <c r="N2963" t="s">
        <v>16</v>
      </c>
      <c r="O2963" s="2">
        <v>-46759</v>
      </c>
    </row>
    <row r="2964" spans="1:15" x14ac:dyDescent="0.3">
      <c r="A2964" s="2">
        <v>2954</v>
      </c>
      <c r="B2964" s="1">
        <v>45050.041666666664</v>
      </c>
      <c r="C2964" s="1" t="str">
        <f t="shared" si="92"/>
        <v>05-2023</v>
      </c>
      <c r="D2964" s="2">
        <f t="shared" si="93"/>
        <v>18</v>
      </c>
      <c r="E2964" t="s">
        <v>13</v>
      </c>
      <c r="F2964" t="s">
        <v>14</v>
      </c>
      <c r="G2964" t="s">
        <v>20</v>
      </c>
      <c r="H2964" s="2">
        <v>91689</v>
      </c>
      <c r="I2964" s="2">
        <v>6</v>
      </c>
      <c r="J2964" s="2">
        <v>69261</v>
      </c>
      <c r="K2964" s="2">
        <v>41576</v>
      </c>
      <c r="L2964" s="2">
        <v>14</v>
      </c>
      <c r="M2964" t="str">
        <f>IF(Revv_bike_sales_data[[#This Row],[delivery_days]]&lt;=7, "Yes", "No")</f>
        <v>No</v>
      </c>
      <c r="N2964" t="s">
        <v>16</v>
      </c>
      <c r="O2964" s="2">
        <v>27685</v>
      </c>
    </row>
    <row r="2965" spans="1:15" x14ac:dyDescent="0.3">
      <c r="A2965" s="2">
        <v>2955</v>
      </c>
      <c r="B2965" s="1">
        <v>45050.083333333336</v>
      </c>
      <c r="C2965" s="1" t="str">
        <f t="shared" si="92"/>
        <v>05-2023</v>
      </c>
      <c r="D2965" s="2">
        <f t="shared" si="93"/>
        <v>18</v>
      </c>
      <c r="E2965" t="s">
        <v>25</v>
      </c>
      <c r="F2965" t="s">
        <v>14</v>
      </c>
      <c r="G2965" t="s">
        <v>15</v>
      </c>
      <c r="H2965" s="2">
        <v>15641</v>
      </c>
      <c r="I2965" s="2">
        <v>5</v>
      </c>
      <c r="J2965" s="2">
        <v>156114</v>
      </c>
      <c r="K2965" s="2">
        <v>65100</v>
      </c>
      <c r="L2965" s="2">
        <v>9</v>
      </c>
      <c r="M2965" t="str">
        <f>IF(Revv_bike_sales_data[[#This Row],[delivery_days]]&lt;=7, "Yes", "No")</f>
        <v>No</v>
      </c>
      <c r="N2965" t="s">
        <v>16</v>
      </c>
      <c r="O2965" s="2">
        <v>91014</v>
      </c>
    </row>
    <row r="2966" spans="1:15" x14ac:dyDescent="0.3">
      <c r="A2966" s="2">
        <v>2956</v>
      </c>
      <c r="B2966" s="1">
        <v>45050.125</v>
      </c>
      <c r="C2966" s="1" t="str">
        <f t="shared" si="92"/>
        <v>05-2023</v>
      </c>
      <c r="D2966" s="2">
        <f t="shared" si="93"/>
        <v>18</v>
      </c>
      <c r="E2966" t="s">
        <v>25</v>
      </c>
      <c r="F2966" t="s">
        <v>14</v>
      </c>
      <c r="G2966" t="s">
        <v>20</v>
      </c>
      <c r="H2966" s="2">
        <v>68413</v>
      </c>
      <c r="I2966" s="2">
        <v>7</v>
      </c>
      <c r="J2966" s="2">
        <v>47769</v>
      </c>
      <c r="K2966" s="2">
        <v>123064</v>
      </c>
      <c r="L2966" s="2">
        <v>8</v>
      </c>
      <c r="M2966" t="str">
        <f>IF(Revv_bike_sales_data[[#This Row],[delivery_days]]&lt;=7, "Yes", "No")</f>
        <v>No</v>
      </c>
      <c r="N2966" t="s">
        <v>16</v>
      </c>
      <c r="O2966" s="2">
        <v>-75295</v>
      </c>
    </row>
    <row r="2967" spans="1:15" x14ac:dyDescent="0.3">
      <c r="A2967" s="2">
        <v>2957</v>
      </c>
      <c r="B2967" s="1">
        <v>45050.166666666664</v>
      </c>
      <c r="C2967" s="1" t="str">
        <f t="shared" si="92"/>
        <v>05-2023</v>
      </c>
      <c r="D2967" s="2">
        <f t="shared" si="93"/>
        <v>18</v>
      </c>
      <c r="E2967" t="s">
        <v>13</v>
      </c>
      <c r="F2967" t="s">
        <v>14</v>
      </c>
      <c r="G2967" t="s">
        <v>19</v>
      </c>
      <c r="H2967" s="2">
        <v>34115</v>
      </c>
      <c r="I2967" s="2">
        <v>6</v>
      </c>
      <c r="J2967" s="2">
        <v>47449</v>
      </c>
      <c r="K2967" s="2">
        <v>96238</v>
      </c>
      <c r="L2967" s="2">
        <v>12</v>
      </c>
      <c r="M2967" t="str">
        <f>IF(Revv_bike_sales_data[[#This Row],[delivery_days]]&lt;=7, "Yes", "No")</f>
        <v>No</v>
      </c>
      <c r="N2967" t="s">
        <v>16</v>
      </c>
      <c r="O2967" s="2">
        <v>-48789</v>
      </c>
    </row>
    <row r="2968" spans="1:15" x14ac:dyDescent="0.3">
      <c r="A2968" s="2">
        <v>2958</v>
      </c>
      <c r="B2968" s="1">
        <v>45050.208333333336</v>
      </c>
      <c r="C2968" s="1" t="str">
        <f t="shared" si="92"/>
        <v>05-2023</v>
      </c>
      <c r="D2968" s="2">
        <f t="shared" si="93"/>
        <v>18</v>
      </c>
      <c r="E2968" t="s">
        <v>22</v>
      </c>
      <c r="F2968" t="s">
        <v>14</v>
      </c>
      <c r="G2968" t="s">
        <v>20</v>
      </c>
      <c r="H2968" s="2">
        <v>63251</v>
      </c>
      <c r="I2968" s="2">
        <v>9</v>
      </c>
      <c r="J2968" s="2">
        <v>164648</v>
      </c>
      <c r="K2968" s="2">
        <v>36320</v>
      </c>
      <c r="L2968" s="2">
        <v>2</v>
      </c>
      <c r="M2968" t="str">
        <f>IF(Revv_bike_sales_data[[#This Row],[delivery_days]]&lt;=7, "Yes", "No")</f>
        <v>Yes</v>
      </c>
      <c r="N2968" t="s">
        <v>16</v>
      </c>
      <c r="O2968" s="2">
        <v>128328</v>
      </c>
    </row>
    <row r="2969" spans="1:15" x14ac:dyDescent="0.3">
      <c r="A2969" s="2">
        <v>2959</v>
      </c>
      <c r="B2969" s="1">
        <v>45050.25</v>
      </c>
      <c r="C2969" s="1" t="str">
        <f t="shared" si="92"/>
        <v>05-2023</v>
      </c>
      <c r="D2969" s="2">
        <f t="shared" si="93"/>
        <v>18</v>
      </c>
      <c r="E2969" t="s">
        <v>18</v>
      </c>
      <c r="F2969" t="s">
        <v>14</v>
      </c>
      <c r="G2969" t="s">
        <v>19</v>
      </c>
      <c r="H2969" s="2">
        <v>27952</v>
      </c>
      <c r="I2969" s="2">
        <v>7</v>
      </c>
      <c r="J2969" s="2">
        <v>61345</v>
      </c>
      <c r="K2969" s="2">
        <v>98973</v>
      </c>
      <c r="L2969" s="2">
        <v>9</v>
      </c>
      <c r="M2969" t="str">
        <f>IF(Revv_bike_sales_data[[#This Row],[delivery_days]]&lt;=7, "Yes", "No")</f>
        <v>No</v>
      </c>
      <c r="N2969" t="s">
        <v>16</v>
      </c>
      <c r="O2969" s="2">
        <v>-37628</v>
      </c>
    </row>
    <row r="2970" spans="1:15" x14ac:dyDescent="0.3">
      <c r="A2970" s="2">
        <v>2960</v>
      </c>
      <c r="B2970" s="1">
        <v>45050.291666666664</v>
      </c>
      <c r="C2970" s="1" t="str">
        <f t="shared" si="92"/>
        <v>05-2023</v>
      </c>
      <c r="D2970" s="2">
        <f t="shared" si="93"/>
        <v>18</v>
      </c>
      <c r="E2970" t="s">
        <v>25</v>
      </c>
      <c r="F2970" t="s">
        <v>14</v>
      </c>
      <c r="G2970" t="s">
        <v>20</v>
      </c>
      <c r="H2970" s="2">
        <v>23225</v>
      </c>
      <c r="I2970" s="2">
        <v>2</v>
      </c>
      <c r="J2970" s="2">
        <v>142926</v>
      </c>
      <c r="K2970" s="2">
        <v>80729</v>
      </c>
      <c r="L2970" s="2">
        <v>8</v>
      </c>
      <c r="M2970" t="str">
        <f>IF(Revv_bike_sales_data[[#This Row],[delivery_days]]&lt;=7, "Yes", "No")</f>
        <v>No</v>
      </c>
      <c r="N2970" t="s">
        <v>16</v>
      </c>
      <c r="O2970" s="2">
        <v>62197</v>
      </c>
    </row>
    <row r="2971" spans="1:15" x14ac:dyDescent="0.3">
      <c r="A2971" s="2">
        <v>2961</v>
      </c>
      <c r="B2971" s="1">
        <v>45050.333333333336</v>
      </c>
      <c r="C2971" s="1" t="str">
        <f t="shared" si="92"/>
        <v>05-2023</v>
      </c>
      <c r="D2971" s="2">
        <f t="shared" si="93"/>
        <v>18</v>
      </c>
      <c r="E2971" t="s">
        <v>22</v>
      </c>
      <c r="F2971" t="s">
        <v>23</v>
      </c>
      <c r="G2971" t="s">
        <v>19</v>
      </c>
      <c r="H2971" s="2">
        <v>50891</v>
      </c>
      <c r="I2971" s="2">
        <v>5</v>
      </c>
      <c r="J2971" s="2">
        <v>149576</v>
      </c>
      <c r="K2971" s="2">
        <v>105853</v>
      </c>
      <c r="L2971" s="2">
        <v>14</v>
      </c>
      <c r="M2971" t="str">
        <f>IF(Revv_bike_sales_data[[#This Row],[delivery_days]]&lt;=7, "Yes", "No")</f>
        <v>No</v>
      </c>
      <c r="N2971" t="s">
        <v>16</v>
      </c>
      <c r="O2971" s="2">
        <v>43723</v>
      </c>
    </row>
    <row r="2972" spans="1:15" x14ac:dyDescent="0.3">
      <c r="A2972" s="2">
        <v>2962</v>
      </c>
      <c r="B2972" s="1">
        <v>45050.375</v>
      </c>
      <c r="C2972" s="1" t="str">
        <f t="shared" si="92"/>
        <v>05-2023</v>
      </c>
      <c r="D2972" s="2">
        <f t="shared" si="93"/>
        <v>18</v>
      </c>
      <c r="E2972" t="s">
        <v>17</v>
      </c>
      <c r="F2972" t="s">
        <v>23</v>
      </c>
      <c r="G2972" t="s">
        <v>21</v>
      </c>
      <c r="H2972" s="2">
        <v>75560</v>
      </c>
      <c r="I2972" s="2">
        <v>6</v>
      </c>
      <c r="J2972" s="2">
        <v>94428</v>
      </c>
      <c r="K2972" s="2">
        <v>136992</v>
      </c>
      <c r="L2972" s="2">
        <v>14</v>
      </c>
      <c r="M2972" t="str">
        <f>IF(Revv_bike_sales_data[[#This Row],[delivery_days]]&lt;=7, "Yes", "No")</f>
        <v>No</v>
      </c>
      <c r="N2972" t="s">
        <v>16</v>
      </c>
      <c r="O2972" s="2">
        <v>-42564</v>
      </c>
    </row>
    <row r="2973" spans="1:15" x14ac:dyDescent="0.3">
      <c r="A2973" s="2">
        <v>2963</v>
      </c>
      <c r="B2973" s="1">
        <v>45050.416666666664</v>
      </c>
      <c r="C2973" s="1" t="str">
        <f t="shared" si="92"/>
        <v>05-2023</v>
      </c>
      <c r="D2973" s="2">
        <f t="shared" si="93"/>
        <v>18</v>
      </c>
      <c r="E2973" t="s">
        <v>25</v>
      </c>
      <c r="F2973" t="s">
        <v>14</v>
      </c>
      <c r="G2973" t="s">
        <v>20</v>
      </c>
      <c r="H2973" s="2">
        <v>12198</v>
      </c>
      <c r="I2973" s="2">
        <v>9</v>
      </c>
      <c r="J2973" s="2">
        <v>29321</v>
      </c>
      <c r="K2973" s="2">
        <v>109018</v>
      </c>
      <c r="L2973" s="2">
        <v>12</v>
      </c>
      <c r="M2973" t="str">
        <f>IF(Revv_bike_sales_data[[#This Row],[delivery_days]]&lt;=7, "Yes", "No")</f>
        <v>No</v>
      </c>
      <c r="N2973" t="s">
        <v>16</v>
      </c>
      <c r="O2973" s="2">
        <v>-79697</v>
      </c>
    </row>
    <row r="2974" spans="1:15" x14ac:dyDescent="0.3">
      <c r="A2974" s="2">
        <v>2964</v>
      </c>
      <c r="B2974" s="1">
        <v>45050.458333333336</v>
      </c>
      <c r="C2974" s="1" t="str">
        <f t="shared" si="92"/>
        <v>05-2023</v>
      </c>
      <c r="D2974" s="2">
        <f t="shared" si="93"/>
        <v>18</v>
      </c>
      <c r="E2974" t="s">
        <v>22</v>
      </c>
      <c r="F2974" t="s">
        <v>14</v>
      </c>
      <c r="G2974" t="s">
        <v>19</v>
      </c>
      <c r="H2974" s="2">
        <v>87211</v>
      </c>
      <c r="I2974" s="2">
        <v>0</v>
      </c>
      <c r="J2974" s="2">
        <v>30776</v>
      </c>
      <c r="K2974" s="2">
        <v>99879</v>
      </c>
      <c r="L2974" s="2">
        <v>9</v>
      </c>
      <c r="M2974" t="str">
        <f>IF(Revv_bike_sales_data[[#This Row],[delivery_days]]&lt;=7, "Yes", "No")</f>
        <v>No</v>
      </c>
      <c r="N2974" t="s">
        <v>16</v>
      </c>
      <c r="O2974" s="2">
        <v>-69103</v>
      </c>
    </row>
    <row r="2975" spans="1:15" x14ac:dyDescent="0.3">
      <c r="A2975" s="2">
        <v>2965</v>
      </c>
      <c r="B2975" s="1">
        <v>45050.5</v>
      </c>
      <c r="C2975" s="1" t="str">
        <f t="shared" si="92"/>
        <v>05-2023</v>
      </c>
      <c r="D2975" s="2">
        <f t="shared" si="93"/>
        <v>18</v>
      </c>
      <c r="E2975" t="s">
        <v>22</v>
      </c>
      <c r="F2975" t="s">
        <v>23</v>
      </c>
      <c r="G2975" t="s">
        <v>20</v>
      </c>
      <c r="H2975" s="2">
        <v>78350</v>
      </c>
      <c r="I2975" s="2">
        <v>0</v>
      </c>
      <c r="J2975" s="2">
        <v>41119</v>
      </c>
      <c r="K2975" s="2">
        <v>44144</v>
      </c>
      <c r="L2975" s="2">
        <v>4</v>
      </c>
      <c r="M2975" t="str">
        <f>IF(Revv_bike_sales_data[[#This Row],[delivery_days]]&lt;=7, "Yes", "No")</f>
        <v>Yes</v>
      </c>
      <c r="N2975" t="s">
        <v>16</v>
      </c>
      <c r="O2975" s="2">
        <v>-3025</v>
      </c>
    </row>
    <row r="2976" spans="1:15" x14ac:dyDescent="0.3">
      <c r="A2976" s="2">
        <v>2966</v>
      </c>
      <c r="B2976" s="1">
        <v>45050.541666666664</v>
      </c>
      <c r="C2976" s="1" t="str">
        <f t="shared" si="92"/>
        <v>05-2023</v>
      </c>
      <c r="D2976" s="2">
        <f t="shared" si="93"/>
        <v>18</v>
      </c>
      <c r="E2976" t="s">
        <v>18</v>
      </c>
      <c r="F2976" t="s">
        <v>14</v>
      </c>
      <c r="G2976" t="s">
        <v>15</v>
      </c>
      <c r="H2976" s="2">
        <v>2865</v>
      </c>
      <c r="I2976" s="2">
        <v>6</v>
      </c>
      <c r="J2976" s="2">
        <v>155078</v>
      </c>
      <c r="K2976" s="2">
        <v>72326</v>
      </c>
      <c r="L2976" s="2">
        <v>9</v>
      </c>
      <c r="M2976" t="str">
        <f>IF(Revv_bike_sales_data[[#This Row],[delivery_days]]&lt;=7, "Yes", "No")</f>
        <v>No</v>
      </c>
      <c r="N2976" t="s">
        <v>16</v>
      </c>
      <c r="O2976" s="2">
        <v>82752</v>
      </c>
    </row>
    <row r="2977" spans="1:15" x14ac:dyDescent="0.3">
      <c r="A2977" s="2">
        <v>2967</v>
      </c>
      <c r="B2977" s="1">
        <v>45050.583333333336</v>
      </c>
      <c r="C2977" s="1" t="str">
        <f t="shared" si="92"/>
        <v>05-2023</v>
      </c>
      <c r="D2977" s="2">
        <f t="shared" si="93"/>
        <v>18</v>
      </c>
      <c r="E2977" t="s">
        <v>18</v>
      </c>
      <c r="F2977" t="s">
        <v>14</v>
      </c>
      <c r="G2977" t="s">
        <v>21</v>
      </c>
      <c r="H2977" s="2">
        <v>98053</v>
      </c>
      <c r="I2977" s="2">
        <v>2</v>
      </c>
      <c r="J2977" s="2">
        <v>77967</v>
      </c>
      <c r="K2977" s="2">
        <v>92148</v>
      </c>
      <c r="L2977" s="2">
        <v>2</v>
      </c>
      <c r="M2977" t="str">
        <f>IF(Revv_bike_sales_data[[#This Row],[delivery_days]]&lt;=7, "Yes", "No")</f>
        <v>Yes</v>
      </c>
      <c r="N2977" t="s">
        <v>16</v>
      </c>
      <c r="O2977" s="2">
        <v>-14181</v>
      </c>
    </row>
    <row r="2978" spans="1:15" x14ac:dyDescent="0.3">
      <c r="A2978" s="2">
        <v>2968</v>
      </c>
      <c r="B2978" s="1">
        <v>45050.625</v>
      </c>
      <c r="C2978" s="1" t="str">
        <f t="shared" si="92"/>
        <v>05-2023</v>
      </c>
      <c r="D2978" s="2">
        <f t="shared" si="93"/>
        <v>18</v>
      </c>
      <c r="E2978" t="s">
        <v>17</v>
      </c>
      <c r="F2978" t="s">
        <v>23</v>
      </c>
      <c r="G2978" t="s">
        <v>19</v>
      </c>
      <c r="H2978" s="2">
        <v>98162</v>
      </c>
      <c r="I2978" s="2">
        <v>2</v>
      </c>
      <c r="J2978" s="2">
        <v>178412</v>
      </c>
      <c r="K2978" s="2">
        <v>34307</v>
      </c>
      <c r="L2978" s="2">
        <v>13</v>
      </c>
      <c r="M2978" t="str">
        <f>IF(Revv_bike_sales_data[[#This Row],[delivery_days]]&lt;=7, "Yes", "No")</f>
        <v>No</v>
      </c>
      <c r="N2978" t="s">
        <v>16</v>
      </c>
      <c r="O2978" s="2">
        <v>144105</v>
      </c>
    </row>
    <row r="2979" spans="1:15" x14ac:dyDescent="0.3">
      <c r="A2979" s="2">
        <v>2969</v>
      </c>
      <c r="B2979" s="1">
        <v>45050.666666666664</v>
      </c>
      <c r="C2979" s="1" t="str">
        <f t="shared" si="92"/>
        <v>05-2023</v>
      </c>
      <c r="D2979" s="2">
        <f t="shared" si="93"/>
        <v>18</v>
      </c>
      <c r="E2979" t="s">
        <v>22</v>
      </c>
      <c r="F2979" t="s">
        <v>14</v>
      </c>
      <c r="G2979" t="s">
        <v>15</v>
      </c>
      <c r="H2979" s="2">
        <v>43872</v>
      </c>
      <c r="I2979" s="2">
        <v>4</v>
      </c>
      <c r="J2979" s="2">
        <v>100723</v>
      </c>
      <c r="K2979" s="2">
        <v>75598</v>
      </c>
      <c r="L2979" s="2">
        <v>1</v>
      </c>
      <c r="M2979" t="str">
        <f>IF(Revv_bike_sales_data[[#This Row],[delivery_days]]&lt;=7, "Yes", "No")</f>
        <v>Yes</v>
      </c>
      <c r="N2979" t="s">
        <v>24</v>
      </c>
      <c r="O2979" s="2">
        <v>25125</v>
      </c>
    </row>
    <row r="2980" spans="1:15" x14ac:dyDescent="0.3">
      <c r="A2980" s="2">
        <v>2970</v>
      </c>
      <c r="B2980" s="1">
        <v>45050.708333333336</v>
      </c>
      <c r="C2980" s="1" t="str">
        <f t="shared" si="92"/>
        <v>05-2023</v>
      </c>
      <c r="D2980" s="2">
        <f t="shared" si="93"/>
        <v>18</v>
      </c>
      <c r="E2980" t="s">
        <v>22</v>
      </c>
      <c r="F2980" t="s">
        <v>14</v>
      </c>
      <c r="G2980" t="s">
        <v>20</v>
      </c>
      <c r="H2980" s="2">
        <v>44634</v>
      </c>
      <c r="I2980" s="2">
        <v>5</v>
      </c>
      <c r="J2980" s="2">
        <v>137620</v>
      </c>
      <c r="K2980" s="2">
        <v>34623</v>
      </c>
      <c r="L2980" s="2">
        <v>13</v>
      </c>
      <c r="M2980" t="str">
        <f>IF(Revv_bike_sales_data[[#This Row],[delivery_days]]&lt;=7, "Yes", "No")</f>
        <v>No</v>
      </c>
      <c r="N2980" t="s">
        <v>16</v>
      </c>
      <c r="O2980" s="2">
        <v>102997</v>
      </c>
    </row>
    <row r="2981" spans="1:15" x14ac:dyDescent="0.3">
      <c r="A2981" s="2">
        <v>2971</v>
      </c>
      <c r="B2981" s="1">
        <v>45050.75</v>
      </c>
      <c r="C2981" s="1" t="str">
        <f t="shared" si="92"/>
        <v>05-2023</v>
      </c>
      <c r="D2981" s="2">
        <f t="shared" si="93"/>
        <v>18</v>
      </c>
      <c r="E2981" t="s">
        <v>18</v>
      </c>
      <c r="F2981" t="s">
        <v>23</v>
      </c>
      <c r="G2981" t="s">
        <v>15</v>
      </c>
      <c r="H2981" s="2">
        <v>38323</v>
      </c>
      <c r="I2981" s="2">
        <v>1</v>
      </c>
      <c r="J2981" s="2">
        <v>162740</v>
      </c>
      <c r="K2981" s="2">
        <v>35249</v>
      </c>
      <c r="L2981" s="2">
        <v>9</v>
      </c>
      <c r="M2981" t="str">
        <f>IF(Revv_bike_sales_data[[#This Row],[delivery_days]]&lt;=7, "Yes", "No")</f>
        <v>No</v>
      </c>
      <c r="N2981" t="s">
        <v>16</v>
      </c>
      <c r="O2981" s="2">
        <v>127491</v>
      </c>
    </row>
    <row r="2982" spans="1:15" x14ac:dyDescent="0.3">
      <c r="A2982" s="2">
        <v>2972</v>
      </c>
      <c r="B2982" s="1">
        <v>45050.791666666664</v>
      </c>
      <c r="C2982" s="1" t="str">
        <f t="shared" si="92"/>
        <v>05-2023</v>
      </c>
      <c r="D2982" s="2">
        <f t="shared" si="93"/>
        <v>18</v>
      </c>
      <c r="E2982" t="s">
        <v>25</v>
      </c>
      <c r="F2982" t="s">
        <v>14</v>
      </c>
      <c r="G2982" t="s">
        <v>20</v>
      </c>
      <c r="H2982" s="2">
        <v>71658</v>
      </c>
      <c r="I2982" s="2">
        <v>2</v>
      </c>
      <c r="J2982" s="2">
        <v>105880</v>
      </c>
      <c r="K2982" s="2">
        <v>88765</v>
      </c>
      <c r="L2982" s="2">
        <v>10</v>
      </c>
      <c r="M2982" t="str">
        <f>IF(Revv_bike_sales_data[[#This Row],[delivery_days]]&lt;=7, "Yes", "No")</f>
        <v>No</v>
      </c>
      <c r="N2982" t="s">
        <v>16</v>
      </c>
      <c r="O2982" s="2">
        <v>17115</v>
      </c>
    </row>
    <row r="2983" spans="1:15" x14ac:dyDescent="0.3">
      <c r="A2983" s="2">
        <v>2973</v>
      </c>
      <c r="B2983" s="1">
        <v>45050.833333333336</v>
      </c>
      <c r="C2983" s="1" t="str">
        <f t="shared" si="92"/>
        <v>05-2023</v>
      </c>
      <c r="D2983" s="2">
        <f t="shared" si="93"/>
        <v>18</v>
      </c>
      <c r="E2983" t="s">
        <v>25</v>
      </c>
      <c r="F2983" t="s">
        <v>14</v>
      </c>
      <c r="G2983" t="s">
        <v>21</v>
      </c>
      <c r="H2983" s="2">
        <v>96576</v>
      </c>
      <c r="I2983" s="2">
        <v>5</v>
      </c>
      <c r="J2983" s="2">
        <v>33195</v>
      </c>
      <c r="K2983" s="2">
        <v>106810</v>
      </c>
      <c r="L2983" s="2">
        <v>8</v>
      </c>
      <c r="M2983" t="str">
        <f>IF(Revv_bike_sales_data[[#This Row],[delivery_days]]&lt;=7, "Yes", "No")</f>
        <v>No</v>
      </c>
      <c r="N2983" t="s">
        <v>16</v>
      </c>
      <c r="O2983" s="2">
        <v>-73615</v>
      </c>
    </row>
    <row r="2984" spans="1:15" x14ac:dyDescent="0.3">
      <c r="A2984" s="2">
        <v>2974</v>
      </c>
      <c r="B2984" s="1">
        <v>45050.875</v>
      </c>
      <c r="C2984" s="1" t="str">
        <f t="shared" si="92"/>
        <v>05-2023</v>
      </c>
      <c r="D2984" s="2">
        <f t="shared" si="93"/>
        <v>18</v>
      </c>
      <c r="E2984" t="s">
        <v>13</v>
      </c>
      <c r="F2984" t="s">
        <v>14</v>
      </c>
      <c r="G2984" t="s">
        <v>15</v>
      </c>
      <c r="H2984" s="2">
        <v>2449</v>
      </c>
      <c r="I2984" s="2">
        <v>2</v>
      </c>
      <c r="J2984" s="2">
        <v>127658</v>
      </c>
      <c r="K2984" s="2">
        <v>117870</v>
      </c>
      <c r="L2984" s="2">
        <v>7</v>
      </c>
      <c r="M2984" t="str">
        <f>IF(Revv_bike_sales_data[[#This Row],[delivery_days]]&lt;=7, "Yes", "No")</f>
        <v>Yes</v>
      </c>
      <c r="N2984" t="s">
        <v>16</v>
      </c>
      <c r="O2984" s="2">
        <v>9788</v>
      </c>
    </row>
    <row r="2985" spans="1:15" x14ac:dyDescent="0.3">
      <c r="A2985" s="2">
        <v>2975</v>
      </c>
      <c r="B2985" s="1">
        <v>45050.916666666664</v>
      </c>
      <c r="C2985" s="1" t="str">
        <f t="shared" si="92"/>
        <v>05-2023</v>
      </c>
      <c r="D2985" s="2">
        <f t="shared" si="93"/>
        <v>18</v>
      </c>
      <c r="E2985" t="s">
        <v>18</v>
      </c>
      <c r="F2985" t="s">
        <v>14</v>
      </c>
      <c r="G2985" t="s">
        <v>21</v>
      </c>
      <c r="H2985" s="2">
        <v>49896</v>
      </c>
      <c r="I2985" s="2">
        <v>4</v>
      </c>
      <c r="J2985" s="2">
        <v>82995</v>
      </c>
      <c r="K2985" s="2">
        <v>87131</v>
      </c>
      <c r="L2985" s="2">
        <v>14</v>
      </c>
      <c r="M2985" t="str">
        <f>IF(Revv_bike_sales_data[[#This Row],[delivery_days]]&lt;=7, "Yes", "No")</f>
        <v>No</v>
      </c>
      <c r="N2985" t="s">
        <v>16</v>
      </c>
      <c r="O2985" s="2">
        <v>-4136</v>
      </c>
    </row>
    <row r="2986" spans="1:15" x14ac:dyDescent="0.3">
      <c r="A2986" s="2">
        <v>2976</v>
      </c>
      <c r="B2986" s="1">
        <v>45050.958333333336</v>
      </c>
      <c r="C2986" s="1" t="str">
        <f t="shared" si="92"/>
        <v>05-2023</v>
      </c>
      <c r="D2986" s="2">
        <f t="shared" si="93"/>
        <v>18</v>
      </c>
      <c r="E2986" t="s">
        <v>13</v>
      </c>
      <c r="F2986" t="s">
        <v>14</v>
      </c>
      <c r="G2986" t="s">
        <v>19</v>
      </c>
      <c r="H2986" s="2">
        <v>32412</v>
      </c>
      <c r="I2986" s="2">
        <v>8</v>
      </c>
      <c r="J2986" s="2">
        <v>155112</v>
      </c>
      <c r="K2986" s="2">
        <v>109138</v>
      </c>
      <c r="L2986" s="2">
        <v>13</v>
      </c>
      <c r="M2986" t="str">
        <f>IF(Revv_bike_sales_data[[#This Row],[delivery_days]]&lt;=7, "Yes", "No")</f>
        <v>No</v>
      </c>
      <c r="N2986" t="s">
        <v>16</v>
      </c>
      <c r="O2986" s="2">
        <v>45974</v>
      </c>
    </row>
    <row r="2987" spans="1:15" x14ac:dyDescent="0.3">
      <c r="A2987" s="2">
        <v>2977</v>
      </c>
      <c r="B2987" s="1">
        <v>45051</v>
      </c>
      <c r="C2987" s="1" t="str">
        <f t="shared" ref="C2987:C3018" si="94">TEXT(B2987,"mm-yyyy")</f>
        <v>05-2023</v>
      </c>
      <c r="D2987" s="2">
        <f t="shared" si="93"/>
        <v>18</v>
      </c>
      <c r="E2987" t="s">
        <v>18</v>
      </c>
      <c r="F2987" t="s">
        <v>14</v>
      </c>
      <c r="G2987" t="s">
        <v>20</v>
      </c>
      <c r="H2987" s="2">
        <v>57447</v>
      </c>
      <c r="I2987" s="2">
        <v>2</v>
      </c>
      <c r="J2987" s="2">
        <v>63250</v>
      </c>
      <c r="K2987" s="2">
        <v>53377</v>
      </c>
      <c r="L2987" s="2">
        <v>8</v>
      </c>
      <c r="M2987" t="str">
        <f>IF(Revv_bike_sales_data[[#This Row],[delivery_days]]&lt;=7, "Yes", "No")</f>
        <v>No</v>
      </c>
      <c r="N2987" t="s">
        <v>16</v>
      </c>
      <c r="O2987" s="2">
        <v>9873</v>
      </c>
    </row>
    <row r="2988" spans="1:15" x14ac:dyDescent="0.3">
      <c r="A2988" s="2">
        <v>2978</v>
      </c>
      <c r="B2988" s="1">
        <v>45051.041666666664</v>
      </c>
      <c r="C2988" s="1" t="str">
        <f t="shared" si="94"/>
        <v>05-2023</v>
      </c>
      <c r="D2988" s="2">
        <f t="shared" si="93"/>
        <v>18</v>
      </c>
      <c r="E2988" t="s">
        <v>17</v>
      </c>
      <c r="F2988" t="s">
        <v>23</v>
      </c>
      <c r="G2988" t="s">
        <v>20</v>
      </c>
      <c r="H2988" s="2">
        <v>98197</v>
      </c>
      <c r="I2988" s="2">
        <v>5</v>
      </c>
      <c r="J2988" s="2">
        <v>172148</v>
      </c>
      <c r="K2988" s="2">
        <v>67365</v>
      </c>
      <c r="L2988" s="2">
        <v>12</v>
      </c>
      <c r="M2988" t="str">
        <f>IF(Revv_bike_sales_data[[#This Row],[delivery_days]]&lt;=7, "Yes", "No")</f>
        <v>No</v>
      </c>
      <c r="N2988" t="s">
        <v>16</v>
      </c>
      <c r="O2988" s="2">
        <v>104783</v>
      </c>
    </row>
    <row r="2989" spans="1:15" x14ac:dyDescent="0.3">
      <c r="A2989" s="2">
        <v>2979</v>
      </c>
      <c r="B2989" s="1">
        <v>45051.083333333336</v>
      </c>
      <c r="C2989" s="1" t="str">
        <f t="shared" si="94"/>
        <v>05-2023</v>
      </c>
      <c r="D2989" s="2">
        <f t="shared" si="93"/>
        <v>18</v>
      </c>
      <c r="E2989" t="s">
        <v>22</v>
      </c>
      <c r="F2989" t="s">
        <v>14</v>
      </c>
      <c r="G2989" t="s">
        <v>21</v>
      </c>
      <c r="H2989" s="2">
        <v>44887</v>
      </c>
      <c r="I2989" s="2">
        <v>4</v>
      </c>
      <c r="J2989" s="2">
        <v>40376</v>
      </c>
      <c r="K2989" s="2">
        <v>118412</v>
      </c>
      <c r="L2989" s="2">
        <v>1</v>
      </c>
      <c r="M2989" t="str">
        <f>IF(Revv_bike_sales_data[[#This Row],[delivery_days]]&lt;=7, "Yes", "No")</f>
        <v>Yes</v>
      </c>
      <c r="N2989" t="s">
        <v>16</v>
      </c>
      <c r="O2989" s="2">
        <v>-78036</v>
      </c>
    </row>
    <row r="2990" spans="1:15" x14ac:dyDescent="0.3">
      <c r="A2990" s="2">
        <v>2980</v>
      </c>
      <c r="B2990" s="1">
        <v>45051.125</v>
      </c>
      <c r="C2990" s="1" t="str">
        <f t="shared" si="94"/>
        <v>05-2023</v>
      </c>
      <c r="D2990" s="2">
        <f t="shared" si="93"/>
        <v>18</v>
      </c>
      <c r="E2990" t="s">
        <v>17</v>
      </c>
      <c r="F2990" t="s">
        <v>14</v>
      </c>
      <c r="G2990" t="s">
        <v>21</v>
      </c>
      <c r="H2990" s="2">
        <v>64465</v>
      </c>
      <c r="I2990" s="2">
        <v>4</v>
      </c>
      <c r="J2990" s="2">
        <v>89723</v>
      </c>
      <c r="K2990" s="2">
        <v>49551</v>
      </c>
      <c r="L2990" s="2">
        <v>14</v>
      </c>
      <c r="M2990" t="str">
        <f>IF(Revv_bike_sales_data[[#This Row],[delivery_days]]&lt;=7, "Yes", "No")</f>
        <v>No</v>
      </c>
      <c r="N2990" t="s">
        <v>24</v>
      </c>
      <c r="O2990" s="2">
        <v>40172</v>
      </c>
    </row>
    <row r="2991" spans="1:15" x14ac:dyDescent="0.3">
      <c r="A2991" s="2">
        <v>2981</v>
      </c>
      <c r="B2991" s="1">
        <v>45051.166666666664</v>
      </c>
      <c r="C2991" s="1" t="str">
        <f t="shared" si="94"/>
        <v>05-2023</v>
      </c>
      <c r="D2991" s="2">
        <f t="shared" si="93"/>
        <v>18</v>
      </c>
      <c r="E2991" t="s">
        <v>18</v>
      </c>
      <c r="F2991" t="s">
        <v>14</v>
      </c>
      <c r="G2991" t="s">
        <v>19</v>
      </c>
      <c r="H2991" s="2">
        <v>17008</v>
      </c>
      <c r="I2991" s="2">
        <v>5</v>
      </c>
      <c r="J2991" s="2">
        <v>68442</v>
      </c>
      <c r="K2991" s="2">
        <v>57926</v>
      </c>
      <c r="L2991" s="2">
        <v>9</v>
      </c>
      <c r="M2991" t="str">
        <f>IF(Revv_bike_sales_data[[#This Row],[delivery_days]]&lt;=7, "Yes", "No")</f>
        <v>No</v>
      </c>
      <c r="N2991" t="s">
        <v>16</v>
      </c>
      <c r="O2991" s="2">
        <v>10516</v>
      </c>
    </row>
    <row r="2992" spans="1:15" x14ac:dyDescent="0.3">
      <c r="A2992" s="2">
        <v>2982</v>
      </c>
      <c r="B2992" s="1">
        <v>45051.208333333336</v>
      </c>
      <c r="C2992" s="1" t="str">
        <f t="shared" si="94"/>
        <v>05-2023</v>
      </c>
      <c r="D2992" s="2">
        <f t="shared" si="93"/>
        <v>18</v>
      </c>
      <c r="E2992" t="s">
        <v>22</v>
      </c>
      <c r="F2992" t="s">
        <v>14</v>
      </c>
      <c r="G2992" t="s">
        <v>15</v>
      </c>
      <c r="H2992" s="2">
        <v>46092</v>
      </c>
      <c r="I2992" s="2">
        <v>5</v>
      </c>
      <c r="J2992" s="2">
        <v>30392</v>
      </c>
      <c r="K2992" s="2">
        <v>105214</v>
      </c>
      <c r="L2992" s="2">
        <v>12</v>
      </c>
      <c r="M2992" t="str">
        <f>IF(Revv_bike_sales_data[[#This Row],[delivery_days]]&lt;=7, "Yes", "No")</f>
        <v>No</v>
      </c>
      <c r="N2992" t="s">
        <v>16</v>
      </c>
      <c r="O2992" s="2">
        <v>-74822</v>
      </c>
    </row>
    <row r="2993" spans="1:15" x14ac:dyDescent="0.3">
      <c r="A2993" s="2">
        <v>2983</v>
      </c>
      <c r="B2993" s="1">
        <v>45051.25</v>
      </c>
      <c r="C2993" s="1" t="str">
        <f t="shared" si="94"/>
        <v>05-2023</v>
      </c>
      <c r="D2993" s="2">
        <f t="shared" si="93"/>
        <v>18</v>
      </c>
      <c r="E2993" t="s">
        <v>25</v>
      </c>
      <c r="F2993" t="s">
        <v>14</v>
      </c>
      <c r="G2993" t="s">
        <v>20</v>
      </c>
      <c r="H2993" s="2">
        <v>2419</v>
      </c>
      <c r="I2993" s="2">
        <v>0</v>
      </c>
      <c r="J2993" s="2">
        <v>49809</v>
      </c>
      <c r="K2993" s="2">
        <v>102750</v>
      </c>
      <c r="L2993" s="2">
        <v>10</v>
      </c>
      <c r="M2993" t="str">
        <f>IF(Revv_bike_sales_data[[#This Row],[delivery_days]]&lt;=7, "Yes", "No")</f>
        <v>No</v>
      </c>
      <c r="N2993" t="s">
        <v>16</v>
      </c>
      <c r="O2993" s="2">
        <v>-52941</v>
      </c>
    </row>
    <row r="2994" spans="1:15" x14ac:dyDescent="0.3">
      <c r="A2994" s="2">
        <v>2984</v>
      </c>
      <c r="B2994" s="1">
        <v>45051.291666666664</v>
      </c>
      <c r="C2994" s="1" t="str">
        <f t="shared" si="94"/>
        <v>05-2023</v>
      </c>
      <c r="D2994" s="2">
        <f t="shared" si="93"/>
        <v>18</v>
      </c>
      <c r="E2994" t="s">
        <v>25</v>
      </c>
      <c r="F2994" t="s">
        <v>23</v>
      </c>
      <c r="G2994" t="s">
        <v>20</v>
      </c>
      <c r="H2994" s="2">
        <v>43095</v>
      </c>
      <c r="I2994" s="2">
        <v>8</v>
      </c>
      <c r="J2994" s="2">
        <v>140095</v>
      </c>
      <c r="K2994" s="2">
        <v>53599</v>
      </c>
      <c r="L2994" s="2">
        <v>11</v>
      </c>
      <c r="M2994" t="str">
        <f>IF(Revv_bike_sales_data[[#This Row],[delivery_days]]&lt;=7, "Yes", "No")</f>
        <v>No</v>
      </c>
      <c r="N2994" t="s">
        <v>24</v>
      </c>
      <c r="O2994" s="2">
        <v>86496</v>
      </c>
    </row>
    <row r="2995" spans="1:15" x14ac:dyDescent="0.3">
      <c r="A2995" s="2">
        <v>2985</v>
      </c>
      <c r="B2995" s="1">
        <v>45051.333333333336</v>
      </c>
      <c r="C2995" s="1" t="str">
        <f t="shared" si="94"/>
        <v>05-2023</v>
      </c>
      <c r="D2995" s="2">
        <f t="shared" si="93"/>
        <v>18</v>
      </c>
      <c r="E2995" t="s">
        <v>13</v>
      </c>
      <c r="F2995" t="s">
        <v>23</v>
      </c>
      <c r="G2995" t="s">
        <v>19</v>
      </c>
      <c r="H2995" s="2">
        <v>10117</v>
      </c>
      <c r="I2995" s="2">
        <v>4</v>
      </c>
      <c r="J2995" s="2">
        <v>156765</v>
      </c>
      <c r="K2995" s="2">
        <v>113345</v>
      </c>
      <c r="L2995" s="2">
        <v>9</v>
      </c>
      <c r="M2995" t="str">
        <f>IF(Revv_bike_sales_data[[#This Row],[delivery_days]]&lt;=7, "Yes", "No")</f>
        <v>No</v>
      </c>
      <c r="N2995" t="s">
        <v>24</v>
      </c>
      <c r="O2995" s="2">
        <v>43420</v>
      </c>
    </row>
    <row r="2996" spans="1:15" x14ac:dyDescent="0.3">
      <c r="A2996" s="2">
        <v>2986</v>
      </c>
      <c r="B2996" s="1">
        <v>45051.375</v>
      </c>
      <c r="C2996" s="1" t="str">
        <f t="shared" si="94"/>
        <v>05-2023</v>
      </c>
      <c r="D2996" s="2">
        <f t="shared" si="93"/>
        <v>18</v>
      </c>
      <c r="E2996" t="s">
        <v>18</v>
      </c>
      <c r="F2996" t="s">
        <v>14</v>
      </c>
      <c r="G2996" t="s">
        <v>19</v>
      </c>
      <c r="H2996" s="2">
        <v>75768</v>
      </c>
      <c r="I2996" s="2">
        <v>0</v>
      </c>
      <c r="J2996" s="2">
        <v>124473</v>
      </c>
      <c r="K2996" s="2">
        <v>124490</v>
      </c>
      <c r="L2996" s="2">
        <v>12</v>
      </c>
      <c r="M2996" t="str">
        <f>IF(Revv_bike_sales_data[[#This Row],[delivery_days]]&lt;=7, "Yes", "No")</f>
        <v>No</v>
      </c>
      <c r="N2996" t="s">
        <v>16</v>
      </c>
      <c r="O2996" s="2">
        <v>-17</v>
      </c>
    </row>
    <row r="2997" spans="1:15" x14ac:dyDescent="0.3">
      <c r="A2997" s="2">
        <v>2987</v>
      </c>
      <c r="B2997" s="1">
        <v>45051.416666666664</v>
      </c>
      <c r="C2997" s="1" t="str">
        <f t="shared" si="94"/>
        <v>05-2023</v>
      </c>
      <c r="D2997" s="2">
        <f t="shared" si="93"/>
        <v>18</v>
      </c>
      <c r="E2997" t="s">
        <v>18</v>
      </c>
      <c r="F2997" t="s">
        <v>14</v>
      </c>
      <c r="G2997" t="s">
        <v>21</v>
      </c>
      <c r="H2997" s="2">
        <v>33798</v>
      </c>
      <c r="I2997" s="2">
        <v>7</v>
      </c>
      <c r="J2997" s="2">
        <v>119769</v>
      </c>
      <c r="K2997" s="2">
        <v>108330</v>
      </c>
      <c r="L2997" s="2">
        <v>11</v>
      </c>
      <c r="M2997" t="str">
        <f>IF(Revv_bike_sales_data[[#This Row],[delivery_days]]&lt;=7, "Yes", "No")</f>
        <v>No</v>
      </c>
      <c r="N2997" t="s">
        <v>16</v>
      </c>
      <c r="O2997" s="2">
        <v>11439</v>
      </c>
    </row>
    <row r="2998" spans="1:15" x14ac:dyDescent="0.3">
      <c r="A2998" s="2">
        <v>2988</v>
      </c>
      <c r="B2998" s="1">
        <v>45051.458333333336</v>
      </c>
      <c r="C2998" s="1" t="str">
        <f t="shared" si="94"/>
        <v>05-2023</v>
      </c>
      <c r="D2998" s="2">
        <f t="shared" si="93"/>
        <v>18</v>
      </c>
      <c r="E2998" t="s">
        <v>25</v>
      </c>
      <c r="F2998" t="s">
        <v>14</v>
      </c>
      <c r="G2998" t="s">
        <v>21</v>
      </c>
      <c r="H2998" s="2">
        <v>7429</v>
      </c>
      <c r="I2998" s="2">
        <v>6</v>
      </c>
      <c r="J2998" s="2">
        <v>99710</v>
      </c>
      <c r="K2998" s="2">
        <v>37593</v>
      </c>
      <c r="L2998" s="2">
        <v>9</v>
      </c>
      <c r="M2998" t="str">
        <f>IF(Revv_bike_sales_data[[#This Row],[delivery_days]]&lt;=7, "Yes", "No")</f>
        <v>No</v>
      </c>
      <c r="N2998" t="s">
        <v>16</v>
      </c>
      <c r="O2998" s="2">
        <v>62117</v>
      </c>
    </row>
    <row r="2999" spans="1:15" x14ac:dyDescent="0.3">
      <c r="A2999" s="2">
        <v>2989</v>
      </c>
      <c r="B2999" s="1">
        <v>45051.5</v>
      </c>
      <c r="C2999" s="1" t="str">
        <f t="shared" si="94"/>
        <v>05-2023</v>
      </c>
      <c r="D2999" s="2">
        <f t="shared" si="93"/>
        <v>18</v>
      </c>
      <c r="E2999" t="s">
        <v>17</v>
      </c>
      <c r="F2999" t="s">
        <v>14</v>
      </c>
      <c r="G2999" t="s">
        <v>15</v>
      </c>
      <c r="H2999" s="2">
        <v>14956</v>
      </c>
      <c r="I2999" s="2">
        <v>6</v>
      </c>
      <c r="J2999" s="2">
        <v>36352</v>
      </c>
      <c r="K2999" s="2">
        <v>75334</v>
      </c>
      <c r="L2999" s="2">
        <v>13</v>
      </c>
      <c r="M2999" t="str">
        <f>IF(Revv_bike_sales_data[[#This Row],[delivery_days]]&lt;=7, "Yes", "No")</f>
        <v>No</v>
      </c>
      <c r="N2999" t="s">
        <v>16</v>
      </c>
      <c r="O2999" s="2">
        <v>-38982</v>
      </c>
    </row>
    <row r="3000" spans="1:15" x14ac:dyDescent="0.3">
      <c r="A3000" s="2">
        <v>2990</v>
      </c>
      <c r="B3000" s="1">
        <v>45051.541666666664</v>
      </c>
      <c r="C3000" s="1" t="str">
        <f t="shared" si="94"/>
        <v>05-2023</v>
      </c>
      <c r="D3000" s="2">
        <f t="shared" si="93"/>
        <v>18</v>
      </c>
      <c r="E3000" t="s">
        <v>22</v>
      </c>
      <c r="F3000" t="s">
        <v>14</v>
      </c>
      <c r="G3000" t="s">
        <v>19</v>
      </c>
      <c r="H3000" s="2">
        <v>87176</v>
      </c>
      <c r="I3000" s="2">
        <v>4</v>
      </c>
      <c r="J3000" s="2">
        <v>161064</v>
      </c>
      <c r="K3000" s="2">
        <v>109400</v>
      </c>
      <c r="L3000" s="2">
        <v>14</v>
      </c>
      <c r="M3000" t="str">
        <f>IF(Revv_bike_sales_data[[#This Row],[delivery_days]]&lt;=7, "Yes", "No")</f>
        <v>No</v>
      </c>
      <c r="N3000" t="s">
        <v>16</v>
      </c>
      <c r="O3000" s="2">
        <v>51664</v>
      </c>
    </row>
    <row r="3001" spans="1:15" x14ac:dyDescent="0.3">
      <c r="A3001" s="2">
        <v>2991</v>
      </c>
      <c r="B3001" s="1">
        <v>45051.583333333336</v>
      </c>
      <c r="C3001" s="1" t="str">
        <f t="shared" si="94"/>
        <v>05-2023</v>
      </c>
      <c r="D3001" s="2">
        <f t="shared" si="93"/>
        <v>18</v>
      </c>
      <c r="E3001" t="s">
        <v>17</v>
      </c>
      <c r="F3001" t="s">
        <v>14</v>
      </c>
      <c r="G3001" t="s">
        <v>15</v>
      </c>
      <c r="H3001" s="2">
        <v>84221</v>
      </c>
      <c r="I3001" s="2">
        <v>0</v>
      </c>
      <c r="J3001" s="2">
        <v>78076</v>
      </c>
      <c r="K3001" s="2">
        <v>124865</v>
      </c>
      <c r="L3001" s="2">
        <v>6</v>
      </c>
      <c r="M3001" t="str">
        <f>IF(Revv_bike_sales_data[[#This Row],[delivery_days]]&lt;=7, "Yes", "No")</f>
        <v>Yes</v>
      </c>
      <c r="N3001" t="s">
        <v>16</v>
      </c>
      <c r="O3001" s="2">
        <v>-46789</v>
      </c>
    </row>
    <row r="3002" spans="1:15" x14ac:dyDescent="0.3">
      <c r="A3002" s="2">
        <v>2992</v>
      </c>
      <c r="B3002" s="1">
        <v>45051.625</v>
      </c>
      <c r="C3002" s="1" t="str">
        <f t="shared" si="94"/>
        <v>05-2023</v>
      </c>
      <c r="D3002" s="2">
        <f t="shared" si="93"/>
        <v>18</v>
      </c>
      <c r="E3002" t="s">
        <v>17</v>
      </c>
      <c r="F3002" t="s">
        <v>23</v>
      </c>
      <c r="G3002" t="s">
        <v>19</v>
      </c>
      <c r="H3002" s="2">
        <v>38424</v>
      </c>
      <c r="I3002" s="2">
        <v>8</v>
      </c>
      <c r="J3002" s="2">
        <v>48354</v>
      </c>
      <c r="K3002" s="2">
        <v>130749</v>
      </c>
      <c r="L3002" s="2">
        <v>4</v>
      </c>
      <c r="M3002" t="str">
        <f>IF(Revv_bike_sales_data[[#This Row],[delivery_days]]&lt;=7, "Yes", "No")</f>
        <v>Yes</v>
      </c>
      <c r="N3002" t="s">
        <v>24</v>
      </c>
      <c r="O3002" s="2">
        <v>-82395</v>
      </c>
    </row>
    <row r="3003" spans="1:15" x14ac:dyDescent="0.3">
      <c r="A3003" s="2">
        <v>2993</v>
      </c>
      <c r="B3003" s="1">
        <v>45051.666666666664</v>
      </c>
      <c r="C3003" s="1" t="str">
        <f t="shared" si="94"/>
        <v>05-2023</v>
      </c>
      <c r="D3003" s="2">
        <f t="shared" si="93"/>
        <v>18</v>
      </c>
      <c r="E3003" t="s">
        <v>25</v>
      </c>
      <c r="F3003" t="s">
        <v>14</v>
      </c>
      <c r="G3003" t="s">
        <v>20</v>
      </c>
      <c r="H3003" s="2">
        <v>24740</v>
      </c>
      <c r="I3003" s="2">
        <v>8</v>
      </c>
      <c r="J3003" s="2">
        <v>159384</v>
      </c>
      <c r="K3003" s="2">
        <v>74893</v>
      </c>
      <c r="L3003" s="2">
        <v>13</v>
      </c>
      <c r="M3003" t="str">
        <f>IF(Revv_bike_sales_data[[#This Row],[delivery_days]]&lt;=7, "Yes", "No")</f>
        <v>No</v>
      </c>
      <c r="N3003" t="s">
        <v>16</v>
      </c>
      <c r="O3003" s="2">
        <v>84491</v>
      </c>
    </row>
    <row r="3004" spans="1:15" x14ac:dyDescent="0.3">
      <c r="A3004" s="2">
        <v>2994</v>
      </c>
      <c r="B3004" s="1">
        <v>45051.708333333336</v>
      </c>
      <c r="C3004" s="1" t="str">
        <f t="shared" si="94"/>
        <v>05-2023</v>
      </c>
      <c r="D3004" s="2">
        <f t="shared" si="93"/>
        <v>18</v>
      </c>
      <c r="E3004" t="s">
        <v>25</v>
      </c>
      <c r="F3004" t="s">
        <v>14</v>
      </c>
      <c r="G3004" t="s">
        <v>19</v>
      </c>
      <c r="H3004" s="2">
        <v>87881</v>
      </c>
      <c r="I3004" s="2">
        <v>7</v>
      </c>
      <c r="J3004" s="2">
        <v>70833</v>
      </c>
      <c r="K3004" s="2">
        <v>57636</v>
      </c>
      <c r="L3004" s="2">
        <v>2</v>
      </c>
      <c r="M3004" t="str">
        <f>IF(Revv_bike_sales_data[[#This Row],[delivery_days]]&lt;=7, "Yes", "No")</f>
        <v>Yes</v>
      </c>
      <c r="N3004" t="s">
        <v>16</v>
      </c>
      <c r="O3004" s="2">
        <v>13197</v>
      </c>
    </row>
    <row r="3005" spans="1:15" x14ac:dyDescent="0.3">
      <c r="A3005" s="2">
        <v>2995</v>
      </c>
      <c r="B3005" s="1">
        <v>45051.75</v>
      </c>
      <c r="C3005" s="1" t="str">
        <f t="shared" si="94"/>
        <v>05-2023</v>
      </c>
      <c r="D3005" s="2">
        <f t="shared" si="93"/>
        <v>18</v>
      </c>
      <c r="E3005" t="s">
        <v>25</v>
      </c>
      <c r="F3005" t="s">
        <v>14</v>
      </c>
      <c r="G3005" t="s">
        <v>19</v>
      </c>
      <c r="H3005" s="2">
        <v>9728</v>
      </c>
      <c r="I3005" s="2">
        <v>4</v>
      </c>
      <c r="J3005" s="2">
        <v>29318</v>
      </c>
      <c r="K3005" s="2">
        <v>84225</v>
      </c>
      <c r="L3005" s="2">
        <v>11</v>
      </c>
      <c r="M3005" t="str">
        <f>IF(Revv_bike_sales_data[[#This Row],[delivery_days]]&lt;=7, "Yes", "No")</f>
        <v>No</v>
      </c>
      <c r="N3005" t="s">
        <v>16</v>
      </c>
      <c r="O3005" s="2">
        <v>-54907</v>
      </c>
    </row>
    <row r="3006" spans="1:15" x14ac:dyDescent="0.3">
      <c r="A3006" s="2">
        <v>2996</v>
      </c>
      <c r="B3006" s="1">
        <v>45051.791666666664</v>
      </c>
      <c r="C3006" s="1" t="str">
        <f t="shared" si="94"/>
        <v>05-2023</v>
      </c>
      <c r="D3006" s="2">
        <f t="shared" si="93"/>
        <v>18</v>
      </c>
      <c r="E3006" t="s">
        <v>13</v>
      </c>
      <c r="F3006" t="s">
        <v>14</v>
      </c>
      <c r="G3006" t="s">
        <v>20</v>
      </c>
      <c r="H3006" s="2">
        <v>22186</v>
      </c>
      <c r="I3006" s="2">
        <v>2</v>
      </c>
      <c r="J3006" s="2">
        <v>137363</v>
      </c>
      <c r="K3006" s="2">
        <v>55363</v>
      </c>
      <c r="L3006" s="2">
        <v>4</v>
      </c>
      <c r="M3006" t="str">
        <f>IF(Revv_bike_sales_data[[#This Row],[delivery_days]]&lt;=7, "Yes", "No")</f>
        <v>Yes</v>
      </c>
      <c r="N3006" t="s">
        <v>16</v>
      </c>
      <c r="O3006" s="2">
        <v>82000</v>
      </c>
    </row>
    <row r="3007" spans="1:15" x14ac:dyDescent="0.3">
      <c r="A3007" s="2">
        <v>2997</v>
      </c>
      <c r="B3007" s="1">
        <v>45051.833333333336</v>
      </c>
      <c r="C3007" s="1" t="str">
        <f t="shared" si="94"/>
        <v>05-2023</v>
      </c>
      <c r="D3007" s="2">
        <f t="shared" si="93"/>
        <v>18</v>
      </c>
      <c r="E3007" t="s">
        <v>17</v>
      </c>
      <c r="F3007" t="s">
        <v>14</v>
      </c>
      <c r="G3007" t="s">
        <v>19</v>
      </c>
      <c r="H3007" s="2">
        <v>12420</v>
      </c>
      <c r="I3007" s="2">
        <v>7</v>
      </c>
      <c r="J3007" s="2">
        <v>124992</v>
      </c>
      <c r="K3007" s="2">
        <v>70959</v>
      </c>
      <c r="L3007" s="2">
        <v>7</v>
      </c>
      <c r="M3007" t="str">
        <f>IF(Revv_bike_sales_data[[#This Row],[delivery_days]]&lt;=7, "Yes", "No")</f>
        <v>Yes</v>
      </c>
      <c r="N3007" t="s">
        <v>16</v>
      </c>
      <c r="O3007" s="2">
        <v>54033</v>
      </c>
    </row>
    <row r="3008" spans="1:15" x14ac:dyDescent="0.3">
      <c r="A3008" s="2">
        <v>2998</v>
      </c>
      <c r="B3008" s="1">
        <v>45051.875</v>
      </c>
      <c r="C3008" s="1" t="str">
        <f t="shared" si="94"/>
        <v>05-2023</v>
      </c>
      <c r="D3008" s="2">
        <f t="shared" si="93"/>
        <v>18</v>
      </c>
      <c r="E3008" t="s">
        <v>18</v>
      </c>
      <c r="F3008" t="s">
        <v>14</v>
      </c>
      <c r="G3008" t="s">
        <v>15</v>
      </c>
      <c r="H3008" s="2">
        <v>7932</v>
      </c>
      <c r="I3008" s="2">
        <v>0</v>
      </c>
      <c r="J3008" s="2">
        <v>91003</v>
      </c>
      <c r="K3008" s="2">
        <v>95223</v>
      </c>
      <c r="L3008" s="2">
        <v>1</v>
      </c>
      <c r="M3008" t="str">
        <f>IF(Revv_bike_sales_data[[#This Row],[delivery_days]]&lt;=7, "Yes", "No")</f>
        <v>Yes</v>
      </c>
      <c r="N3008" t="s">
        <v>16</v>
      </c>
      <c r="O3008" s="2">
        <v>-4220</v>
      </c>
    </row>
    <row r="3009" spans="1:15" x14ac:dyDescent="0.3">
      <c r="A3009" s="2">
        <v>2999</v>
      </c>
      <c r="B3009" s="1">
        <v>45051.916666666664</v>
      </c>
      <c r="C3009" s="1" t="str">
        <f t="shared" si="94"/>
        <v>05-2023</v>
      </c>
      <c r="D3009" s="2">
        <f t="shared" si="93"/>
        <v>18</v>
      </c>
      <c r="E3009" t="s">
        <v>22</v>
      </c>
      <c r="F3009" t="s">
        <v>14</v>
      </c>
      <c r="G3009" t="s">
        <v>21</v>
      </c>
      <c r="H3009" s="2">
        <v>64075</v>
      </c>
      <c r="I3009" s="2">
        <v>2</v>
      </c>
      <c r="J3009" s="2">
        <v>132841</v>
      </c>
      <c r="K3009" s="2">
        <v>100917</v>
      </c>
      <c r="L3009" s="2">
        <v>14</v>
      </c>
      <c r="M3009" t="str">
        <f>IF(Revv_bike_sales_data[[#This Row],[delivery_days]]&lt;=7, "Yes", "No")</f>
        <v>No</v>
      </c>
      <c r="N3009" t="s">
        <v>16</v>
      </c>
      <c r="O3009" s="2">
        <v>31924</v>
      </c>
    </row>
    <row r="3010" spans="1:15" x14ac:dyDescent="0.3">
      <c r="A3010" s="2">
        <v>3000</v>
      </c>
      <c r="B3010" s="1">
        <v>45051.958333333336</v>
      </c>
      <c r="C3010" s="1" t="str">
        <f t="shared" si="94"/>
        <v>05-2023</v>
      </c>
      <c r="D3010" s="2">
        <f t="shared" si="93"/>
        <v>18</v>
      </c>
      <c r="E3010" t="s">
        <v>13</v>
      </c>
      <c r="F3010" t="s">
        <v>14</v>
      </c>
      <c r="G3010" t="s">
        <v>21</v>
      </c>
      <c r="H3010" s="2">
        <v>72225</v>
      </c>
      <c r="I3010" s="2">
        <v>6</v>
      </c>
      <c r="J3010" s="2">
        <v>125726</v>
      </c>
      <c r="K3010" s="2">
        <v>113629</v>
      </c>
      <c r="L3010" s="2">
        <v>9</v>
      </c>
      <c r="M3010" t="str">
        <f>IF(Revv_bike_sales_data[[#This Row],[delivery_days]]&lt;=7, "Yes", "No")</f>
        <v>No</v>
      </c>
      <c r="N3010" t="s">
        <v>16</v>
      </c>
      <c r="O3010" s="2">
        <v>12097</v>
      </c>
    </row>
  </sheetData>
  <conditionalFormatting sqref="L11:L3010">
    <cfRule type="cellIs" dxfId="0" priority="4" operator="greaterThan">
      <formula>10</formula>
    </cfRule>
    <cfRule type="cellIs" dxfId="1" priority="1" operator="greaterThan">
      <formula>7</formula>
    </cfRule>
  </conditionalFormatting>
  <conditionalFormatting sqref="N11:N3010">
    <cfRule type="cellIs" dxfId="6" priority="3" operator="equal">
      <formula>"Fail"</formula>
    </cfRule>
  </conditionalFormatting>
  <conditionalFormatting sqref="O11:O3010">
    <cfRule type="cellIs" dxfId="5" priority="2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0597-E57A-4D59-BEE7-E93114ACDCCD}">
  <dimension ref="A1:G16"/>
  <sheetViews>
    <sheetView workbookViewId="0">
      <selection activeCell="I7" sqref="I7"/>
    </sheetView>
  </sheetViews>
  <sheetFormatPr defaultRowHeight="14.4" x14ac:dyDescent="0.3"/>
  <cols>
    <col min="1" max="6" width="10.109375" customWidth="1"/>
    <col min="7" max="7" width="13.88671875" customWidth="1"/>
  </cols>
  <sheetData>
    <row r="1" spans="1:7" x14ac:dyDescent="0.3">
      <c r="A1" t="s">
        <v>48</v>
      </c>
      <c r="B1" t="s">
        <v>36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3">
      <c r="F2" t="s">
        <v>45</v>
      </c>
    </row>
    <row r="3" spans="1:7" x14ac:dyDescent="0.3">
      <c r="E3" t="s">
        <v>44</v>
      </c>
    </row>
    <row r="5" spans="1:7" x14ac:dyDescent="0.3">
      <c r="E5" t="s">
        <v>44</v>
      </c>
    </row>
    <row r="8" spans="1:7" x14ac:dyDescent="0.3">
      <c r="F8" t="s">
        <v>46</v>
      </c>
    </row>
    <row r="13" spans="1:7" x14ac:dyDescent="0.3">
      <c r="F13" t="s">
        <v>47</v>
      </c>
    </row>
    <row r="16" spans="1:7" x14ac:dyDescent="0.3">
      <c r="E16" t="s">
        <v>44</v>
      </c>
    </row>
  </sheetData>
  <conditionalFormatting sqref="E2:E17">
    <cfRule type="expression" dxfId="10" priority="4">
      <formula>AND($E2&lt;&gt;"Completed", $A2&lt;TODAY())</formula>
    </cfRule>
  </conditionalFormatting>
  <conditionalFormatting sqref="F2:F17">
    <cfRule type="cellIs" dxfId="9" priority="1" operator="equal">
      <formula>"High"</formula>
    </cfRule>
    <cfRule type="cellIs" dxfId="8" priority="2" operator="equal">
      <formula>"Medium"</formula>
    </cfRule>
    <cfRule type="cellIs" dxfId="7" priority="3" operator="equal">
      <formula>"Low"</formula>
    </cfRule>
  </conditionalFormatting>
  <dataValidations count="2">
    <dataValidation type="list" allowBlank="1" showInputMessage="1" showErrorMessage="1" sqref="E1:E17" xr:uid="{EA07BD68-1107-429D-84E6-7FA69069FC9B}">
      <formula1>"Not Started, In Progress, Completed"</formula1>
    </dataValidation>
    <dataValidation type="list" allowBlank="1" showInputMessage="1" showErrorMessage="1" sqref="F2:F17" xr:uid="{155FCABD-D7DA-42B5-8B0B-54F95BB045BB}">
      <formula1>"Low, Medium, High"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5A113-5028-4C24-8A1B-D023670A9A08}">
  <dimension ref="A1:C8"/>
  <sheetViews>
    <sheetView workbookViewId="0">
      <selection activeCell="F16" sqref="F16"/>
    </sheetView>
  </sheetViews>
  <sheetFormatPr defaultRowHeight="14.4" x14ac:dyDescent="0.3"/>
  <cols>
    <col min="1" max="1" width="19.77734375" bestFit="1" customWidth="1"/>
    <col min="2" max="2" width="22.109375" bestFit="1" customWidth="1"/>
    <col min="3" max="3" width="20.5546875" bestFit="1" customWidth="1"/>
  </cols>
  <sheetData>
    <row r="1" spans="1:3" x14ac:dyDescent="0.3">
      <c r="A1" s="3" t="s">
        <v>49</v>
      </c>
      <c r="B1" t="s">
        <v>24</v>
      </c>
    </row>
    <row r="3" spans="1:3" x14ac:dyDescent="0.3">
      <c r="A3" s="3" t="s">
        <v>36</v>
      </c>
      <c r="B3" t="s">
        <v>50</v>
      </c>
      <c r="C3" t="s">
        <v>51</v>
      </c>
    </row>
    <row r="4" spans="1:3" x14ac:dyDescent="0.3">
      <c r="A4" s="4" t="s">
        <v>19</v>
      </c>
      <c r="B4">
        <v>7.0945945945945947</v>
      </c>
      <c r="C4" s="5">
        <v>0.25</v>
      </c>
    </row>
    <row r="5" spans="1:3" x14ac:dyDescent="0.3">
      <c r="A5" s="4" t="s">
        <v>21</v>
      </c>
      <c r="B5">
        <v>7.7804878048780486</v>
      </c>
      <c r="C5" s="5">
        <v>0.27702702702702703</v>
      </c>
    </row>
    <row r="6" spans="1:3" x14ac:dyDescent="0.3">
      <c r="A6" s="4" t="s">
        <v>15</v>
      </c>
      <c r="B6">
        <v>8</v>
      </c>
      <c r="C6" s="5">
        <v>0.23986486486486486</v>
      </c>
    </row>
    <row r="7" spans="1:3" x14ac:dyDescent="0.3">
      <c r="A7" s="4" t="s">
        <v>20</v>
      </c>
      <c r="B7">
        <v>7.5652173913043477</v>
      </c>
      <c r="C7" s="5">
        <v>0.23310810810810811</v>
      </c>
    </row>
    <row r="8" spans="1:3" x14ac:dyDescent="0.3">
      <c r="A8" s="4" t="s">
        <v>34</v>
      </c>
      <c r="B8">
        <v>7.6114864864864868</v>
      </c>
      <c r="C8" s="5">
        <v>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CFD6C0-05C8-4365-907B-CA053E3B3F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 Pivot</vt:lpstr>
      <vt:lpstr>MIS Calculation</vt:lpstr>
      <vt:lpstr>Ops Tracker Data</vt:lpstr>
      <vt:lpstr>Process Gap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Vaishakh K</dc:creator>
  <cp:lastModifiedBy>Vaishakh K</cp:lastModifiedBy>
  <dcterms:created xsi:type="dcterms:W3CDTF">2025-12-28T20:49:50Z</dcterms:created>
  <dcterms:modified xsi:type="dcterms:W3CDTF">2025-12-29T09:21:48Z</dcterms:modified>
</cp:coreProperties>
</file>